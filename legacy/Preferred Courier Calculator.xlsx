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6CB8C39-6C0B-4FEB-A45E-A1CB555E5D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culator" sheetId="12" r:id="rId1"/>
    <sheet name="README" sheetId="1" r:id="rId2"/>
    <sheet name="Input" sheetId="2" r:id="rId3"/>
    <sheet name="Companies" sheetId="3" r:id="rId4"/>
    <sheet name="Zones" sheetId="4" r:id="rId5"/>
    <sheet name="Rates" sheetId="5" r:id="rId6"/>
    <sheet name="Compare" sheetId="6" r:id="rId7"/>
    <sheet name="Blue Dart" sheetId="7" r:id="rId8"/>
    <sheet name="Delhivery" sheetId="8" r:id="rId9"/>
    <sheet name="DTDC" sheetId="9" r:id="rId10"/>
    <sheet name="XpressBees" sheetId="10" r:id="rId11"/>
    <sheet name="Ecom Express" sheetId="11" r:id="rId12"/>
  </sheets>
  <definedNames>
    <definedName name="_xlnm._FilterDatabase" localSheetId="6" hidden="1">Compare!$A$1:$H$6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2" l="1"/>
  <c r="E15" i="12"/>
  <c r="D15" i="12"/>
  <c r="C15" i="12"/>
  <c r="B15" i="12"/>
  <c r="F9" i="12"/>
  <c r="F10" i="12" s="1"/>
  <c r="E9" i="12"/>
  <c r="E10" i="12" s="1"/>
  <c r="D9" i="12"/>
  <c r="D10" i="12" s="1"/>
  <c r="C9" i="12"/>
  <c r="C10" i="12" s="1"/>
  <c r="B9" i="12"/>
  <c r="B10" i="12" s="1"/>
  <c r="H6" i="6"/>
  <c r="F6" i="6"/>
  <c r="A6" i="6"/>
  <c r="H5" i="6"/>
  <c r="F5" i="6"/>
  <c r="A5" i="6"/>
  <c r="H4" i="6"/>
  <c r="F4" i="6"/>
  <c r="A4" i="6"/>
  <c r="H3" i="6"/>
  <c r="F3" i="6"/>
  <c r="A3" i="6"/>
  <c r="H2" i="6"/>
  <c r="F2" i="6"/>
  <c r="A2" i="6"/>
  <c r="F11" i="12" l="1"/>
  <c r="F13" i="12" s="1"/>
  <c r="F17" i="12" s="1"/>
  <c r="E11" i="12"/>
  <c r="E13" i="12" s="1"/>
  <c r="E17" i="12" s="1"/>
  <c r="C11" i="12"/>
  <c r="D11" i="12"/>
  <c r="D13" i="12" s="1"/>
  <c r="D17" i="12" s="1"/>
  <c r="B11" i="12"/>
  <c r="B13" i="12" s="1"/>
  <c r="B17" i="12" s="1"/>
  <c r="C13" i="12" l="1"/>
  <c r="C17" i="12" s="1"/>
  <c r="C19" i="12" s="1"/>
  <c r="B19" i="12" s="1"/>
</calcChain>
</file>

<file path=xl/sharedStrings.xml><?xml version="1.0" encoding="utf-8"?>
<sst xmlns="http://schemas.openxmlformats.org/spreadsheetml/2006/main" count="229" uniqueCount="53">
  <si>
    <t>Logistics Courier Comparison Calculator</t>
  </si>
  <si>
    <t>--------------------------------------</t>
  </si>
  <si>
    <t>How to use:</t>
  </si>
  <si>
    <t>1) Go to the 'Input' sheet and enter Pincode (6-digit), Weight (kg), Shipment Type, and COD option.</t>
  </si>
  <si>
    <t>2) Paste each courier's zone-wise pincode list into the 'Zones' sheet (columns: Company, Pincode, Zone).</t>
  </si>
  <si>
    <t>3) Fill the 'Rates' sheet with each company's rate card per Zone: First Kg Charge, Addl per Kg, Min Charge, Fuel Surcharge %, COD Fees (flat), GST %.</t>
  </si>
  <si>
    <t>4) List the companies you want to compare in the 'Companies' sheet (column A).</t>
  </si>
  <si>
    <t>5) Open the 'Compare' sheet to see zone detection and total landed cost per company.</t>
  </si>
  <si>
    <t>Notes:</t>
  </si>
  <si>
    <t>- Fuel Surcharge % and GST % should be entered as decimal percentages (e.g., 0.18 for 18%).</t>
  </si>
  <si>
    <t>- You can expand the Zones and Rates data down to row 1000; formulas are set to look within that range.</t>
  </si>
  <si>
    <t>Shipment Inputs</t>
  </si>
  <si>
    <t>Pincode</t>
  </si>
  <si>
    <t>Weight (kg)</t>
  </si>
  <si>
    <t>Shipment Type</t>
  </si>
  <si>
    <t>Non-Docs</t>
  </si>
  <si>
    <t>COD?</t>
  </si>
  <si>
    <t>No</t>
  </si>
  <si>
    <t>Declared Value (optional)</t>
  </si>
  <si>
    <t>Company</t>
  </si>
  <si>
    <t>Delhivery</t>
  </si>
  <si>
    <t>Blue Dart</t>
  </si>
  <si>
    <t>DTDC</t>
  </si>
  <si>
    <t>XpressBees</t>
  </si>
  <si>
    <t>Ecom Express</t>
  </si>
  <si>
    <t>Zone</t>
  </si>
  <si>
    <t>Metro</t>
  </si>
  <si>
    <t>Tier-2</t>
  </si>
  <si>
    <t>First Kg Charge</t>
  </si>
  <si>
    <t>Addl per Kg</t>
  </si>
  <si>
    <t>Min Charge</t>
  </si>
  <si>
    <t>Fuel Surcharge %</t>
  </si>
  <si>
    <t>COD Fee (Flat)</t>
  </si>
  <si>
    <t>GST %</t>
  </si>
  <si>
    <t>Base Cost</t>
  </si>
  <si>
    <t>Fuel Surcharge</t>
  </si>
  <si>
    <t>COD Fee</t>
  </si>
  <si>
    <t>Subtotal</t>
  </si>
  <si>
    <t>GST</t>
  </si>
  <si>
    <t>Total</t>
  </si>
  <si>
    <t>Zone 1</t>
  </si>
  <si>
    <t>Zone 2</t>
  </si>
  <si>
    <t>Zone 3</t>
  </si>
  <si>
    <t>Zone 4</t>
  </si>
  <si>
    <t>Companies</t>
  </si>
  <si>
    <t>Weight</t>
  </si>
  <si>
    <t>Rate</t>
  </si>
  <si>
    <t>ROV</t>
  </si>
  <si>
    <t>Docket Charge</t>
  </si>
  <si>
    <t>Minimum Chargeble Weight</t>
  </si>
  <si>
    <t>Weight Charge</t>
  </si>
  <si>
    <t>Total Cost</t>
  </si>
  <si>
    <t>Preferred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</si>
</sst>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164" fontId="2" fillId="0" borderId="2"/>
  </cellStyleXfs>
  <cellXfs count="10">
    <xf numFmtId="0" fontId="0" fillId="0" borderId="0" xfId="0"/>
    <xf numFmtId="0" fontId="1" fillId="2" borderId="1" xfId="1">
      <alignment horizontal="center" vertical="center"/>
    </xf>
    <xf numFmtId="164" fontId="2" fillId="0" borderId="2" xfId="2"/>
    <xf numFmtId="1" fontId="0" fillId="0" borderId="0" xfId="0" applyNumberFormat="1"/>
    <xf numFmtId="0" fontId="0" fillId="0" borderId="3" xfId="0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1" fontId="0" fillId="0" borderId="3" xfId="0" applyNumberFormat="1" applyBorder="1"/>
  </cellXfs>
  <cellStyles count="3">
    <cellStyle name="currency_style" xfId="2" xr:uid="{00000000-0005-0000-0000-000002000000}"/>
    <cellStyle name="header_style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5A31-840D-48AF-A312-C24CCCFF9624}">
  <sheetPr>
    <tabColor rgb="FF00B050"/>
  </sheetPr>
  <dimension ref="A2:AC19"/>
  <sheetViews>
    <sheetView tabSelected="1" workbookViewId="0">
      <selection activeCell="G12" sqref="G12"/>
    </sheetView>
  </sheetViews>
  <sheetFormatPr defaultRowHeight="15" x14ac:dyDescent="0.25"/>
  <cols>
    <col min="1" max="1" width="26.42578125" bestFit="1" customWidth="1"/>
    <col min="2" max="2" width="11.42578125" customWidth="1"/>
    <col min="3" max="3" width="10.85546875" customWidth="1"/>
    <col min="4" max="4" width="8.85546875" customWidth="1"/>
    <col min="5" max="5" width="12.42578125" customWidth="1"/>
    <col min="6" max="6" width="12.85546875" customWidth="1"/>
    <col min="19" max="30" width="0" hidden="1" customWidth="1"/>
  </cols>
  <sheetData>
    <row r="2" spans="1:29" x14ac:dyDescent="0.25">
      <c r="A2" s="5" t="s">
        <v>12</v>
      </c>
      <c r="B2" s="9">
        <v>100011</v>
      </c>
    </row>
    <row r="3" spans="1:29" x14ac:dyDescent="0.25">
      <c r="A3" s="5" t="s">
        <v>45</v>
      </c>
      <c r="B3" s="4">
        <v>10</v>
      </c>
    </row>
    <row r="8" spans="1:29" x14ac:dyDescent="0.25">
      <c r="A8" s="5" t="s">
        <v>44</v>
      </c>
      <c r="B8" s="5" t="s">
        <v>21</v>
      </c>
      <c r="C8" s="5" t="s">
        <v>20</v>
      </c>
      <c r="D8" s="5" t="s">
        <v>22</v>
      </c>
      <c r="E8" s="5" t="s">
        <v>23</v>
      </c>
      <c r="F8" s="5" t="s">
        <v>24</v>
      </c>
      <c r="T8" t="s">
        <v>25</v>
      </c>
      <c r="U8" t="s">
        <v>21</v>
      </c>
      <c r="V8" t="s">
        <v>25</v>
      </c>
      <c r="W8" t="s">
        <v>20</v>
      </c>
      <c r="X8" t="s">
        <v>25</v>
      </c>
      <c r="Y8" t="s">
        <v>22</v>
      </c>
      <c r="Z8" t="s">
        <v>25</v>
      </c>
      <c r="AA8" t="s">
        <v>23</v>
      </c>
      <c r="AB8" t="s">
        <v>25</v>
      </c>
      <c r="AC8" t="s">
        <v>24</v>
      </c>
    </row>
    <row r="9" spans="1:29" x14ac:dyDescent="0.25">
      <c r="A9" s="6" t="s">
        <v>25</v>
      </c>
      <c r="B9" s="4" t="str">
        <f>VLOOKUP(B2,'Blue Dart'!A:B,2,)</f>
        <v>Zone 3</v>
      </c>
      <c r="C9" s="4" t="str">
        <f>VLOOKUP(B2,Delhivery!A:B,2,)</f>
        <v>Zone 2</v>
      </c>
      <c r="D9" s="4" t="str">
        <f>VLOOKUP(B2,DTDC!A:B,2,)</f>
        <v>Zone 1</v>
      </c>
      <c r="E9" s="4" t="str">
        <f>VLOOKUP(B2,XpressBees!A:B,2,)</f>
        <v>Zone 4</v>
      </c>
      <c r="F9" s="4" t="str">
        <f>VLOOKUP(B2,'Ecom Express'!A:B,2,)</f>
        <v>Zone 4</v>
      </c>
      <c r="T9" t="s">
        <v>40</v>
      </c>
      <c r="U9">
        <v>9</v>
      </c>
      <c r="V9" t="s">
        <v>40</v>
      </c>
      <c r="W9">
        <v>10</v>
      </c>
      <c r="X9" t="s">
        <v>40</v>
      </c>
      <c r="Y9">
        <v>11</v>
      </c>
      <c r="Z9" t="s">
        <v>40</v>
      </c>
      <c r="AA9">
        <v>10</v>
      </c>
      <c r="AB9" t="s">
        <v>40</v>
      </c>
      <c r="AC9">
        <v>12</v>
      </c>
    </row>
    <row r="10" spans="1:29" x14ac:dyDescent="0.25">
      <c r="A10" s="6" t="s">
        <v>46</v>
      </c>
      <c r="B10" s="4">
        <f>VLOOKUP(B9,T8:U12,2,)</f>
        <v>15</v>
      </c>
      <c r="C10" s="4">
        <f>VLOOKUP(C9,V8:W12,2,)</f>
        <v>13</v>
      </c>
      <c r="D10" s="4">
        <f>VLOOKUP(D9,X8:Y12,2,0)</f>
        <v>11</v>
      </c>
      <c r="E10" s="4">
        <f>VLOOKUP(E9,Z8:AA12,2,)</f>
        <v>13</v>
      </c>
      <c r="F10" s="4">
        <f>VLOOKUP(F9,AB8:AC12,2,)</f>
        <v>18</v>
      </c>
      <c r="T10" t="s">
        <v>41</v>
      </c>
      <c r="U10">
        <v>12</v>
      </c>
      <c r="V10" t="s">
        <v>41</v>
      </c>
      <c r="W10">
        <v>13</v>
      </c>
      <c r="X10" t="s">
        <v>41</v>
      </c>
      <c r="Y10">
        <v>15</v>
      </c>
      <c r="Z10" t="s">
        <v>41</v>
      </c>
      <c r="AA10">
        <v>11</v>
      </c>
      <c r="AB10" t="s">
        <v>41</v>
      </c>
      <c r="AC10">
        <v>14</v>
      </c>
    </row>
    <row r="11" spans="1:29" x14ac:dyDescent="0.25">
      <c r="A11" s="6" t="s">
        <v>50</v>
      </c>
      <c r="B11" s="4">
        <f>B15*B10</f>
        <v>180</v>
      </c>
      <c r="C11" s="4">
        <f>C10*C15</f>
        <v>195</v>
      </c>
      <c r="D11" s="4">
        <f>D10*D15</f>
        <v>220</v>
      </c>
      <c r="E11" s="4">
        <f>E10*E15</f>
        <v>130</v>
      </c>
      <c r="F11" s="4">
        <f>F10*F15</f>
        <v>324</v>
      </c>
      <c r="T11" t="s">
        <v>42</v>
      </c>
      <c r="U11">
        <v>15</v>
      </c>
      <c r="V11" t="s">
        <v>42</v>
      </c>
      <c r="W11">
        <v>16</v>
      </c>
      <c r="X11" t="s">
        <v>42</v>
      </c>
      <c r="Y11">
        <v>19</v>
      </c>
      <c r="Z11" t="s">
        <v>42</v>
      </c>
      <c r="AA11">
        <v>12</v>
      </c>
      <c r="AB11" t="s">
        <v>42</v>
      </c>
      <c r="AC11">
        <v>16</v>
      </c>
    </row>
    <row r="12" spans="1:29" x14ac:dyDescent="0.25">
      <c r="A12" s="6" t="s">
        <v>47</v>
      </c>
      <c r="B12" s="4">
        <v>50</v>
      </c>
      <c r="C12" s="4">
        <v>60</v>
      </c>
      <c r="D12" s="4">
        <v>70</v>
      </c>
      <c r="E12" s="4">
        <v>80</v>
      </c>
      <c r="F12" s="4">
        <v>100</v>
      </c>
      <c r="T12" t="s">
        <v>43</v>
      </c>
      <c r="U12">
        <v>18</v>
      </c>
      <c r="V12" t="s">
        <v>43</v>
      </c>
      <c r="W12">
        <v>19</v>
      </c>
      <c r="X12" t="s">
        <v>43</v>
      </c>
      <c r="Y12">
        <v>23</v>
      </c>
      <c r="Z12" t="s">
        <v>43</v>
      </c>
      <c r="AA12">
        <v>13</v>
      </c>
      <c r="AB12" t="s">
        <v>43</v>
      </c>
      <c r="AC12">
        <v>18</v>
      </c>
    </row>
    <row r="13" spans="1:29" x14ac:dyDescent="0.25">
      <c r="A13" s="6" t="s">
        <v>35</v>
      </c>
      <c r="B13" s="4">
        <f>B11*15%</f>
        <v>27</v>
      </c>
      <c r="C13" s="4">
        <f>C11*50%</f>
        <v>97.5</v>
      </c>
      <c r="D13" s="4">
        <f>D11*20%</f>
        <v>44</v>
      </c>
      <c r="E13" s="4">
        <f>E11*25%</f>
        <v>32.5</v>
      </c>
      <c r="F13" s="4">
        <f>F11*50%</f>
        <v>162</v>
      </c>
    </row>
    <row r="14" spans="1:29" x14ac:dyDescent="0.25">
      <c r="A14" s="6" t="s">
        <v>48</v>
      </c>
      <c r="B14" s="4">
        <v>50</v>
      </c>
      <c r="C14" s="4">
        <v>75</v>
      </c>
      <c r="D14" s="4">
        <v>75</v>
      </c>
      <c r="E14" s="4">
        <v>100</v>
      </c>
      <c r="F14" s="4">
        <v>150</v>
      </c>
    </row>
    <row r="15" spans="1:29" x14ac:dyDescent="0.25">
      <c r="A15" s="6" t="s">
        <v>49</v>
      </c>
      <c r="B15" s="4">
        <f>IF(B3&gt;12,B3,12)</f>
        <v>12</v>
      </c>
      <c r="C15" s="4">
        <f>IF(B3&gt;15,B3,15)</f>
        <v>15</v>
      </c>
      <c r="D15" s="4">
        <f>IF(B3&gt;20,B3,20)</f>
        <v>20</v>
      </c>
      <c r="E15" s="4">
        <f>IF(B3&gt;10,B3,10)</f>
        <v>10</v>
      </c>
      <c r="F15" s="4">
        <f>IF(B3&gt;18,B3,18)</f>
        <v>18</v>
      </c>
    </row>
    <row r="16" spans="1:29" x14ac:dyDescent="0.25">
      <c r="A16" s="4"/>
      <c r="B16" s="4"/>
      <c r="C16" s="4"/>
      <c r="D16" s="4"/>
      <c r="E16" s="4"/>
      <c r="F16" s="4"/>
    </row>
    <row r="17" spans="1:6" x14ac:dyDescent="0.25">
      <c r="A17" s="4" t="s">
        <v>51</v>
      </c>
      <c r="B17" s="4">
        <f>B14+B13+B12+B11</f>
        <v>307</v>
      </c>
      <c r="C17" s="4">
        <f>C14+C13+C12+C11</f>
        <v>427.5</v>
      </c>
      <c r="D17" s="4">
        <f>D14+D13+D12+D11</f>
        <v>409</v>
      </c>
      <c r="E17" s="4">
        <f>E14+E13+E12+E11</f>
        <v>342.5</v>
      </c>
      <c r="F17" s="4">
        <f>F14+F13+F12+F11</f>
        <v>736</v>
      </c>
    </row>
    <row r="19" spans="1:6" x14ac:dyDescent="0.25">
      <c r="A19" s="7" t="s">
        <v>52</v>
      </c>
      <c r="B19" s="8" t="str">
        <f>_xlfn.XLOOKUP(C19,B17:F17,B8:F8,,0,)</f>
        <v>Blue Dart</v>
      </c>
      <c r="C19" s="8">
        <f>MIN(B17:F17)</f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7"/>
  <sheetViews>
    <sheetView workbookViewId="0"/>
  </sheetViews>
  <sheetFormatPr defaultRowHeight="15" x14ac:dyDescent="0.25"/>
  <cols>
    <col min="1" max="2" width="24" customWidth="1"/>
  </cols>
  <sheetData>
    <row r="2" spans="1:2" x14ac:dyDescent="0.25">
      <c r="B2" s="1" t="s">
        <v>11</v>
      </c>
    </row>
    <row r="3" spans="1:2" x14ac:dyDescent="0.25">
      <c r="A3" t="s">
        <v>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>
        <v>0</v>
      </c>
    </row>
  </sheetData>
  <dataValidations count="3">
    <dataValidation type="whole" error="Enter a 6-digit pincode (100000–999999)" prompt="Enter destination pincode" sqref="B3" xr:uid="{00000000-0002-0000-0100-000000000000}">
      <formula1>100000</formula1>
      <formula2>999999</formula2>
    </dataValidation>
    <dataValidation type="list" prompt="Select shipment type" sqref="B5" xr:uid="{00000000-0002-0000-0100-000001000000}">
      <formula1>"Docs,Non-Docs"</formula1>
    </dataValidation>
    <dataValidation type="list" sqref="B6" xr:uid="{00000000-0002-0000-0100-000002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2" sqref="A2"/>
    </sheetView>
  </sheetViews>
  <sheetFormatPr defaultRowHeight="15" x14ac:dyDescent="0.25"/>
  <cols>
    <col min="1" max="1" width="24" customWidth="1"/>
  </cols>
  <sheetData>
    <row r="1" spans="1:1" x14ac:dyDescent="0.25">
      <c r="A1" s="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1" sqref="B1:C9"/>
    </sheetView>
  </sheetViews>
  <sheetFormatPr defaultRowHeight="15" x14ac:dyDescent="0.25"/>
  <cols>
    <col min="1" max="1" width="20" customWidth="1"/>
    <col min="2" max="3" width="12" customWidth="1"/>
  </cols>
  <sheetData>
    <row r="1" spans="1:3" x14ac:dyDescent="0.25">
      <c r="A1" s="1" t="s">
        <v>19</v>
      </c>
      <c r="B1" s="1" t="s">
        <v>12</v>
      </c>
      <c r="C1" s="1" t="s">
        <v>25</v>
      </c>
    </row>
    <row r="2" spans="1:3" x14ac:dyDescent="0.25">
      <c r="A2" t="s">
        <v>20</v>
      </c>
      <c r="B2">
        <v>110001</v>
      </c>
      <c r="C2" t="s">
        <v>26</v>
      </c>
    </row>
    <row r="3" spans="1:3" x14ac:dyDescent="0.25">
      <c r="A3" t="s">
        <v>20</v>
      </c>
      <c r="B3">
        <v>560001</v>
      </c>
      <c r="C3" t="s">
        <v>26</v>
      </c>
    </row>
    <row r="4" spans="1:3" x14ac:dyDescent="0.25">
      <c r="A4" t="s">
        <v>21</v>
      </c>
      <c r="B4">
        <v>110001</v>
      </c>
      <c r="C4" t="s">
        <v>26</v>
      </c>
    </row>
    <row r="5" spans="1:3" x14ac:dyDescent="0.25">
      <c r="A5" t="s">
        <v>22</v>
      </c>
      <c r="B5">
        <v>400001</v>
      </c>
      <c r="C5" t="s">
        <v>26</v>
      </c>
    </row>
    <row r="6" spans="1:3" x14ac:dyDescent="0.25">
      <c r="A6" t="s">
        <v>23</v>
      </c>
      <c r="B6">
        <v>700001</v>
      </c>
      <c r="C6" t="s">
        <v>26</v>
      </c>
    </row>
    <row r="7" spans="1:3" x14ac:dyDescent="0.25">
      <c r="A7" t="s">
        <v>24</v>
      </c>
      <c r="B7">
        <v>600001</v>
      </c>
      <c r="C7" t="s">
        <v>26</v>
      </c>
    </row>
    <row r="8" spans="1:3" x14ac:dyDescent="0.25">
      <c r="A8" t="s">
        <v>20</v>
      </c>
      <c r="B8">
        <v>202001</v>
      </c>
      <c r="C8" t="s">
        <v>27</v>
      </c>
    </row>
    <row r="9" spans="1:3" x14ac:dyDescent="0.25">
      <c r="A9" t="s">
        <v>21</v>
      </c>
      <c r="B9">
        <v>202001</v>
      </c>
      <c r="C9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A7" sqref="A7"/>
    </sheetView>
  </sheetViews>
  <sheetFormatPr defaultRowHeight="15" x14ac:dyDescent="0.25"/>
  <cols>
    <col min="1" max="8" width="18" customWidth="1"/>
  </cols>
  <sheetData>
    <row r="1" spans="1:8" x14ac:dyDescent="0.25">
      <c r="A1" s="1" t="s">
        <v>19</v>
      </c>
      <c r="B1" s="1" t="s">
        <v>25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 t="s">
        <v>20</v>
      </c>
      <c r="B2" t="s">
        <v>26</v>
      </c>
      <c r="C2">
        <v>50</v>
      </c>
      <c r="D2">
        <v>30</v>
      </c>
      <c r="E2">
        <v>50</v>
      </c>
      <c r="F2">
        <v>0.18</v>
      </c>
      <c r="G2">
        <v>30</v>
      </c>
      <c r="H2">
        <v>0.18</v>
      </c>
    </row>
    <row r="3" spans="1:8" x14ac:dyDescent="0.25">
      <c r="A3" t="s">
        <v>20</v>
      </c>
      <c r="B3" t="s">
        <v>27</v>
      </c>
      <c r="C3">
        <v>60</v>
      </c>
      <c r="D3">
        <v>35</v>
      </c>
      <c r="E3">
        <v>60</v>
      </c>
      <c r="F3">
        <v>0.18</v>
      </c>
      <c r="G3">
        <v>30</v>
      </c>
      <c r="H3">
        <v>0.18</v>
      </c>
    </row>
    <row r="4" spans="1:8" x14ac:dyDescent="0.25">
      <c r="A4" t="s">
        <v>21</v>
      </c>
      <c r="B4" t="s">
        <v>26</v>
      </c>
      <c r="C4">
        <v>70</v>
      </c>
      <c r="D4">
        <v>35</v>
      </c>
      <c r="E4">
        <v>70</v>
      </c>
      <c r="F4">
        <v>0.22</v>
      </c>
      <c r="G4">
        <v>50</v>
      </c>
      <c r="H4">
        <v>0.18</v>
      </c>
    </row>
    <row r="5" spans="1:8" x14ac:dyDescent="0.25">
      <c r="A5" t="s">
        <v>22</v>
      </c>
      <c r="B5" t="s">
        <v>26</v>
      </c>
      <c r="C5">
        <v>55</v>
      </c>
      <c r="D5">
        <v>32</v>
      </c>
      <c r="E5">
        <v>55</v>
      </c>
      <c r="F5">
        <v>0.18</v>
      </c>
      <c r="G5">
        <v>40</v>
      </c>
      <c r="H5">
        <v>0.18</v>
      </c>
    </row>
    <row r="6" spans="1:8" x14ac:dyDescent="0.25">
      <c r="A6" t="s">
        <v>23</v>
      </c>
      <c r="B6" t="s">
        <v>26</v>
      </c>
      <c r="C6">
        <v>45</v>
      </c>
      <c r="D6">
        <v>28</v>
      </c>
      <c r="E6">
        <v>45</v>
      </c>
      <c r="F6">
        <v>0.18</v>
      </c>
      <c r="G6">
        <v>25</v>
      </c>
      <c r="H6">
        <v>0.18</v>
      </c>
    </row>
    <row r="7" spans="1:8" x14ac:dyDescent="0.25">
      <c r="A7" t="s">
        <v>24</v>
      </c>
      <c r="B7" t="s">
        <v>26</v>
      </c>
      <c r="C7">
        <v>48</v>
      </c>
      <c r="D7">
        <v>30</v>
      </c>
      <c r="E7">
        <v>48</v>
      </c>
      <c r="F7">
        <v>0.2</v>
      </c>
      <c r="G7">
        <v>35</v>
      </c>
      <c r="H7">
        <v>0.18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4" customWidth="1"/>
    <col min="3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1" t="s">
        <v>19</v>
      </c>
      <c r="B1" s="1" t="s">
        <v>25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tr">
        <f>Companies!A2</f>
        <v>Delhivery</v>
      </c>
      <c r="C2" s="2"/>
      <c r="D2" s="2"/>
      <c r="E2" s="2"/>
      <c r="F2" s="2">
        <f>SUM($C2:$E2)</f>
        <v>0</v>
      </c>
      <c r="G2" s="2"/>
      <c r="H2" s="2">
        <f>$F2+$G2</f>
        <v>0</v>
      </c>
    </row>
    <row r="3" spans="1:8" x14ac:dyDescent="0.25">
      <c r="A3" t="str">
        <f>Companies!A3</f>
        <v>Blue Dart</v>
      </c>
      <c r="C3" s="2"/>
      <c r="D3" s="2"/>
      <c r="E3" s="2"/>
      <c r="F3" s="2">
        <f>SUM($C3:$E3)</f>
        <v>0</v>
      </c>
      <c r="G3" s="2"/>
      <c r="H3" s="2">
        <f>$F3+$G3</f>
        <v>0</v>
      </c>
    </row>
    <row r="4" spans="1:8" x14ac:dyDescent="0.25">
      <c r="A4" t="str">
        <f>Companies!A4</f>
        <v>DTDC</v>
      </c>
      <c r="C4" s="2"/>
      <c r="D4" s="2"/>
      <c r="E4" s="2"/>
      <c r="F4" s="2">
        <f>SUM($C4:$E4)</f>
        <v>0</v>
      </c>
      <c r="G4" s="2"/>
      <c r="H4" s="2">
        <f>$F4+$G4</f>
        <v>0</v>
      </c>
    </row>
    <row r="5" spans="1:8" x14ac:dyDescent="0.25">
      <c r="A5" t="str">
        <f>Companies!A5</f>
        <v>XpressBees</v>
      </c>
      <c r="C5" s="2"/>
      <c r="D5" s="2"/>
      <c r="E5" s="2"/>
      <c r="F5" s="2">
        <f>SUM($C5:$E5)</f>
        <v>0</v>
      </c>
      <c r="G5" s="2"/>
      <c r="H5" s="2">
        <f>$F5+$G5</f>
        <v>0</v>
      </c>
    </row>
    <row r="6" spans="1:8" x14ac:dyDescent="0.25">
      <c r="A6" t="str">
        <f>Companies!A6</f>
        <v>Ecom Express</v>
      </c>
      <c r="C6" s="2"/>
      <c r="D6" s="2"/>
      <c r="E6" s="2"/>
      <c r="F6" s="2">
        <f>SUM($C6:$E6)</f>
        <v>0</v>
      </c>
      <c r="G6" s="2"/>
      <c r="H6" s="2">
        <f>$F6+$G6</f>
        <v>0</v>
      </c>
    </row>
  </sheetData>
  <autoFilter ref="A1:H6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7996-057B-4B4F-A0EA-87173BD13A5C}">
  <dimension ref="A1:B21"/>
  <sheetViews>
    <sheetView workbookViewId="0">
      <selection activeCell="B2" sqref="B2:B5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12</v>
      </c>
      <c r="B1" t="s">
        <v>25</v>
      </c>
    </row>
    <row r="2" spans="1:2" x14ac:dyDescent="0.25">
      <c r="A2" s="3">
        <v>100001</v>
      </c>
      <c r="B2" t="s">
        <v>40</v>
      </c>
    </row>
    <row r="3" spans="1:2" x14ac:dyDescent="0.25">
      <c r="A3" s="3">
        <v>100002</v>
      </c>
      <c r="B3" t="s">
        <v>41</v>
      </c>
    </row>
    <row r="4" spans="1:2" x14ac:dyDescent="0.25">
      <c r="A4" s="3">
        <v>100003</v>
      </c>
      <c r="B4" t="s">
        <v>42</v>
      </c>
    </row>
    <row r="5" spans="1:2" x14ac:dyDescent="0.25">
      <c r="A5" s="3">
        <v>100004</v>
      </c>
      <c r="B5" t="s">
        <v>43</v>
      </c>
    </row>
    <row r="6" spans="1:2" x14ac:dyDescent="0.25">
      <c r="A6" s="3">
        <v>100005</v>
      </c>
      <c r="B6" t="s">
        <v>40</v>
      </c>
    </row>
    <row r="7" spans="1:2" x14ac:dyDescent="0.25">
      <c r="A7" s="3">
        <v>100006</v>
      </c>
      <c r="B7" t="s">
        <v>41</v>
      </c>
    </row>
    <row r="8" spans="1:2" x14ac:dyDescent="0.25">
      <c r="A8" s="3">
        <v>100007</v>
      </c>
      <c r="B8" t="s">
        <v>42</v>
      </c>
    </row>
    <row r="9" spans="1:2" x14ac:dyDescent="0.25">
      <c r="A9" s="3">
        <v>100008</v>
      </c>
      <c r="B9" t="s">
        <v>43</v>
      </c>
    </row>
    <row r="10" spans="1:2" x14ac:dyDescent="0.25">
      <c r="A10" s="3">
        <v>100009</v>
      </c>
      <c r="B10" t="s">
        <v>40</v>
      </c>
    </row>
    <row r="11" spans="1:2" x14ac:dyDescent="0.25">
      <c r="A11" s="3">
        <v>100010</v>
      </c>
      <c r="B11" t="s">
        <v>41</v>
      </c>
    </row>
    <row r="12" spans="1:2" x14ac:dyDescent="0.25">
      <c r="A12" s="3">
        <v>100011</v>
      </c>
      <c r="B12" t="s">
        <v>42</v>
      </c>
    </row>
    <row r="13" spans="1:2" x14ac:dyDescent="0.25">
      <c r="A13" s="3">
        <v>100012</v>
      </c>
      <c r="B13" t="s">
        <v>43</v>
      </c>
    </row>
    <row r="14" spans="1:2" x14ac:dyDescent="0.25">
      <c r="A14" s="3">
        <v>100013</v>
      </c>
      <c r="B14" t="s">
        <v>40</v>
      </c>
    </row>
    <row r="15" spans="1:2" x14ac:dyDescent="0.25">
      <c r="A15" s="3">
        <v>100014</v>
      </c>
      <c r="B15" t="s">
        <v>41</v>
      </c>
    </row>
    <row r="16" spans="1:2" x14ac:dyDescent="0.25">
      <c r="A16" s="3">
        <v>100015</v>
      </c>
      <c r="B16" t="s">
        <v>42</v>
      </c>
    </row>
    <row r="17" spans="1:2" x14ac:dyDescent="0.25">
      <c r="A17" s="3">
        <v>100016</v>
      </c>
      <c r="B17" t="s">
        <v>43</v>
      </c>
    </row>
    <row r="18" spans="1:2" x14ac:dyDescent="0.25">
      <c r="A18" s="3">
        <v>100017</v>
      </c>
      <c r="B18" t="s">
        <v>40</v>
      </c>
    </row>
    <row r="19" spans="1:2" x14ac:dyDescent="0.25">
      <c r="A19" s="3">
        <v>100018</v>
      </c>
      <c r="B19" t="s">
        <v>41</v>
      </c>
    </row>
    <row r="20" spans="1:2" x14ac:dyDescent="0.25">
      <c r="A20" s="3">
        <v>100019</v>
      </c>
      <c r="B20" t="s">
        <v>42</v>
      </c>
    </row>
    <row r="21" spans="1:2" x14ac:dyDescent="0.25">
      <c r="A21" s="3">
        <v>100020</v>
      </c>
      <c r="B21" t="s">
        <v>43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A9E5-EB7C-42B3-8993-AD42B9E8A233}">
  <dimension ref="A1:B21"/>
  <sheetViews>
    <sheetView workbookViewId="0">
      <selection activeCell="B3" sqref="B3:B6"/>
    </sheetView>
  </sheetViews>
  <sheetFormatPr defaultRowHeight="15" x14ac:dyDescent="0.25"/>
  <sheetData>
    <row r="1" spans="1:2" x14ac:dyDescent="0.25">
      <c r="A1" t="s">
        <v>12</v>
      </c>
      <c r="B1" t="s">
        <v>25</v>
      </c>
    </row>
    <row r="2" spans="1:2" x14ac:dyDescent="0.25">
      <c r="A2" s="3">
        <v>100001</v>
      </c>
      <c r="B2" t="s">
        <v>43</v>
      </c>
    </row>
    <row r="3" spans="1:2" x14ac:dyDescent="0.25">
      <c r="A3" s="3">
        <v>100002</v>
      </c>
      <c r="B3" t="s">
        <v>40</v>
      </c>
    </row>
    <row r="4" spans="1:2" x14ac:dyDescent="0.25">
      <c r="A4" s="3">
        <v>100003</v>
      </c>
      <c r="B4" t="s">
        <v>41</v>
      </c>
    </row>
    <row r="5" spans="1:2" x14ac:dyDescent="0.25">
      <c r="A5" s="3">
        <v>100004</v>
      </c>
      <c r="B5" t="s">
        <v>42</v>
      </c>
    </row>
    <row r="6" spans="1:2" x14ac:dyDescent="0.25">
      <c r="A6" s="3">
        <v>100005</v>
      </c>
      <c r="B6" t="s">
        <v>43</v>
      </c>
    </row>
    <row r="7" spans="1:2" x14ac:dyDescent="0.25">
      <c r="A7" s="3">
        <v>100006</v>
      </c>
      <c r="B7" t="s">
        <v>40</v>
      </c>
    </row>
    <row r="8" spans="1:2" x14ac:dyDescent="0.25">
      <c r="A8" s="3">
        <v>100007</v>
      </c>
      <c r="B8" t="s">
        <v>41</v>
      </c>
    </row>
    <row r="9" spans="1:2" x14ac:dyDescent="0.25">
      <c r="A9" s="3">
        <v>100008</v>
      </c>
      <c r="B9" t="s">
        <v>42</v>
      </c>
    </row>
    <row r="10" spans="1:2" x14ac:dyDescent="0.25">
      <c r="A10" s="3">
        <v>100009</v>
      </c>
      <c r="B10" t="s">
        <v>43</v>
      </c>
    </row>
    <row r="11" spans="1:2" x14ac:dyDescent="0.25">
      <c r="A11" s="3">
        <v>100010</v>
      </c>
      <c r="B11" t="s">
        <v>40</v>
      </c>
    </row>
    <row r="12" spans="1:2" x14ac:dyDescent="0.25">
      <c r="A12" s="3">
        <v>100011</v>
      </c>
      <c r="B12" t="s">
        <v>41</v>
      </c>
    </row>
    <row r="13" spans="1:2" x14ac:dyDescent="0.25">
      <c r="A13" s="3">
        <v>100012</v>
      </c>
      <c r="B13" t="s">
        <v>42</v>
      </c>
    </row>
    <row r="14" spans="1:2" x14ac:dyDescent="0.25">
      <c r="A14" s="3">
        <v>100013</v>
      </c>
      <c r="B14" t="s">
        <v>43</v>
      </c>
    </row>
    <row r="15" spans="1:2" x14ac:dyDescent="0.25">
      <c r="A15" s="3">
        <v>100014</v>
      </c>
      <c r="B15" t="s">
        <v>40</v>
      </c>
    </row>
    <row r="16" spans="1:2" x14ac:dyDescent="0.25">
      <c r="A16" s="3">
        <v>100015</v>
      </c>
      <c r="B16" t="s">
        <v>41</v>
      </c>
    </row>
    <row r="17" spans="1:2" x14ac:dyDescent="0.25">
      <c r="A17" s="3">
        <v>100016</v>
      </c>
      <c r="B17" t="s">
        <v>42</v>
      </c>
    </row>
    <row r="18" spans="1:2" x14ac:dyDescent="0.25">
      <c r="A18" s="3">
        <v>100017</v>
      </c>
      <c r="B18" t="s">
        <v>43</v>
      </c>
    </row>
    <row r="19" spans="1:2" x14ac:dyDescent="0.25">
      <c r="A19" s="3">
        <v>100018</v>
      </c>
      <c r="B19" t="s">
        <v>40</v>
      </c>
    </row>
    <row r="20" spans="1:2" x14ac:dyDescent="0.25">
      <c r="A20" s="3">
        <v>100019</v>
      </c>
      <c r="B20" t="s">
        <v>41</v>
      </c>
    </row>
    <row r="21" spans="1:2" x14ac:dyDescent="0.25">
      <c r="A21" s="3">
        <v>100020</v>
      </c>
      <c r="B21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A914-985E-4C08-A4FE-2D828330937F}">
  <dimension ref="A1:B21"/>
  <sheetViews>
    <sheetView workbookViewId="0">
      <selection activeCell="B4" sqref="B4:B7"/>
    </sheetView>
  </sheetViews>
  <sheetFormatPr defaultRowHeight="15" x14ac:dyDescent="0.25"/>
  <sheetData>
    <row r="1" spans="1:2" x14ac:dyDescent="0.25">
      <c r="A1" t="s">
        <v>12</v>
      </c>
      <c r="B1" t="s">
        <v>25</v>
      </c>
    </row>
    <row r="2" spans="1:2" x14ac:dyDescent="0.25">
      <c r="A2" s="3">
        <v>100001</v>
      </c>
      <c r="B2" t="s">
        <v>42</v>
      </c>
    </row>
    <row r="3" spans="1:2" x14ac:dyDescent="0.25">
      <c r="A3" s="3">
        <v>100002</v>
      </c>
      <c r="B3" t="s">
        <v>43</v>
      </c>
    </row>
    <row r="4" spans="1:2" x14ac:dyDescent="0.25">
      <c r="A4" s="3">
        <v>100003</v>
      </c>
      <c r="B4" t="s">
        <v>40</v>
      </c>
    </row>
    <row r="5" spans="1:2" x14ac:dyDescent="0.25">
      <c r="A5" s="3">
        <v>100004</v>
      </c>
      <c r="B5" t="s">
        <v>41</v>
      </c>
    </row>
    <row r="6" spans="1:2" x14ac:dyDescent="0.25">
      <c r="A6" s="3">
        <v>100005</v>
      </c>
      <c r="B6" t="s">
        <v>42</v>
      </c>
    </row>
    <row r="7" spans="1:2" x14ac:dyDescent="0.25">
      <c r="A7" s="3">
        <v>100006</v>
      </c>
      <c r="B7" t="s">
        <v>43</v>
      </c>
    </row>
    <row r="8" spans="1:2" x14ac:dyDescent="0.25">
      <c r="A8" s="3">
        <v>100007</v>
      </c>
      <c r="B8" t="s">
        <v>40</v>
      </c>
    </row>
    <row r="9" spans="1:2" x14ac:dyDescent="0.25">
      <c r="A9" s="3">
        <v>100008</v>
      </c>
      <c r="B9" t="s">
        <v>41</v>
      </c>
    </row>
    <row r="10" spans="1:2" x14ac:dyDescent="0.25">
      <c r="A10" s="3">
        <v>100009</v>
      </c>
      <c r="B10" t="s">
        <v>42</v>
      </c>
    </row>
    <row r="11" spans="1:2" x14ac:dyDescent="0.25">
      <c r="A11" s="3">
        <v>100010</v>
      </c>
      <c r="B11" t="s">
        <v>43</v>
      </c>
    </row>
    <row r="12" spans="1:2" x14ac:dyDescent="0.25">
      <c r="A12" s="3">
        <v>100011</v>
      </c>
      <c r="B12" t="s">
        <v>40</v>
      </c>
    </row>
    <row r="13" spans="1:2" x14ac:dyDescent="0.25">
      <c r="A13" s="3">
        <v>100012</v>
      </c>
      <c r="B13" t="s">
        <v>41</v>
      </c>
    </row>
    <row r="14" spans="1:2" x14ac:dyDescent="0.25">
      <c r="A14" s="3">
        <v>100013</v>
      </c>
      <c r="B14" t="s">
        <v>42</v>
      </c>
    </row>
    <row r="15" spans="1:2" x14ac:dyDescent="0.25">
      <c r="A15" s="3">
        <v>100014</v>
      </c>
      <c r="B15" t="s">
        <v>43</v>
      </c>
    </row>
    <row r="16" spans="1:2" x14ac:dyDescent="0.25">
      <c r="A16" s="3">
        <v>100015</v>
      </c>
      <c r="B16" t="s">
        <v>40</v>
      </c>
    </row>
    <row r="17" spans="1:2" x14ac:dyDescent="0.25">
      <c r="A17" s="3">
        <v>100016</v>
      </c>
      <c r="B17" t="s">
        <v>41</v>
      </c>
    </row>
    <row r="18" spans="1:2" x14ac:dyDescent="0.25">
      <c r="A18" s="3">
        <v>100017</v>
      </c>
      <c r="B18" t="s">
        <v>42</v>
      </c>
    </row>
    <row r="19" spans="1:2" x14ac:dyDescent="0.25">
      <c r="A19" s="3">
        <v>100018</v>
      </c>
      <c r="B19" t="s">
        <v>43</v>
      </c>
    </row>
    <row r="20" spans="1:2" x14ac:dyDescent="0.25">
      <c r="A20" s="3">
        <v>100019</v>
      </c>
      <c r="B20" t="s">
        <v>40</v>
      </c>
    </row>
    <row r="21" spans="1:2" x14ac:dyDescent="0.25">
      <c r="A21" s="3">
        <v>100020</v>
      </c>
      <c r="B21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DF49-281E-4B80-8A5E-B069CA9134F4}">
  <dimension ref="A1:B21"/>
  <sheetViews>
    <sheetView workbookViewId="0">
      <selection sqref="A1:B21"/>
    </sheetView>
  </sheetViews>
  <sheetFormatPr defaultRowHeight="15" x14ac:dyDescent="0.25"/>
  <sheetData>
    <row r="1" spans="1:2" x14ac:dyDescent="0.25">
      <c r="A1" t="s">
        <v>12</v>
      </c>
      <c r="B1" t="s">
        <v>25</v>
      </c>
    </row>
    <row r="2" spans="1:2" x14ac:dyDescent="0.25">
      <c r="A2" s="3">
        <v>100001</v>
      </c>
      <c r="B2" t="s">
        <v>41</v>
      </c>
    </row>
    <row r="3" spans="1:2" x14ac:dyDescent="0.25">
      <c r="A3" s="3">
        <v>100002</v>
      </c>
      <c r="B3" t="s">
        <v>42</v>
      </c>
    </row>
    <row r="4" spans="1:2" x14ac:dyDescent="0.25">
      <c r="A4" s="3">
        <v>100003</v>
      </c>
      <c r="B4" t="s">
        <v>43</v>
      </c>
    </row>
    <row r="5" spans="1:2" x14ac:dyDescent="0.25">
      <c r="A5" s="3">
        <v>100004</v>
      </c>
      <c r="B5" t="s">
        <v>40</v>
      </c>
    </row>
    <row r="6" spans="1:2" x14ac:dyDescent="0.25">
      <c r="A6" s="3">
        <v>100005</v>
      </c>
      <c r="B6" t="s">
        <v>41</v>
      </c>
    </row>
    <row r="7" spans="1:2" x14ac:dyDescent="0.25">
      <c r="A7" s="3">
        <v>100006</v>
      </c>
      <c r="B7" t="s">
        <v>42</v>
      </c>
    </row>
    <row r="8" spans="1:2" x14ac:dyDescent="0.25">
      <c r="A8" s="3">
        <v>100007</v>
      </c>
      <c r="B8" t="s">
        <v>43</v>
      </c>
    </row>
    <row r="9" spans="1:2" x14ac:dyDescent="0.25">
      <c r="A9" s="3">
        <v>100008</v>
      </c>
      <c r="B9" t="s">
        <v>40</v>
      </c>
    </row>
    <row r="10" spans="1:2" x14ac:dyDescent="0.25">
      <c r="A10" s="3">
        <v>100009</v>
      </c>
      <c r="B10" t="s">
        <v>41</v>
      </c>
    </row>
    <row r="11" spans="1:2" x14ac:dyDescent="0.25">
      <c r="A11" s="3">
        <v>100010</v>
      </c>
      <c r="B11" t="s">
        <v>42</v>
      </c>
    </row>
    <row r="12" spans="1:2" x14ac:dyDescent="0.25">
      <c r="A12" s="3">
        <v>100011</v>
      </c>
      <c r="B12" t="s">
        <v>43</v>
      </c>
    </row>
    <row r="13" spans="1:2" x14ac:dyDescent="0.25">
      <c r="A13" s="3">
        <v>100012</v>
      </c>
      <c r="B13" t="s">
        <v>40</v>
      </c>
    </row>
    <row r="14" spans="1:2" x14ac:dyDescent="0.25">
      <c r="A14" s="3">
        <v>100013</v>
      </c>
      <c r="B14" t="s">
        <v>41</v>
      </c>
    </row>
    <row r="15" spans="1:2" x14ac:dyDescent="0.25">
      <c r="A15" s="3">
        <v>100014</v>
      </c>
      <c r="B15" t="s">
        <v>42</v>
      </c>
    </row>
    <row r="16" spans="1:2" x14ac:dyDescent="0.25">
      <c r="A16" s="3">
        <v>100015</v>
      </c>
      <c r="B16" t="s">
        <v>43</v>
      </c>
    </row>
    <row r="17" spans="1:2" x14ac:dyDescent="0.25">
      <c r="A17" s="3">
        <v>100016</v>
      </c>
      <c r="B17" t="s">
        <v>40</v>
      </c>
    </row>
    <row r="18" spans="1:2" x14ac:dyDescent="0.25">
      <c r="A18" s="3">
        <v>100017</v>
      </c>
      <c r="B18" t="s">
        <v>41</v>
      </c>
    </row>
    <row r="19" spans="1:2" x14ac:dyDescent="0.25">
      <c r="A19" s="3">
        <v>100018</v>
      </c>
      <c r="B19" t="s">
        <v>42</v>
      </c>
    </row>
    <row r="20" spans="1:2" x14ac:dyDescent="0.25">
      <c r="A20" s="3">
        <v>100019</v>
      </c>
      <c r="B20" t="s">
        <v>43</v>
      </c>
    </row>
    <row r="21" spans="1:2" x14ac:dyDescent="0.25">
      <c r="A21" s="3">
        <v>100020</v>
      </c>
      <c r="B21" t="s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13CF-F107-4B15-B212-85C629A30E32}">
  <dimension ref="A1:B21"/>
  <sheetViews>
    <sheetView workbookViewId="0">
      <selection activeCell="G15" sqref="G15"/>
    </sheetView>
  </sheetViews>
  <sheetFormatPr defaultRowHeight="15" x14ac:dyDescent="0.25"/>
  <sheetData>
    <row r="1" spans="1:2" x14ac:dyDescent="0.25">
      <c r="A1" t="s">
        <v>12</v>
      </c>
      <c r="B1" t="s">
        <v>25</v>
      </c>
    </row>
    <row r="2" spans="1:2" x14ac:dyDescent="0.25">
      <c r="A2" s="3">
        <v>100001</v>
      </c>
      <c r="B2" t="s">
        <v>41</v>
      </c>
    </row>
    <row r="3" spans="1:2" x14ac:dyDescent="0.25">
      <c r="A3" s="3">
        <v>100002</v>
      </c>
      <c r="B3" t="s">
        <v>42</v>
      </c>
    </row>
    <row r="4" spans="1:2" x14ac:dyDescent="0.25">
      <c r="A4" s="3">
        <v>100003</v>
      </c>
      <c r="B4" t="s">
        <v>43</v>
      </c>
    </row>
    <row r="5" spans="1:2" x14ac:dyDescent="0.25">
      <c r="A5" s="3">
        <v>100004</v>
      </c>
      <c r="B5" t="s">
        <v>40</v>
      </c>
    </row>
    <row r="6" spans="1:2" x14ac:dyDescent="0.25">
      <c r="A6" s="3">
        <v>100005</v>
      </c>
      <c r="B6" t="s">
        <v>41</v>
      </c>
    </row>
    <row r="7" spans="1:2" x14ac:dyDescent="0.25">
      <c r="A7" s="3">
        <v>100006</v>
      </c>
      <c r="B7" t="s">
        <v>42</v>
      </c>
    </row>
    <row r="8" spans="1:2" x14ac:dyDescent="0.25">
      <c r="A8" s="3">
        <v>100007</v>
      </c>
      <c r="B8" t="s">
        <v>43</v>
      </c>
    </row>
    <row r="9" spans="1:2" x14ac:dyDescent="0.25">
      <c r="A9" s="3">
        <v>100008</v>
      </c>
      <c r="B9" t="s">
        <v>40</v>
      </c>
    </row>
    <row r="10" spans="1:2" x14ac:dyDescent="0.25">
      <c r="A10" s="3">
        <v>100009</v>
      </c>
      <c r="B10" t="s">
        <v>41</v>
      </c>
    </row>
    <row r="11" spans="1:2" x14ac:dyDescent="0.25">
      <c r="A11" s="3">
        <v>100010</v>
      </c>
      <c r="B11" t="s">
        <v>42</v>
      </c>
    </row>
    <row r="12" spans="1:2" x14ac:dyDescent="0.25">
      <c r="A12" s="3">
        <v>100011</v>
      </c>
      <c r="B12" t="s">
        <v>43</v>
      </c>
    </row>
    <row r="13" spans="1:2" x14ac:dyDescent="0.25">
      <c r="A13" s="3">
        <v>100012</v>
      </c>
      <c r="B13" t="s">
        <v>40</v>
      </c>
    </row>
    <row r="14" spans="1:2" x14ac:dyDescent="0.25">
      <c r="A14" s="3">
        <v>100013</v>
      </c>
      <c r="B14" t="s">
        <v>41</v>
      </c>
    </row>
    <row r="15" spans="1:2" x14ac:dyDescent="0.25">
      <c r="A15" s="3">
        <v>100014</v>
      </c>
      <c r="B15" t="s">
        <v>42</v>
      </c>
    </row>
    <row r="16" spans="1:2" x14ac:dyDescent="0.25">
      <c r="A16" s="3">
        <v>100015</v>
      </c>
      <c r="B16" t="s">
        <v>43</v>
      </c>
    </row>
    <row r="17" spans="1:2" x14ac:dyDescent="0.25">
      <c r="A17" s="3">
        <v>100016</v>
      </c>
      <c r="B17" t="s">
        <v>40</v>
      </c>
    </row>
    <row r="18" spans="1:2" x14ac:dyDescent="0.25">
      <c r="A18" s="3">
        <v>100017</v>
      </c>
      <c r="B18" t="s">
        <v>41</v>
      </c>
    </row>
    <row r="19" spans="1:2" x14ac:dyDescent="0.25">
      <c r="A19" s="3">
        <v>100018</v>
      </c>
      <c r="B19" t="s">
        <v>42</v>
      </c>
    </row>
    <row r="20" spans="1:2" x14ac:dyDescent="0.25">
      <c r="A20" s="3">
        <v>100019</v>
      </c>
      <c r="B20" t="s">
        <v>43</v>
      </c>
    </row>
    <row r="21" spans="1:2" x14ac:dyDescent="0.25">
      <c r="A21" s="3">
        <v>100020</v>
      </c>
      <c r="B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Calculator</vt:lpstr>
      <vt:lpstr>README</vt:lpstr>
      <vt:lpstr>Input</vt:lpstr>
      <vt:lpstr>Companies</vt:lpstr>
      <vt:lpstr>Zones</vt:lpstr>
      <vt:lpstr>Rates</vt:lpstr>
      <vt:lpstr>Compare</vt:lpstr>
      <vt:lpstr>Blue Dart</vt:lpstr>
      <vt:lpstr>Delhivery</vt:lpstr>
      <vt:lpstr>DTDC</vt:lpstr>
      <vt:lpstr>XpressBees</vt:lpstr>
      <vt:lpstr>Ecom Express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Singh</cp:lastModifiedBy>
  <dcterms:created xsi:type="dcterms:W3CDTF">2025-12-27T06:40:14Z</dcterms:created>
  <dcterms:modified xsi:type="dcterms:W3CDTF">2025-12-29T05:33:02Z</dcterms:modified>
</cp:coreProperties>
</file>