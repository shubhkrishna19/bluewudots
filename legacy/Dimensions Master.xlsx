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filterPrivacy="1" updateLinks="always" defaultThemeVersion="124226"/>
  <xr:revisionPtr revIDLastSave="9" documentId="8_{E338FD74-B5B3-4DE6-8FFA-DD904162BA89}" xr6:coauthVersionLast="47" xr6:coauthVersionMax="47" xr10:uidLastSave="{F99FA60A-08D8-47EF-A608-47D29926705D}"/>
  <bookViews>
    <workbookView xWindow="-120" yWindow="-120" windowWidth="29040" windowHeight="15840" xr2:uid="{00000000-000D-0000-FFFF-FFFF00000000}"/>
  </bookViews>
  <sheets>
    <sheet name="Billing Dimensions" sheetId="12" r:id="rId1"/>
    <sheet name="Audit Dimensions" sheetId="4" r:id="rId2"/>
    <sheet name="Audit VAR" sheetId="10" r:id="rId3"/>
    <sheet name="HELP" sheetId="11" r:id="rId4"/>
    <sheet name="DW.OLD" sheetId="3" r:id="rId5"/>
    <sheet name="DW (Dec18 Old)" sheetId="5" r:id="rId6"/>
    <sheet name="Physical weight.OLD" sheetId="6" r:id="rId7"/>
    <sheet name="Archive" sheetId="8" r:id="rId8"/>
    <sheet name="Billing Dim (delete later)" sheetId="13" r:id="rId9"/>
  </sheets>
  <externalReferences>
    <externalReference r:id="rId10"/>
    <externalReference r:id="rId11"/>
  </externalReferences>
  <definedNames>
    <definedName name="_xlnm._FilterDatabase" localSheetId="1" hidden="1">'Audit Dimensions'!$A$1:$X$284</definedName>
    <definedName name="_xlnm._FilterDatabase" localSheetId="2" hidden="1">'Audit VAR'!$A$3:$R$265</definedName>
    <definedName name="_xlnm._FilterDatabase" localSheetId="8" hidden="1">'Billing Dim (delete later)'!$A$3:$W$272</definedName>
    <definedName name="_xlnm._FilterDatabase" localSheetId="0" hidden="1">'Billing Dimensions'!$Y$2:$Y$258</definedName>
    <definedName name="_xlnm._FilterDatabase" localSheetId="5" hidden="1">'DW (Dec18 Old)'!$B$2:$T$179</definedName>
    <definedName name="_xlnm._FilterDatabase" localSheetId="4" hidden="1">DW.OLD!$B$3:$AK$3</definedName>
    <definedName name="_xlnm._FilterDatabase" localSheetId="6" hidden="1">'Physical weight.OLD'!$A$2:$O$258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5" i="12" l="1"/>
  <c r="R305" i="12"/>
  <c r="S305" i="12"/>
  <c r="T305" i="12"/>
  <c r="Q304" i="12"/>
  <c r="P304" i="12"/>
  <c r="O304" i="12"/>
  <c r="P288" i="4"/>
  <c r="Q288" i="4" s="1"/>
  <c r="P287" i="4"/>
  <c r="Q287" i="4" s="1"/>
  <c r="P302" i="12"/>
  <c r="P303" i="12"/>
  <c r="O302" i="12"/>
  <c r="O303" i="12"/>
  <c r="Q302" i="12"/>
  <c r="Q30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286" i="4"/>
  <c r="Q286" i="4"/>
  <c r="P285" i="4"/>
  <c r="Q285" i="4" s="1"/>
  <c r="Q301" i="12"/>
  <c r="O301" i="12"/>
  <c r="R304" i="12" l="1"/>
  <c r="S304" i="12" s="1"/>
  <c r="T304" i="12" s="1"/>
  <c r="U304" i="12" s="1"/>
  <c r="V304" i="12" s="1"/>
  <c r="W304" i="12" s="1"/>
  <c r="R301" i="12"/>
  <c r="S301" i="12" s="1"/>
  <c r="T301" i="12" s="1"/>
  <c r="U301" i="12" s="1"/>
  <c r="V301" i="12" s="1"/>
  <c r="P283" i="4"/>
  <c r="Q283" i="4" s="1"/>
  <c r="P284" i="4"/>
  <c r="Q284" i="4" s="1"/>
  <c r="O299" i="12"/>
  <c r="Q299" i="12"/>
  <c r="O300" i="12"/>
  <c r="Q300" i="12"/>
  <c r="O298" i="12"/>
  <c r="Q298" i="12"/>
  <c r="P282" i="4"/>
  <c r="Q282" i="4" s="1"/>
  <c r="G300" i="10"/>
  <c r="H300" i="10"/>
  <c r="I300" i="10"/>
  <c r="J300" i="10"/>
  <c r="K300" i="10"/>
  <c r="L300" i="10"/>
  <c r="M300" i="10"/>
  <c r="N300" i="10"/>
  <c r="N299" i="10"/>
  <c r="M299" i="10"/>
  <c r="L299" i="10"/>
  <c r="K299" i="10"/>
  <c r="J299" i="10"/>
  <c r="I299" i="10"/>
  <c r="H299" i="10"/>
  <c r="G299" i="10"/>
  <c r="N298" i="10"/>
  <c r="M298" i="10"/>
  <c r="L298" i="10"/>
  <c r="K298" i="10"/>
  <c r="J298" i="10"/>
  <c r="I298" i="10"/>
  <c r="H298" i="10"/>
  <c r="G298" i="10"/>
  <c r="N297" i="10"/>
  <c r="M297" i="10"/>
  <c r="L297" i="10"/>
  <c r="K297" i="10"/>
  <c r="J297" i="10"/>
  <c r="I297" i="10"/>
  <c r="H297" i="10"/>
  <c r="G297" i="10"/>
  <c r="N296" i="10"/>
  <c r="M296" i="10"/>
  <c r="L296" i="10"/>
  <c r="K296" i="10"/>
  <c r="J296" i="10"/>
  <c r="I296" i="10"/>
  <c r="H296" i="10"/>
  <c r="G296" i="10"/>
  <c r="N295" i="10"/>
  <c r="M295" i="10"/>
  <c r="L295" i="10"/>
  <c r="K295" i="10"/>
  <c r="J295" i="10"/>
  <c r="I295" i="10"/>
  <c r="H295" i="10"/>
  <c r="G295" i="10"/>
  <c r="N294" i="10"/>
  <c r="M294" i="10"/>
  <c r="L294" i="10"/>
  <c r="K294" i="10"/>
  <c r="J294" i="10"/>
  <c r="I294" i="10"/>
  <c r="H294" i="10"/>
  <c r="G294" i="10"/>
  <c r="N293" i="10"/>
  <c r="M293" i="10"/>
  <c r="L293" i="10"/>
  <c r="K293" i="10"/>
  <c r="J293" i="10"/>
  <c r="I293" i="10"/>
  <c r="H293" i="10"/>
  <c r="G293" i="10"/>
  <c r="P281" i="4"/>
  <c r="P280" i="4"/>
  <c r="Q280" i="4" s="1"/>
  <c r="P279" i="4"/>
  <c r="P278" i="4"/>
  <c r="Q278" i="4" s="1"/>
  <c r="P277" i="4"/>
  <c r="Q277" i="4" s="1"/>
  <c r="P276" i="4"/>
  <c r="Q276" i="4" s="1"/>
  <c r="P275" i="4"/>
  <c r="Q275" i="4" s="1"/>
  <c r="O291" i="12"/>
  <c r="Q291" i="12"/>
  <c r="O292" i="12"/>
  <c r="O294" i="10"/>
  <c r="P294" i="10" s="1"/>
  <c r="Q292" i="12"/>
  <c r="O293" i="12"/>
  <c r="O295" i="10"/>
  <c r="P295" i="10" s="1"/>
  <c r="Q293" i="12"/>
  <c r="O294" i="12"/>
  <c r="Q294" i="12"/>
  <c r="O295" i="12"/>
  <c r="Q295" i="12"/>
  <c r="R295" i="12" s="1"/>
  <c r="S295" i="12" s="1"/>
  <c r="T295" i="12" s="1"/>
  <c r="U295" i="12" s="1"/>
  <c r="V295" i="12" s="1"/>
  <c r="O296" i="12"/>
  <c r="O298" i="10"/>
  <c r="P298" i="10" s="1"/>
  <c r="Q296" i="12"/>
  <c r="R296" i="12" s="1"/>
  <c r="S296" i="12" s="1"/>
  <c r="T296" i="12" s="1"/>
  <c r="U296" i="12" s="1"/>
  <c r="V296" i="12" s="1"/>
  <c r="O297" i="12"/>
  <c r="Q297" i="12"/>
  <c r="R297" i="12" s="1"/>
  <c r="S297" i="12" s="1"/>
  <c r="T297" i="12" s="1"/>
  <c r="O287" i="12"/>
  <c r="Q287" i="12"/>
  <c r="O288" i="12"/>
  <c r="Q288" i="12"/>
  <c r="R288" i="12" s="1"/>
  <c r="S288" i="12" s="1"/>
  <c r="T288" i="12" s="1"/>
  <c r="O289" i="12"/>
  <c r="Q289" i="12"/>
  <c r="O290" i="12"/>
  <c r="Q290" i="12"/>
  <c r="R290" i="12" s="1"/>
  <c r="S290" i="12" s="1"/>
  <c r="T290" i="12" s="1"/>
  <c r="R289" i="12" l="1"/>
  <c r="S289" i="12" s="1"/>
  <c r="T289" i="12" s="1"/>
  <c r="R287" i="12"/>
  <c r="S287" i="12" s="1"/>
  <c r="T287" i="12" s="1"/>
  <c r="R294" i="12"/>
  <c r="S294" i="12" s="1"/>
  <c r="T294" i="12" s="1"/>
  <c r="U294" i="12" s="1"/>
  <c r="V294" i="12" s="1"/>
  <c r="R300" i="12"/>
  <c r="S300" i="12" s="1"/>
  <c r="T300" i="12" s="1"/>
  <c r="U300" i="12" s="1"/>
  <c r="V300" i="12" s="1"/>
  <c r="R299" i="12"/>
  <c r="R293" i="12"/>
  <c r="S293" i="12" s="1"/>
  <c r="T293" i="12" s="1"/>
  <c r="U293" i="12" s="1"/>
  <c r="V293" i="12" s="1"/>
  <c r="R292" i="12"/>
  <c r="S292" i="12" s="1"/>
  <c r="T292" i="12" s="1"/>
  <c r="U292" i="12" s="1"/>
  <c r="V292" i="12" s="1"/>
  <c r="R291" i="12"/>
  <c r="S291" i="12" s="1"/>
  <c r="T291" i="12" s="1"/>
  <c r="U291" i="12" s="1"/>
  <c r="V291" i="12" s="1"/>
  <c r="R298" i="12"/>
  <c r="S298" i="12" s="1"/>
  <c r="T298" i="12" s="1"/>
  <c r="U298" i="12" s="1"/>
  <c r="V298" i="12" s="1"/>
  <c r="O300" i="10"/>
  <c r="P300" i="10" s="1"/>
  <c r="W301" i="12"/>
  <c r="Q300" i="10"/>
  <c r="O293" i="10"/>
  <c r="P293" i="10" s="1"/>
  <c r="O296" i="10"/>
  <c r="P296" i="10" s="1"/>
  <c r="W294" i="12"/>
  <c r="W295" i="12"/>
  <c r="W293" i="12"/>
  <c r="U297" i="12"/>
  <c r="V297" i="12" s="1"/>
  <c r="W296" i="12"/>
  <c r="Q293" i="10"/>
  <c r="Q294" i="10"/>
  <c r="R294" i="10" s="1"/>
  <c r="Q295" i="10"/>
  <c r="R295" i="10" s="1"/>
  <c r="Q296" i="10"/>
  <c r="Q297" i="10"/>
  <c r="Q298" i="10"/>
  <c r="R298" i="10" s="1"/>
  <c r="Q299" i="10"/>
  <c r="Q279" i="4"/>
  <c r="O297" i="10"/>
  <c r="P297" i="10" s="1"/>
  <c r="R297" i="10" s="1"/>
  <c r="Q281" i="4"/>
  <c r="O299" i="10"/>
  <c r="P299" i="10" s="1"/>
  <c r="R299" i="10" s="1"/>
  <c r="W297" i="12"/>
  <c r="U288" i="12"/>
  <c r="V288" i="12" s="1"/>
  <c r="U287" i="12"/>
  <c r="V287" i="12" s="1"/>
  <c r="U290" i="12"/>
  <c r="V290" i="12" s="1"/>
  <c r="U289" i="12"/>
  <c r="V289" i="12" s="1"/>
  <c r="R300" i="10" l="1"/>
  <c r="W300" i="12"/>
  <c r="R293" i="10"/>
  <c r="W291" i="12"/>
  <c r="S299" i="12"/>
  <c r="T299" i="12" s="1"/>
  <c r="U299" i="12" s="1"/>
  <c r="V299" i="12" s="1"/>
  <c r="W299" i="12"/>
  <c r="W292" i="12"/>
  <c r="R296" i="10"/>
  <c r="W298" i="12"/>
  <c r="W287" i="12"/>
  <c r="W288" i="12"/>
  <c r="W289" i="12"/>
  <c r="W290" i="12"/>
  <c r="G286" i="10"/>
  <c r="N292" i="10"/>
  <c r="M292" i="10"/>
  <c r="L292" i="10"/>
  <c r="K292" i="10"/>
  <c r="J292" i="10"/>
  <c r="I292" i="10"/>
  <c r="H292" i="10"/>
  <c r="G292" i="10"/>
  <c r="N291" i="10"/>
  <c r="M291" i="10"/>
  <c r="L291" i="10"/>
  <c r="K291" i="10"/>
  <c r="J291" i="10"/>
  <c r="I291" i="10"/>
  <c r="H291" i="10"/>
  <c r="G291" i="10"/>
  <c r="N290" i="10"/>
  <c r="M290" i="10"/>
  <c r="L290" i="10"/>
  <c r="K290" i="10"/>
  <c r="J290" i="10"/>
  <c r="I290" i="10"/>
  <c r="H290" i="10"/>
  <c r="G290" i="10"/>
  <c r="N289" i="10"/>
  <c r="M289" i="10"/>
  <c r="L289" i="10"/>
  <c r="K289" i="10"/>
  <c r="J289" i="10"/>
  <c r="I289" i="10"/>
  <c r="H289" i="10"/>
  <c r="G289" i="10"/>
  <c r="N288" i="10"/>
  <c r="M288" i="10"/>
  <c r="L288" i="10"/>
  <c r="K288" i="10"/>
  <c r="J288" i="10"/>
  <c r="I288" i="10"/>
  <c r="H288" i="10"/>
  <c r="G288" i="10"/>
  <c r="N287" i="10"/>
  <c r="M287" i="10"/>
  <c r="L287" i="10"/>
  <c r="K287" i="10"/>
  <c r="J287" i="10"/>
  <c r="I287" i="10"/>
  <c r="H287" i="10"/>
  <c r="G287" i="10"/>
  <c r="N286" i="10"/>
  <c r="M286" i="10"/>
  <c r="L286" i="10"/>
  <c r="K286" i="10"/>
  <c r="J286" i="10"/>
  <c r="I286" i="10"/>
  <c r="H286" i="10"/>
  <c r="N285" i="10"/>
  <c r="M285" i="10"/>
  <c r="L285" i="10"/>
  <c r="K285" i="10"/>
  <c r="J285" i="10"/>
  <c r="I285" i="10"/>
  <c r="H285" i="10"/>
  <c r="G285" i="10"/>
  <c r="N284" i="10"/>
  <c r="M284" i="10"/>
  <c r="L284" i="10"/>
  <c r="K284" i="10"/>
  <c r="J284" i="10"/>
  <c r="I284" i="10"/>
  <c r="H284" i="10"/>
  <c r="G284" i="10"/>
  <c r="N283" i="10"/>
  <c r="M283" i="10"/>
  <c r="L283" i="10"/>
  <c r="K283" i="10"/>
  <c r="J283" i="10"/>
  <c r="I283" i="10"/>
  <c r="H283" i="10"/>
  <c r="G283" i="10"/>
  <c r="N282" i="10"/>
  <c r="M282" i="10"/>
  <c r="L282" i="10"/>
  <c r="K282" i="10"/>
  <c r="J282" i="10"/>
  <c r="I282" i="10"/>
  <c r="H282" i="10"/>
  <c r="G282" i="10"/>
  <c r="N281" i="10"/>
  <c r="M281" i="10"/>
  <c r="L281" i="10"/>
  <c r="K281" i="10"/>
  <c r="J281" i="10"/>
  <c r="I281" i="10"/>
  <c r="H281" i="10"/>
  <c r="G281" i="10"/>
  <c r="N280" i="10"/>
  <c r="M280" i="10"/>
  <c r="L280" i="10"/>
  <c r="K280" i="10"/>
  <c r="J280" i="10"/>
  <c r="I280" i="10"/>
  <c r="H280" i="10"/>
  <c r="G280" i="10"/>
  <c r="N279" i="10"/>
  <c r="M279" i="10"/>
  <c r="L279" i="10"/>
  <c r="K279" i="10"/>
  <c r="J279" i="10"/>
  <c r="I279" i="10"/>
  <c r="H279" i="10"/>
  <c r="G279" i="10"/>
  <c r="N278" i="10"/>
  <c r="M278" i="10"/>
  <c r="L278" i="10"/>
  <c r="K278" i="10"/>
  <c r="J278" i="10"/>
  <c r="I278" i="10"/>
  <c r="H278" i="10"/>
  <c r="G278" i="10"/>
  <c r="N277" i="10"/>
  <c r="M277" i="10"/>
  <c r="L277" i="10"/>
  <c r="K277" i="10"/>
  <c r="J277" i="10"/>
  <c r="I277" i="10"/>
  <c r="H277" i="10"/>
  <c r="G277" i="10"/>
  <c r="N276" i="10"/>
  <c r="M276" i="10"/>
  <c r="L276" i="10"/>
  <c r="K276" i="10"/>
  <c r="J276" i="10"/>
  <c r="I276" i="10"/>
  <c r="H276" i="10"/>
  <c r="G276" i="10"/>
  <c r="O275" i="12"/>
  <c r="Q275" i="12"/>
  <c r="O276" i="12"/>
  <c r="Q276" i="12"/>
  <c r="O277" i="12"/>
  <c r="Q277" i="12"/>
  <c r="O278" i="12"/>
  <c r="Q278" i="12"/>
  <c r="O279" i="12"/>
  <c r="Q279" i="12"/>
  <c r="O280" i="12"/>
  <c r="Q280" i="12"/>
  <c r="O281" i="12"/>
  <c r="Q281" i="12"/>
  <c r="O282" i="12"/>
  <c r="Q282" i="12"/>
  <c r="O283" i="12"/>
  <c r="Q283" i="12"/>
  <c r="O284" i="12"/>
  <c r="Q284" i="12"/>
  <c r="O285" i="12"/>
  <c r="Q285" i="12"/>
  <c r="O286" i="12"/>
  <c r="Q286" i="12"/>
  <c r="P263" i="4"/>
  <c r="Q263" i="4" s="1"/>
  <c r="P264" i="4"/>
  <c r="Q264" i="4" s="1"/>
  <c r="P265" i="4"/>
  <c r="Q265" i="4" s="1"/>
  <c r="P266" i="4"/>
  <c r="Q266" i="4" s="1"/>
  <c r="P267" i="4"/>
  <c r="Q267" i="4" s="1"/>
  <c r="P268" i="4"/>
  <c r="Q268" i="4" s="1"/>
  <c r="P269" i="4"/>
  <c r="Q269" i="4" s="1"/>
  <c r="P270" i="4"/>
  <c r="Q270" i="4" s="1"/>
  <c r="P271" i="4"/>
  <c r="Q271" i="4" s="1"/>
  <c r="P272" i="4"/>
  <c r="Q272" i="4" s="1"/>
  <c r="P273" i="4"/>
  <c r="Q273" i="4" s="1"/>
  <c r="P274" i="4"/>
  <c r="Q274" i="4" s="1"/>
  <c r="O267" i="12"/>
  <c r="O268" i="12"/>
  <c r="O269" i="12"/>
  <c r="O270" i="12"/>
  <c r="O271" i="12"/>
  <c r="O272" i="12"/>
  <c r="O273" i="12"/>
  <c r="O274" i="12"/>
  <c r="P262" i="4"/>
  <c r="Q262" i="4" s="1"/>
  <c r="P261" i="4"/>
  <c r="Q261" i="4" s="1"/>
  <c r="P260" i="4"/>
  <c r="Q260" i="4" s="1"/>
  <c r="P259" i="4"/>
  <c r="Q259" i="4" s="1"/>
  <c r="P258" i="4"/>
  <c r="Q258" i="4" s="1"/>
  <c r="P4" i="4"/>
  <c r="Q4" i="4" s="1"/>
  <c r="O48" i="12"/>
  <c r="P255" i="4"/>
  <c r="Q255" i="4" s="1"/>
  <c r="Q267" i="12"/>
  <c r="R267" i="12" s="1"/>
  <c r="S267" i="12" s="1"/>
  <c r="T267" i="12" s="1"/>
  <c r="P254" i="4"/>
  <c r="Q254" i="4" s="1"/>
  <c r="O265" i="12"/>
  <c r="Q265" i="12"/>
  <c r="O266" i="12"/>
  <c r="Q266" i="12"/>
  <c r="N272" i="10"/>
  <c r="M272" i="10"/>
  <c r="L272" i="10"/>
  <c r="K272" i="10"/>
  <c r="J272" i="10"/>
  <c r="I272" i="10"/>
  <c r="H272" i="10"/>
  <c r="G272" i="10"/>
  <c r="N271" i="10"/>
  <c r="M271" i="10"/>
  <c r="L271" i="10"/>
  <c r="K271" i="10"/>
  <c r="J271" i="10"/>
  <c r="I271" i="10"/>
  <c r="H271" i="10"/>
  <c r="G271" i="10"/>
  <c r="V254" i="4"/>
  <c r="O254" i="4" s="1"/>
  <c r="S254" i="4"/>
  <c r="V253" i="4"/>
  <c r="O253" i="4" s="1"/>
  <c r="S253" i="4"/>
  <c r="P253" i="4"/>
  <c r="P251" i="4"/>
  <c r="Q251" i="4" s="1"/>
  <c r="S251" i="4"/>
  <c r="V251" i="4"/>
  <c r="O251" i="4" s="1"/>
  <c r="P252" i="4"/>
  <c r="Q252" i="4" s="1"/>
  <c r="S252" i="4"/>
  <c r="V252" i="4"/>
  <c r="O263" i="12"/>
  <c r="Q263" i="12"/>
  <c r="O264" i="12"/>
  <c r="Q264" i="12"/>
  <c r="O260" i="12"/>
  <c r="O261" i="12"/>
  <c r="O262" i="12"/>
  <c r="V250" i="4"/>
  <c r="O250" i="4" s="1"/>
  <c r="S250" i="4"/>
  <c r="P250" i="4"/>
  <c r="Q250" i="4" s="1"/>
  <c r="V249" i="4"/>
  <c r="O249" i="4" s="1"/>
  <c r="S249" i="4"/>
  <c r="P249" i="4"/>
  <c r="Q249" i="4" s="1"/>
  <c r="V248" i="4"/>
  <c r="O248" i="4" s="1"/>
  <c r="S248" i="4"/>
  <c r="P248" i="4"/>
  <c r="Q248" i="4" s="1"/>
  <c r="P246" i="4"/>
  <c r="Q246" i="4" s="1"/>
  <c r="S246" i="4"/>
  <c r="V246" i="4"/>
  <c r="O246" i="4" s="1"/>
  <c r="P80" i="8"/>
  <c r="Q80" i="8" s="1"/>
  <c r="S80" i="8"/>
  <c r="T80" i="8" s="1"/>
  <c r="U80" i="8" s="1"/>
  <c r="V80" i="8"/>
  <c r="O80" i="8" s="1"/>
  <c r="P79" i="8"/>
  <c r="Q79" i="8" s="1"/>
  <c r="S79" i="8"/>
  <c r="V79" i="8"/>
  <c r="O79" i="8" s="1"/>
  <c r="P77" i="8"/>
  <c r="Q77" i="8" s="1"/>
  <c r="S77" i="8"/>
  <c r="V77" i="8"/>
  <c r="O77" i="8" s="1"/>
  <c r="P78" i="8"/>
  <c r="Q78" i="8" s="1"/>
  <c r="S78" i="8"/>
  <c r="V78" i="8"/>
  <c r="O78" i="8" s="1"/>
  <c r="O75" i="8"/>
  <c r="P75" i="8"/>
  <c r="Q75" i="8" s="1"/>
  <c r="S75" i="8"/>
  <c r="V75" i="8"/>
  <c r="O76" i="8"/>
  <c r="P76" i="8"/>
  <c r="Q76" i="8" s="1"/>
  <c r="S76" i="8"/>
  <c r="V76" i="8"/>
  <c r="V74" i="8"/>
  <c r="O74" i="8" s="1"/>
  <c r="S74" i="8"/>
  <c r="P74" i="8"/>
  <c r="Q74" i="8" s="1"/>
  <c r="V73" i="8"/>
  <c r="S73" i="8"/>
  <c r="P73" i="8"/>
  <c r="Q73" i="8" s="1"/>
  <c r="O73" i="8"/>
  <c r="V72" i="8"/>
  <c r="O72" i="8" s="1"/>
  <c r="S72" i="8"/>
  <c r="P72" i="8"/>
  <c r="Q72" i="8" s="1"/>
  <c r="W72" i="8" s="1"/>
  <c r="V71" i="8"/>
  <c r="O71" i="8" s="1"/>
  <c r="S71" i="8"/>
  <c r="P71" i="8"/>
  <c r="Q71" i="8" s="1"/>
  <c r="V70" i="8"/>
  <c r="O70" i="8" s="1"/>
  <c r="S70" i="8"/>
  <c r="P70" i="8"/>
  <c r="Q70" i="8" s="1"/>
  <c r="V69" i="8"/>
  <c r="O69" i="8" s="1"/>
  <c r="S69" i="8"/>
  <c r="P69" i="8"/>
  <c r="Q69" i="8" s="1"/>
  <c r="N270" i="10"/>
  <c r="M270" i="10"/>
  <c r="L270" i="10"/>
  <c r="K270" i="10"/>
  <c r="J270" i="10"/>
  <c r="I270" i="10"/>
  <c r="H270" i="10"/>
  <c r="G270" i="10"/>
  <c r="E270" i="10"/>
  <c r="D270" i="10"/>
  <c r="C270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N9" i="10"/>
  <c r="M9" i="10"/>
  <c r="L9" i="10"/>
  <c r="K9" i="10"/>
  <c r="J9" i="10"/>
  <c r="I9" i="10"/>
  <c r="H9" i="10"/>
  <c r="G9" i="10"/>
  <c r="F9" i="10"/>
  <c r="E9" i="10"/>
  <c r="D9" i="10"/>
  <c r="C9" i="10"/>
  <c r="N8" i="10"/>
  <c r="M8" i="10"/>
  <c r="L8" i="10"/>
  <c r="K8" i="10"/>
  <c r="J8" i="10"/>
  <c r="I8" i="10"/>
  <c r="H8" i="10"/>
  <c r="G8" i="10"/>
  <c r="F8" i="10"/>
  <c r="E8" i="10"/>
  <c r="D8" i="10"/>
  <c r="C8" i="10"/>
  <c r="N7" i="10"/>
  <c r="M7" i="10"/>
  <c r="L7" i="10"/>
  <c r="K7" i="10"/>
  <c r="J7" i="10"/>
  <c r="I7" i="10"/>
  <c r="H7" i="10"/>
  <c r="G7" i="10"/>
  <c r="F7" i="10"/>
  <c r="E7" i="10"/>
  <c r="D7" i="10"/>
  <c r="C7" i="10"/>
  <c r="N6" i="10"/>
  <c r="M6" i="10"/>
  <c r="L6" i="10"/>
  <c r="K6" i="10"/>
  <c r="J6" i="10"/>
  <c r="I6" i="10"/>
  <c r="H6" i="10"/>
  <c r="G6" i="10"/>
  <c r="F6" i="10"/>
  <c r="E6" i="10"/>
  <c r="D6" i="10"/>
  <c r="C6" i="10"/>
  <c r="N5" i="10"/>
  <c r="M5" i="10"/>
  <c r="L5" i="10"/>
  <c r="K5" i="10"/>
  <c r="J5" i="10"/>
  <c r="I5" i="10"/>
  <c r="H5" i="10"/>
  <c r="G5" i="10"/>
  <c r="F5" i="10"/>
  <c r="E5" i="10"/>
  <c r="D5" i="10"/>
  <c r="C5" i="10"/>
  <c r="N4" i="10"/>
  <c r="M4" i="10"/>
  <c r="L4" i="10"/>
  <c r="K4" i="10"/>
  <c r="J4" i="10"/>
  <c r="I4" i="10"/>
  <c r="H4" i="10"/>
  <c r="G4" i="10"/>
  <c r="F4" i="10"/>
  <c r="E4" i="10"/>
  <c r="D4" i="10"/>
  <c r="C4" i="10"/>
  <c r="V68" i="8"/>
  <c r="O68" i="8" s="1"/>
  <c r="S68" i="8"/>
  <c r="P68" i="8"/>
  <c r="Q68" i="8" s="1"/>
  <c r="V67" i="8"/>
  <c r="O67" i="8" s="1"/>
  <c r="S67" i="8"/>
  <c r="P67" i="8"/>
  <c r="Q67" i="8" s="1"/>
  <c r="V66" i="8"/>
  <c r="O66" i="8" s="1"/>
  <c r="S66" i="8"/>
  <c r="P66" i="8"/>
  <c r="Q66" i="8" s="1"/>
  <c r="V65" i="8"/>
  <c r="O65" i="8" s="1"/>
  <c r="S65" i="8"/>
  <c r="P65" i="8"/>
  <c r="Q65" i="8" s="1"/>
  <c r="V64" i="8"/>
  <c r="O64" i="8" s="1"/>
  <c r="S64" i="8"/>
  <c r="P64" i="8"/>
  <c r="Q64" i="8" s="1"/>
  <c r="P63" i="8"/>
  <c r="Q63" i="8" s="1"/>
  <c r="S63" i="8"/>
  <c r="V63" i="8"/>
  <c r="O63" i="8" s="1"/>
  <c r="P62" i="8"/>
  <c r="Q62" i="8" s="1"/>
  <c r="S62" i="8"/>
  <c r="V62" i="8"/>
  <c r="O62" i="8" s="1"/>
  <c r="V61" i="8"/>
  <c r="O61" i="8" s="1"/>
  <c r="S61" i="8"/>
  <c r="P61" i="8"/>
  <c r="Q61" i="8" s="1"/>
  <c r="V60" i="8"/>
  <c r="O60" i="8" s="1"/>
  <c r="S60" i="8"/>
  <c r="P60" i="8"/>
  <c r="Q60" i="8" s="1"/>
  <c r="V59" i="8"/>
  <c r="O59" i="8" s="1"/>
  <c r="S59" i="8"/>
  <c r="P59" i="8"/>
  <c r="Q59" i="8" s="1"/>
  <c r="V58" i="8"/>
  <c r="O58" i="8" s="1"/>
  <c r="S58" i="8"/>
  <c r="P58" i="8"/>
  <c r="Q58" i="8" s="1"/>
  <c r="V57" i="8"/>
  <c r="O57" i="8" s="1"/>
  <c r="S57" i="8"/>
  <c r="P57" i="8"/>
  <c r="Q57" i="8" s="1"/>
  <c r="V56" i="8"/>
  <c r="O56" i="8" s="1"/>
  <c r="S56" i="8"/>
  <c r="P56" i="8"/>
  <c r="Q56" i="8" s="1"/>
  <c r="V55" i="8"/>
  <c r="O55" i="8" s="1"/>
  <c r="S55" i="8"/>
  <c r="P55" i="8"/>
  <c r="Q55" i="8" s="1"/>
  <c r="V54" i="8"/>
  <c r="O54" i="8" s="1"/>
  <c r="S54" i="8"/>
  <c r="P54" i="8"/>
  <c r="Q54" i="8" s="1"/>
  <c r="V53" i="8"/>
  <c r="O53" i="8" s="1"/>
  <c r="S53" i="8"/>
  <c r="P53" i="8"/>
  <c r="Q53" i="8" s="1"/>
  <c r="V52" i="8"/>
  <c r="O52" i="8" s="1"/>
  <c r="S52" i="8"/>
  <c r="P52" i="8"/>
  <c r="Q52" i="8" s="1"/>
  <c r="V51" i="8"/>
  <c r="O51" i="8" s="1"/>
  <c r="S51" i="8"/>
  <c r="P51" i="8"/>
  <c r="Q51" i="8" s="1"/>
  <c r="V50" i="8"/>
  <c r="O50" i="8" s="1"/>
  <c r="S50" i="8"/>
  <c r="P50" i="8"/>
  <c r="Q50" i="8" s="1"/>
  <c r="V49" i="8"/>
  <c r="O49" i="8" s="1"/>
  <c r="S49" i="8"/>
  <c r="P49" i="8"/>
  <c r="Q49" i="8" s="1"/>
  <c r="V48" i="8"/>
  <c r="O48" i="8" s="1"/>
  <c r="S48" i="8"/>
  <c r="P48" i="8"/>
  <c r="Q48" i="8" s="1"/>
  <c r="V47" i="8"/>
  <c r="O47" i="8" s="1"/>
  <c r="S47" i="8"/>
  <c r="P47" i="8"/>
  <c r="Q47" i="8" s="1"/>
  <c r="V46" i="8"/>
  <c r="O46" i="8" s="1"/>
  <c r="S46" i="8"/>
  <c r="P46" i="8"/>
  <c r="Q46" i="8" s="1"/>
  <c r="V45" i="8"/>
  <c r="O45" i="8" s="1"/>
  <c r="S45" i="8"/>
  <c r="P45" i="8"/>
  <c r="Q45" i="8" s="1"/>
  <c r="V44" i="8"/>
  <c r="O44" i="8" s="1"/>
  <c r="S44" i="8"/>
  <c r="P44" i="8"/>
  <c r="Q44" i="8" s="1"/>
  <c r="V43" i="8"/>
  <c r="O43" i="8" s="1"/>
  <c r="S43" i="8"/>
  <c r="P43" i="8"/>
  <c r="Q43" i="8" s="1"/>
  <c r="V42" i="8"/>
  <c r="O42" i="8" s="1"/>
  <c r="S42" i="8"/>
  <c r="P42" i="8"/>
  <c r="Q42" i="8" s="1"/>
  <c r="V41" i="8"/>
  <c r="O41" i="8" s="1"/>
  <c r="S41" i="8"/>
  <c r="P41" i="8"/>
  <c r="Q41" i="8" s="1"/>
  <c r="V40" i="8"/>
  <c r="O40" i="8" s="1"/>
  <c r="S40" i="8"/>
  <c r="P40" i="8"/>
  <c r="Q40" i="8" s="1"/>
  <c r="V39" i="8"/>
  <c r="O39" i="8" s="1"/>
  <c r="S39" i="8"/>
  <c r="P39" i="8"/>
  <c r="Q39" i="8" s="1"/>
  <c r="V38" i="8"/>
  <c r="O38" i="8" s="1"/>
  <c r="S38" i="8"/>
  <c r="P38" i="8"/>
  <c r="Q38" i="8" s="1"/>
  <c r="V37" i="8"/>
  <c r="O37" i="8" s="1"/>
  <c r="S37" i="8"/>
  <c r="P37" i="8"/>
  <c r="Q37" i="8" s="1"/>
  <c r="V36" i="8"/>
  <c r="O36" i="8" s="1"/>
  <c r="S36" i="8"/>
  <c r="P36" i="8"/>
  <c r="Q36" i="8" s="1"/>
  <c r="V35" i="8"/>
  <c r="O35" i="8" s="1"/>
  <c r="S35" i="8"/>
  <c r="P35" i="8"/>
  <c r="Q35" i="8" s="1"/>
  <c r="F270" i="10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7" i="4"/>
  <c r="S4" i="4"/>
  <c r="U267" i="12"/>
  <c r="V267" i="12" s="1"/>
  <c r="O6" i="12"/>
  <c r="T251" i="4" l="1"/>
  <c r="U251" i="4" s="1"/>
  <c r="R285" i="12"/>
  <c r="S285" i="12" s="1"/>
  <c r="T285" i="12" s="1"/>
  <c r="R283" i="12"/>
  <c r="S283" i="12" s="1"/>
  <c r="T283" i="12" s="1"/>
  <c r="R281" i="12"/>
  <c r="S281" i="12" s="1"/>
  <c r="T281" i="12" s="1"/>
  <c r="R279" i="12"/>
  <c r="S279" i="12" s="1"/>
  <c r="T279" i="12" s="1"/>
  <c r="R277" i="12"/>
  <c r="S277" i="12" s="1"/>
  <c r="T277" i="12" s="1"/>
  <c r="R275" i="12"/>
  <c r="S275" i="12" s="1"/>
  <c r="T275" i="12" s="1"/>
  <c r="R264" i="12"/>
  <c r="S264" i="12" s="1"/>
  <c r="T264" i="12" s="1"/>
  <c r="U264" i="12" s="1"/>
  <c r="V264" i="12" s="1"/>
  <c r="R265" i="12"/>
  <c r="S265" i="12" s="1"/>
  <c r="T265" i="12" s="1"/>
  <c r="U265" i="12" s="1"/>
  <c r="V265" i="12" s="1"/>
  <c r="T76" i="8"/>
  <c r="U76" i="8" s="1"/>
  <c r="R263" i="12"/>
  <c r="S263" i="12" s="1"/>
  <c r="T263" i="12" s="1"/>
  <c r="R286" i="12"/>
  <c r="S286" i="12" s="1"/>
  <c r="T286" i="12" s="1"/>
  <c r="U286" i="12" s="1"/>
  <c r="V286" i="12" s="1"/>
  <c r="R284" i="12"/>
  <c r="S284" i="12" s="1"/>
  <c r="T284" i="12" s="1"/>
  <c r="R282" i="12"/>
  <c r="S282" i="12" s="1"/>
  <c r="T282" i="12" s="1"/>
  <c r="R280" i="12"/>
  <c r="S280" i="12" s="1"/>
  <c r="T280" i="12" s="1"/>
  <c r="R266" i="12"/>
  <c r="S266" i="12" s="1"/>
  <c r="T266" i="12" s="1"/>
  <c r="U266" i="12" s="1"/>
  <c r="V266" i="12" s="1"/>
  <c r="R278" i="12"/>
  <c r="S278" i="12" s="1"/>
  <c r="T278" i="12" s="1"/>
  <c r="U278" i="12" s="1"/>
  <c r="V278" i="12" s="1"/>
  <c r="R276" i="12"/>
  <c r="S276" i="12" s="1"/>
  <c r="T276" i="12" s="1"/>
  <c r="U276" i="12" s="1"/>
  <c r="V276" i="12" s="1"/>
  <c r="O277" i="10"/>
  <c r="P277" i="10" s="1"/>
  <c r="W66" i="8"/>
  <c r="W48" i="8"/>
  <c r="T58" i="8"/>
  <c r="U58" i="8" s="1"/>
  <c r="T62" i="8"/>
  <c r="U62" i="8" s="1"/>
  <c r="R65" i="8"/>
  <c r="W39" i="8"/>
  <c r="T78" i="8"/>
  <c r="U78" i="8" s="1"/>
  <c r="T56" i="8"/>
  <c r="U56" i="8" s="1"/>
  <c r="T54" i="8"/>
  <c r="U54" i="8" s="1"/>
  <c r="T67" i="8"/>
  <c r="U67" i="8" s="1"/>
  <c r="W267" i="12"/>
  <c r="O291" i="10"/>
  <c r="P291" i="10" s="1"/>
  <c r="R56" i="8"/>
  <c r="T38" i="8"/>
  <c r="U38" i="8" s="1"/>
  <c r="T48" i="8"/>
  <c r="U48" i="8" s="1"/>
  <c r="W41" i="8"/>
  <c r="T52" i="8"/>
  <c r="U52" i="8" s="1"/>
  <c r="W58" i="8"/>
  <c r="T68" i="8"/>
  <c r="U68" i="8" s="1"/>
  <c r="R71" i="8"/>
  <c r="W246" i="4"/>
  <c r="W252" i="4"/>
  <c r="R68" i="8"/>
  <c r="O279" i="10"/>
  <c r="P279" i="10" s="1"/>
  <c r="R49" i="8"/>
  <c r="W63" i="8"/>
  <c r="W37" i="8"/>
  <c r="R45" i="8"/>
  <c r="W52" i="8"/>
  <c r="T55" i="8"/>
  <c r="U55" i="8" s="1"/>
  <c r="W59" i="8"/>
  <c r="W60" i="8"/>
  <c r="W73" i="8"/>
  <c r="O287" i="10"/>
  <c r="P287" i="10" s="1"/>
  <c r="T46" i="8"/>
  <c r="U46" i="8" s="1"/>
  <c r="W68" i="8"/>
  <c r="W69" i="8"/>
  <c r="T246" i="4"/>
  <c r="U246" i="4" s="1"/>
  <c r="T252" i="4"/>
  <c r="U252" i="4" s="1"/>
  <c r="T50" i="8"/>
  <c r="U50" i="8" s="1"/>
  <c r="T63" i="8"/>
  <c r="U63" i="8" s="1"/>
  <c r="T79" i="8"/>
  <c r="U79" i="8" s="1"/>
  <c r="W251" i="4"/>
  <c r="T37" i="8"/>
  <c r="U37" i="8" s="1"/>
  <c r="W62" i="8"/>
  <c r="R66" i="8"/>
  <c r="W67" i="8"/>
  <c r="T69" i="8"/>
  <c r="U69" i="8" s="1"/>
  <c r="R72" i="8"/>
  <c r="T73" i="8"/>
  <c r="U73" i="8" s="1"/>
  <c r="R78" i="8"/>
  <c r="W265" i="12"/>
  <c r="O280" i="10"/>
  <c r="P280" i="10" s="1"/>
  <c r="O276" i="10"/>
  <c r="P276" i="10" s="1"/>
  <c r="O292" i="10"/>
  <c r="P292" i="10" s="1"/>
  <c r="O288" i="10"/>
  <c r="P288" i="10" s="1"/>
  <c r="R37" i="8"/>
  <c r="W53" i="8"/>
  <c r="T60" i="8"/>
  <c r="U60" i="8" s="1"/>
  <c r="T66" i="8"/>
  <c r="U66" i="8" s="1"/>
  <c r="R69" i="8"/>
  <c r="R73" i="8"/>
  <c r="W78" i="8"/>
  <c r="O289" i="10"/>
  <c r="P289" i="10" s="1"/>
  <c r="O285" i="10"/>
  <c r="P285" i="10" s="1"/>
  <c r="W55" i="8"/>
  <c r="R60" i="8"/>
  <c r="T75" i="8"/>
  <c r="U75" i="8" s="1"/>
  <c r="U277" i="12"/>
  <c r="V277" i="12" s="1"/>
  <c r="O281" i="10"/>
  <c r="P281" i="10" s="1"/>
  <c r="U263" i="12"/>
  <c r="V263" i="12" s="1"/>
  <c r="U284" i="12"/>
  <c r="V284" i="12" s="1"/>
  <c r="U280" i="12"/>
  <c r="V280" i="12" s="1"/>
  <c r="U275" i="12"/>
  <c r="V275" i="12" s="1"/>
  <c r="Q286" i="10"/>
  <c r="U283" i="12"/>
  <c r="V283" i="12" s="1"/>
  <c r="U279" i="12"/>
  <c r="V279" i="12" s="1"/>
  <c r="Q278" i="10"/>
  <c r="Q282" i="10"/>
  <c r="Q290" i="10"/>
  <c r="R64" i="8"/>
  <c r="W64" i="8"/>
  <c r="O284" i="10"/>
  <c r="P284" i="10" s="1"/>
  <c r="W76" i="8"/>
  <c r="R76" i="8"/>
  <c r="W75" i="8"/>
  <c r="R75" i="8"/>
  <c r="W80" i="8"/>
  <c r="R80" i="8"/>
  <c r="O272" i="10"/>
  <c r="P272" i="10" s="1"/>
  <c r="R38" i="8"/>
  <c r="W38" i="8"/>
  <c r="W79" i="8"/>
  <c r="R79" i="8"/>
  <c r="W276" i="12"/>
  <c r="O282" i="10"/>
  <c r="P282" i="10" s="1"/>
  <c r="R44" i="8"/>
  <c r="W44" i="8"/>
  <c r="R61" i="8"/>
  <c r="W61" i="8"/>
  <c r="R70" i="8"/>
  <c r="W70" i="8"/>
  <c r="R74" i="8"/>
  <c r="W74" i="8"/>
  <c r="R57" i="8"/>
  <c r="W57" i="8"/>
  <c r="R77" i="8"/>
  <c r="W77" i="8"/>
  <c r="O283" i="10"/>
  <c r="P283" i="10" s="1"/>
  <c r="W277" i="12"/>
  <c r="R58" i="8"/>
  <c r="T61" i="8"/>
  <c r="U61" i="8" s="1"/>
  <c r="R63" i="8"/>
  <c r="T64" i="8"/>
  <c r="U64" i="8" s="1"/>
  <c r="T70" i="8"/>
  <c r="U70" i="8" s="1"/>
  <c r="T74" i="8"/>
  <c r="U74" i="8" s="1"/>
  <c r="O278" i="10"/>
  <c r="P278" i="10" s="1"/>
  <c r="O286" i="10"/>
  <c r="P286" i="10" s="1"/>
  <c r="O290" i="10"/>
  <c r="P290" i="10" s="1"/>
  <c r="R62" i="8"/>
  <c r="W65" i="8"/>
  <c r="W71" i="8"/>
  <c r="Q279" i="10"/>
  <c r="Q283" i="10"/>
  <c r="Q287" i="10"/>
  <c r="Q291" i="10"/>
  <c r="W56" i="8"/>
  <c r="T40" i="8"/>
  <c r="U40" i="8" s="1"/>
  <c r="T42" i="8"/>
  <c r="U42" i="8" s="1"/>
  <c r="T44" i="8"/>
  <c r="U44" i="8" s="1"/>
  <c r="R53" i="8"/>
  <c r="T57" i="8"/>
  <c r="U57" i="8" s="1"/>
  <c r="T72" i="8"/>
  <c r="U72" i="8" s="1"/>
  <c r="T77" i="8"/>
  <c r="U77" i="8" s="1"/>
  <c r="R246" i="4"/>
  <c r="U285" i="12"/>
  <c r="V285" i="12" s="1"/>
  <c r="U281" i="12"/>
  <c r="V281" i="12" s="1"/>
  <c r="W275" i="12"/>
  <c r="Q276" i="10"/>
  <c r="Q280" i="10"/>
  <c r="Q284" i="10"/>
  <c r="Q288" i="10"/>
  <c r="Q292" i="10"/>
  <c r="T59" i="8"/>
  <c r="U59" i="8" s="1"/>
  <c r="T65" i="8"/>
  <c r="U65" i="8" s="1"/>
  <c r="T71" i="8"/>
  <c r="U71" i="8" s="1"/>
  <c r="R251" i="4"/>
  <c r="Q271" i="10"/>
  <c r="Q272" i="10"/>
  <c r="U282" i="12"/>
  <c r="V282" i="12" s="1"/>
  <c r="Q277" i="10"/>
  <c r="Q281" i="10"/>
  <c r="Q285" i="10"/>
  <c r="Q289" i="10"/>
  <c r="W286" i="12"/>
  <c r="W285" i="12"/>
  <c r="W284" i="12"/>
  <c r="W283" i="12"/>
  <c r="W282" i="12"/>
  <c r="W281" i="12"/>
  <c r="W280" i="12"/>
  <c r="W279" i="12"/>
  <c r="O252" i="4"/>
  <c r="R252" i="4" s="1"/>
  <c r="Q253" i="4"/>
  <c r="O271" i="10"/>
  <c r="P271" i="10" s="1"/>
  <c r="T39" i="8"/>
  <c r="U39" i="8" s="1"/>
  <c r="T253" i="4"/>
  <c r="U253" i="4" s="1"/>
  <c r="W254" i="4"/>
  <c r="R254" i="4"/>
  <c r="T254" i="4"/>
  <c r="U254" i="4" s="1"/>
  <c r="W248" i="4"/>
  <c r="R248" i="4"/>
  <c r="T248" i="4"/>
  <c r="U248" i="4" s="1"/>
  <c r="W249" i="4"/>
  <c r="R249" i="4"/>
  <c r="T249" i="4"/>
  <c r="U249" i="4" s="1"/>
  <c r="W250" i="4"/>
  <c r="R250" i="4"/>
  <c r="T250" i="4"/>
  <c r="U250" i="4" s="1"/>
  <c r="R39" i="8"/>
  <c r="R41" i="8"/>
  <c r="T43" i="8"/>
  <c r="U43" i="8" s="1"/>
  <c r="W45" i="8"/>
  <c r="T47" i="8"/>
  <c r="U47" i="8" s="1"/>
  <c r="R48" i="8"/>
  <c r="W49" i="8"/>
  <c r="T51" i="8"/>
  <c r="U51" i="8" s="1"/>
  <c r="R52" i="8"/>
  <c r="W54" i="8"/>
  <c r="R54" i="8"/>
  <c r="R40" i="8"/>
  <c r="W40" i="8"/>
  <c r="T41" i="8"/>
  <c r="U41" i="8" s="1"/>
  <c r="W42" i="8"/>
  <c r="R42" i="8"/>
  <c r="W43" i="8"/>
  <c r="R43" i="8"/>
  <c r="W46" i="8"/>
  <c r="R46" i="8"/>
  <c r="W47" i="8"/>
  <c r="R47" i="8"/>
  <c r="W50" i="8"/>
  <c r="R50" i="8"/>
  <c r="W51" i="8"/>
  <c r="R51" i="8"/>
  <c r="T45" i="8"/>
  <c r="U45" i="8" s="1"/>
  <c r="T49" i="8"/>
  <c r="U49" i="8" s="1"/>
  <c r="T53" i="8"/>
  <c r="U53" i="8" s="1"/>
  <c r="R55" i="8"/>
  <c r="R59" i="8"/>
  <c r="R67" i="8"/>
  <c r="T35" i="8"/>
  <c r="U35" i="8" s="1"/>
  <c r="T36" i="8"/>
  <c r="U36" i="8" s="1"/>
  <c r="W36" i="8"/>
  <c r="R36" i="8"/>
  <c r="W35" i="8"/>
  <c r="R35" i="8"/>
  <c r="P143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4" i="10"/>
  <c r="P168" i="4"/>
  <c r="P5" i="4"/>
  <c r="P6" i="4"/>
  <c r="O6" i="10" s="1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Q21" i="4" s="1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O43" i="10" s="1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62" i="10"/>
  <c r="P63" i="10"/>
  <c r="P64" i="10"/>
  <c r="P65" i="10"/>
  <c r="P66" i="10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O110" i="10" s="1"/>
  <c r="P100" i="4"/>
  <c r="P101" i="4"/>
  <c r="O112" i="10" s="1"/>
  <c r="P102" i="4"/>
  <c r="P103" i="4"/>
  <c r="P104" i="4"/>
  <c r="P105" i="4"/>
  <c r="P106" i="4"/>
  <c r="P107" i="4"/>
  <c r="P108" i="4"/>
  <c r="P109" i="4"/>
  <c r="P110" i="4"/>
  <c r="P111" i="4"/>
  <c r="P112" i="4"/>
  <c r="Q112" i="4" s="1"/>
  <c r="P113" i="4"/>
  <c r="Q113" i="4" s="1"/>
  <c r="P114" i="4"/>
  <c r="P115" i="4"/>
  <c r="P116" i="4"/>
  <c r="Q116" i="4" s="1"/>
  <c r="P117" i="4"/>
  <c r="P118" i="4"/>
  <c r="P119" i="4"/>
  <c r="P120" i="4"/>
  <c r="P121" i="4"/>
  <c r="P122" i="4"/>
  <c r="P123" i="4"/>
  <c r="P124" i="4"/>
  <c r="P125" i="4"/>
  <c r="O138" i="10" s="1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65" i="10" s="1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Q158" i="4" s="1"/>
  <c r="P159" i="4"/>
  <c r="P160" i="4"/>
  <c r="O182" i="10" s="1"/>
  <c r="P161" i="4"/>
  <c r="P162" i="4"/>
  <c r="P163" i="4"/>
  <c r="P164" i="4"/>
  <c r="P165" i="4"/>
  <c r="P166" i="4"/>
  <c r="P167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Q193" i="4" s="1"/>
  <c r="P194" i="4"/>
  <c r="P195" i="4"/>
  <c r="P196" i="4"/>
  <c r="P197" i="4"/>
  <c r="P198" i="4"/>
  <c r="P199" i="4"/>
  <c r="O222" i="10" s="1"/>
  <c r="P200" i="4"/>
  <c r="P201" i="4"/>
  <c r="P202" i="4"/>
  <c r="P203" i="4"/>
  <c r="P204" i="4"/>
  <c r="P205" i="4"/>
  <c r="P206" i="4"/>
  <c r="P207" i="4"/>
  <c r="P208" i="4"/>
  <c r="P209" i="4"/>
  <c r="P210" i="4"/>
  <c r="Q210" i="4" s="1"/>
  <c r="P211" i="4"/>
  <c r="P212" i="4"/>
  <c r="Q212" i="4" s="1"/>
  <c r="P213" i="4"/>
  <c r="O235" i="10" s="1"/>
  <c r="P214" i="4"/>
  <c r="P215" i="4"/>
  <c r="P216" i="4"/>
  <c r="P217" i="4"/>
  <c r="P218" i="4"/>
  <c r="P219" i="4"/>
  <c r="O243" i="10" s="1"/>
  <c r="P220" i="4"/>
  <c r="P221" i="4"/>
  <c r="P222" i="4"/>
  <c r="Q222" i="4" s="1"/>
  <c r="P223" i="4"/>
  <c r="P224" i="4"/>
  <c r="O248" i="10" s="1"/>
  <c r="P225" i="4"/>
  <c r="P226" i="4"/>
  <c r="P227" i="4"/>
  <c r="P228" i="4"/>
  <c r="P229" i="4"/>
  <c r="P230" i="4"/>
  <c r="P231" i="4"/>
  <c r="P232" i="4"/>
  <c r="Q232" i="4" s="1"/>
  <c r="P233" i="4"/>
  <c r="Q233" i="4" s="1"/>
  <c r="P234" i="4"/>
  <c r="P235" i="4"/>
  <c r="O259" i="10" s="1"/>
  <c r="P236" i="4"/>
  <c r="Q236" i="4" s="1"/>
  <c r="P237" i="4"/>
  <c r="Q237" i="4" s="1"/>
  <c r="P238" i="4"/>
  <c r="P239" i="4"/>
  <c r="P240" i="4"/>
  <c r="P241" i="4"/>
  <c r="P242" i="4"/>
  <c r="P243" i="4"/>
  <c r="P244" i="4"/>
  <c r="O266" i="10" s="1"/>
  <c r="P245" i="4"/>
  <c r="P247" i="4"/>
  <c r="Q6" i="12"/>
  <c r="R6" i="12" s="1"/>
  <c r="S6" i="12" s="1"/>
  <c r="T6" i="12" s="1"/>
  <c r="Q13" i="12"/>
  <c r="Q274" i="12"/>
  <c r="R274" i="12" s="1"/>
  <c r="S274" i="12" s="1"/>
  <c r="T274" i="12" s="1"/>
  <c r="Q273" i="12"/>
  <c r="R273" i="12" s="1"/>
  <c r="S273" i="12" s="1"/>
  <c r="T273" i="12" s="1"/>
  <c r="Q272" i="12"/>
  <c r="R272" i="12" s="1"/>
  <c r="S272" i="12" s="1"/>
  <c r="T272" i="12" s="1"/>
  <c r="Q271" i="12"/>
  <c r="R271" i="12" s="1"/>
  <c r="S271" i="12" s="1"/>
  <c r="T271" i="12" s="1"/>
  <c r="Q270" i="12"/>
  <c r="R270" i="12" s="1"/>
  <c r="S270" i="12" s="1"/>
  <c r="T270" i="12" s="1"/>
  <c r="Q262" i="12"/>
  <c r="Q261" i="12"/>
  <c r="Q260" i="12"/>
  <c r="Q192" i="12"/>
  <c r="Q100" i="12"/>
  <c r="Q73" i="12"/>
  <c r="Q109" i="12"/>
  <c r="Q148" i="12"/>
  <c r="Q76" i="12"/>
  <c r="Q77" i="12"/>
  <c r="Q194" i="12"/>
  <c r="Q228" i="12"/>
  <c r="Q176" i="12"/>
  <c r="Q179" i="12"/>
  <c r="Q79" i="12"/>
  <c r="Q78" i="12"/>
  <c r="Q62" i="12"/>
  <c r="Q64" i="12"/>
  <c r="Q134" i="12"/>
  <c r="Q160" i="12"/>
  <c r="Q193" i="12"/>
  <c r="Q184" i="12"/>
  <c r="Q200" i="12"/>
  <c r="Q24" i="12"/>
  <c r="Q11" i="12"/>
  <c r="Q161" i="12"/>
  <c r="Q151" i="12"/>
  <c r="Q50" i="12"/>
  <c r="Q27" i="12"/>
  <c r="Q153" i="12"/>
  <c r="Q191" i="12"/>
  <c r="Q145" i="12"/>
  <c r="Q246" i="12"/>
  <c r="Q245" i="12"/>
  <c r="Q243" i="12"/>
  <c r="Q236" i="12"/>
  <c r="Q215" i="12"/>
  <c r="Q80" i="12"/>
  <c r="Q199" i="12"/>
  <c r="Q182" i="12"/>
  <c r="Q159" i="12"/>
  <c r="Q130" i="12"/>
  <c r="Q115" i="12"/>
  <c r="Q110" i="12"/>
  <c r="Q106" i="12"/>
  <c r="Q75" i="12"/>
  <c r="Q63" i="12"/>
  <c r="Q59" i="12"/>
  <c r="Q54" i="12"/>
  <c r="Q53" i="12"/>
  <c r="Q52" i="12"/>
  <c r="Q47" i="12"/>
  <c r="Q45" i="12"/>
  <c r="Q259" i="12"/>
  <c r="Q143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4" i="12"/>
  <c r="Q242" i="12"/>
  <c r="Q241" i="12"/>
  <c r="Q240" i="12"/>
  <c r="Q239" i="12"/>
  <c r="Q238" i="12"/>
  <c r="Q237" i="12"/>
  <c r="Q235" i="12"/>
  <c r="Q234" i="12"/>
  <c r="Q233" i="12"/>
  <c r="Q232" i="12"/>
  <c r="Q231" i="12"/>
  <c r="Q230" i="12"/>
  <c r="Q229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198" i="12"/>
  <c r="Q197" i="12"/>
  <c r="Q196" i="12"/>
  <c r="Q195" i="12"/>
  <c r="Q190" i="12"/>
  <c r="Q189" i="12"/>
  <c r="Q188" i="12"/>
  <c r="Q187" i="12"/>
  <c r="Q186" i="12"/>
  <c r="Q185" i="12"/>
  <c r="Q183" i="12"/>
  <c r="Q181" i="12"/>
  <c r="Q180" i="12"/>
  <c r="Q178" i="12"/>
  <c r="Q177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58" i="12"/>
  <c r="Q157" i="12"/>
  <c r="Q156" i="12"/>
  <c r="Q155" i="12"/>
  <c r="Q154" i="12"/>
  <c r="Q152" i="12"/>
  <c r="Q150" i="12"/>
  <c r="Q149" i="12"/>
  <c r="Q147" i="12"/>
  <c r="Q146" i="12"/>
  <c r="Q144" i="12"/>
  <c r="Q142" i="12"/>
  <c r="Q141" i="12"/>
  <c r="Q140" i="12"/>
  <c r="Q139" i="12"/>
  <c r="Q138" i="12"/>
  <c r="Q137" i="12"/>
  <c r="Q136" i="12"/>
  <c r="Q135" i="12"/>
  <c r="Q133" i="12"/>
  <c r="Q132" i="12"/>
  <c r="Q131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4" i="12"/>
  <c r="Q113" i="12"/>
  <c r="Q112" i="12"/>
  <c r="Q111" i="12"/>
  <c r="Q108" i="12"/>
  <c r="Q107" i="12"/>
  <c r="Q105" i="12"/>
  <c r="Q104" i="12"/>
  <c r="Q103" i="12"/>
  <c r="Q102" i="12"/>
  <c r="Q101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74" i="12"/>
  <c r="Q72" i="12"/>
  <c r="Q71" i="12"/>
  <c r="Q70" i="12"/>
  <c r="Q69" i="12"/>
  <c r="Q68" i="12"/>
  <c r="Q67" i="12"/>
  <c r="Q66" i="12"/>
  <c r="Q65" i="12"/>
  <c r="Q61" i="12"/>
  <c r="Q60" i="12"/>
  <c r="Q58" i="12"/>
  <c r="Q57" i="12"/>
  <c r="Q56" i="12"/>
  <c r="Q55" i="12"/>
  <c r="Q51" i="12"/>
  <c r="Q49" i="12"/>
  <c r="Q48" i="12"/>
  <c r="R48" i="12" s="1"/>
  <c r="S48" i="12" s="1"/>
  <c r="T48" i="12" s="1"/>
  <c r="Q46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6" i="12"/>
  <c r="Q25" i="12"/>
  <c r="Q23" i="12"/>
  <c r="Q22" i="12"/>
  <c r="Q21" i="12"/>
  <c r="Q20" i="12"/>
  <c r="Q19" i="12"/>
  <c r="Q18" i="12"/>
  <c r="Q17" i="12"/>
  <c r="Q16" i="12"/>
  <c r="Q12" i="12"/>
  <c r="Q15" i="12"/>
  <c r="Q14" i="12"/>
  <c r="Q10" i="12"/>
  <c r="O192" i="12"/>
  <c r="O270" i="10" s="1"/>
  <c r="O100" i="12"/>
  <c r="O73" i="12"/>
  <c r="O109" i="12"/>
  <c r="O148" i="12"/>
  <c r="O76" i="12"/>
  <c r="O77" i="12"/>
  <c r="O194" i="12"/>
  <c r="O228" i="12"/>
  <c r="O176" i="12"/>
  <c r="O179" i="12"/>
  <c r="O79" i="12"/>
  <c r="O78" i="12"/>
  <c r="O62" i="12"/>
  <c r="O64" i="12"/>
  <c r="O134" i="12"/>
  <c r="O160" i="12"/>
  <c r="O193" i="12"/>
  <c r="O184" i="12"/>
  <c r="O200" i="12"/>
  <c r="O24" i="12"/>
  <c r="O11" i="12"/>
  <c r="O161" i="12"/>
  <c r="O151" i="12"/>
  <c r="O50" i="12"/>
  <c r="O27" i="12"/>
  <c r="O153" i="12"/>
  <c r="O191" i="12"/>
  <c r="O145" i="12"/>
  <c r="O246" i="12"/>
  <c r="O245" i="12"/>
  <c r="O243" i="12"/>
  <c r="O236" i="12"/>
  <c r="O215" i="12"/>
  <c r="O80" i="12"/>
  <c r="O199" i="12"/>
  <c r="O182" i="12"/>
  <c r="O159" i="12"/>
  <c r="O130" i="12"/>
  <c r="O115" i="12"/>
  <c r="O110" i="12"/>
  <c r="O106" i="12"/>
  <c r="O75" i="12"/>
  <c r="O63" i="12"/>
  <c r="O59" i="12"/>
  <c r="O54" i="12"/>
  <c r="O53" i="12"/>
  <c r="O52" i="12"/>
  <c r="O47" i="12"/>
  <c r="O45" i="12"/>
  <c r="O259" i="12"/>
  <c r="O143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4" i="12"/>
  <c r="O242" i="12"/>
  <c r="O241" i="12"/>
  <c r="O240" i="12"/>
  <c r="O239" i="12"/>
  <c r="O238" i="12"/>
  <c r="O237" i="12"/>
  <c r="O235" i="12"/>
  <c r="O234" i="12"/>
  <c r="O233" i="12"/>
  <c r="O232" i="12"/>
  <c r="O231" i="12"/>
  <c r="O230" i="12"/>
  <c r="O229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198" i="12"/>
  <c r="O197" i="12"/>
  <c r="O196" i="12"/>
  <c r="O195" i="12"/>
  <c r="O190" i="12"/>
  <c r="O189" i="12"/>
  <c r="O188" i="12"/>
  <c r="O187" i="12"/>
  <c r="O186" i="12"/>
  <c r="O185" i="12"/>
  <c r="O183" i="12"/>
  <c r="O181" i="12"/>
  <c r="O180" i="12"/>
  <c r="O178" i="12"/>
  <c r="O177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58" i="12"/>
  <c r="O157" i="12"/>
  <c r="O156" i="12"/>
  <c r="O155" i="12"/>
  <c r="O154" i="12"/>
  <c r="O152" i="12"/>
  <c r="O150" i="12"/>
  <c r="O149" i="12"/>
  <c r="O147" i="12"/>
  <c r="O146" i="12"/>
  <c r="O144" i="12"/>
  <c r="O142" i="12"/>
  <c r="O141" i="12"/>
  <c r="O140" i="12"/>
  <c r="O139" i="12"/>
  <c r="O138" i="12"/>
  <c r="O137" i="12"/>
  <c r="O136" i="12"/>
  <c r="O135" i="12"/>
  <c r="O133" i="12"/>
  <c r="O132" i="12"/>
  <c r="O131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4" i="12"/>
  <c r="O113" i="12"/>
  <c r="O112" i="12"/>
  <c r="O111" i="12"/>
  <c r="O108" i="12"/>
  <c r="O107" i="12"/>
  <c r="O105" i="12"/>
  <c r="O104" i="12"/>
  <c r="O103" i="12"/>
  <c r="O102" i="12"/>
  <c r="O101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74" i="12"/>
  <c r="O72" i="12"/>
  <c r="O71" i="12"/>
  <c r="O70" i="12"/>
  <c r="O69" i="12"/>
  <c r="O68" i="12"/>
  <c r="O67" i="12"/>
  <c r="O66" i="12"/>
  <c r="O65" i="12"/>
  <c r="O61" i="12"/>
  <c r="O60" i="12"/>
  <c r="O58" i="12"/>
  <c r="O57" i="12"/>
  <c r="O56" i="12"/>
  <c r="O55" i="12"/>
  <c r="O51" i="12"/>
  <c r="O49" i="12"/>
  <c r="O46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6" i="12"/>
  <c r="O25" i="12"/>
  <c r="O23" i="12"/>
  <c r="O22" i="12"/>
  <c r="O21" i="12"/>
  <c r="O20" i="12"/>
  <c r="O19" i="12"/>
  <c r="O18" i="12"/>
  <c r="O17" i="12"/>
  <c r="O16" i="12"/>
  <c r="O12" i="12"/>
  <c r="O15" i="12"/>
  <c r="O14" i="12"/>
  <c r="O13" i="12"/>
  <c r="O10" i="12"/>
  <c r="O9" i="12"/>
  <c r="O7" i="12"/>
  <c r="O5" i="12"/>
  <c r="O4" i="12"/>
  <c r="O8" i="12"/>
  <c r="O301" i="13"/>
  <c r="R301" i="13" s="1"/>
  <c r="O300" i="13"/>
  <c r="R300" i="13" s="1"/>
  <c r="O299" i="13"/>
  <c r="R299" i="13" s="1"/>
  <c r="O298" i="13"/>
  <c r="R298" i="13" s="1"/>
  <c r="O297" i="13"/>
  <c r="R297" i="13" s="1"/>
  <c r="O296" i="13"/>
  <c r="R296" i="13" s="1"/>
  <c r="O295" i="13"/>
  <c r="R295" i="13" s="1"/>
  <c r="O294" i="13"/>
  <c r="R294" i="13" s="1"/>
  <c r="O293" i="13"/>
  <c r="R293" i="13" s="1"/>
  <c r="O292" i="13"/>
  <c r="R292" i="13" s="1"/>
  <c r="O291" i="13"/>
  <c r="R291" i="13" s="1"/>
  <c r="O290" i="13"/>
  <c r="R290" i="13" s="1"/>
  <c r="O289" i="13"/>
  <c r="R289" i="13" s="1"/>
  <c r="O288" i="13"/>
  <c r="R288" i="13" s="1"/>
  <c r="O287" i="13"/>
  <c r="R287" i="13" s="1"/>
  <c r="O286" i="13"/>
  <c r="R286" i="13" s="1"/>
  <c r="O285" i="13"/>
  <c r="R285" i="13" s="1"/>
  <c r="O284" i="13"/>
  <c r="R284" i="13" s="1"/>
  <c r="O283" i="13"/>
  <c r="R283" i="13" s="1"/>
  <c r="O282" i="13"/>
  <c r="R282" i="13" s="1"/>
  <c r="O281" i="13"/>
  <c r="R281" i="13" s="1"/>
  <c r="O280" i="13"/>
  <c r="R280" i="13" s="1"/>
  <c r="O279" i="13"/>
  <c r="R279" i="13" s="1"/>
  <c r="O278" i="13"/>
  <c r="R278" i="13" s="1"/>
  <c r="V277" i="13"/>
  <c r="O277" i="13" s="1"/>
  <c r="S277" i="13"/>
  <c r="F277" i="13"/>
  <c r="P277" i="13" s="1"/>
  <c r="Q277" i="13" s="1"/>
  <c r="V276" i="13"/>
  <c r="O276" i="13" s="1"/>
  <c r="S276" i="13"/>
  <c r="P276" i="13"/>
  <c r="Q276" i="13" s="1"/>
  <c r="V275" i="13"/>
  <c r="O275" i="13" s="1"/>
  <c r="S275" i="13"/>
  <c r="P275" i="13"/>
  <c r="Q275" i="13" s="1"/>
  <c r="V274" i="13"/>
  <c r="O274" i="13" s="1"/>
  <c r="S274" i="13"/>
  <c r="P274" i="13"/>
  <c r="Q274" i="13" s="1"/>
  <c r="V273" i="13"/>
  <c r="O273" i="13" s="1"/>
  <c r="S273" i="13"/>
  <c r="P273" i="13"/>
  <c r="Q273" i="13" s="1"/>
  <c r="V272" i="13"/>
  <c r="O272" i="13" s="1"/>
  <c r="S272" i="13"/>
  <c r="P272" i="13"/>
  <c r="Q272" i="13" s="1"/>
  <c r="V271" i="13"/>
  <c r="O271" i="13" s="1"/>
  <c r="S271" i="13"/>
  <c r="P271" i="13"/>
  <c r="Q271" i="13" s="1"/>
  <c r="V270" i="13"/>
  <c r="O270" i="13" s="1"/>
  <c r="S270" i="13"/>
  <c r="P270" i="13"/>
  <c r="Q270" i="13" s="1"/>
  <c r="V269" i="13"/>
  <c r="O269" i="13" s="1"/>
  <c r="S269" i="13"/>
  <c r="P269" i="13"/>
  <c r="Q269" i="13" s="1"/>
  <c r="V268" i="13"/>
  <c r="O268" i="13" s="1"/>
  <c r="S268" i="13"/>
  <c r="P268" i="13"/>
  <c r="Q268" i="13" s="1"/>
  <c r="V267" i="13"/>
  <c r="O267" i="13" s="1"/>
  <c r="S267" i="13"/>
  <c r="P267" i="13"/>
  <c r="Q267" i="13" s="1"/>
  <c r="V266" i="13"/>
  <c r="O266" i="13" s="1"/>
  <c r="S266" i="13"/>
  <c r="P266" i="13"/>
  <c r="Q266" i="13" s="1"/>
  <c r="V265" i="13"/>
  <c r="O265" i="13" s="1"/>
  <c r="S265" i="13"/>
  <c r="P265" i="13"/>
  <c r="Q265" i="13" s="1"/>
  <c r="V264" i="13"/>
  <c r="O264" i="13" s="1"/>
  <c r="S264" i="13"/>
  <c r="P264" i="13"/>
  <c r="Q264" i="13" s="1"/>
  <c r="V263" i="13"/>
  <c r="O263" i="13" s="1"/>
  <c r="S263" i="13"/>
  <c r="P263" i="13"/>
  <c r="Q263" i="13" s="1"/>
  <c r="V262" i="13"/>
  <c r="O262" i="13" s="1"/>
  <c r="S262" i="13"/>
  <c r="P262" i="13"/>
  <c r="Q262" i="13" s="1"/>
  <c r="V261" i="13"/>
  <c r="O261" i="13" s="1"/>
  <c r="S261" i="13"/>
  <c r="P261" i="13"/>
  <c r="Q261" i="13" s="1"/>
  <c r="V260" i="13"/>
  <c r="O260" i="13" s="1"/>
  <c r="S260" i="13"/>
  <c r="P260" i="13"/>
  <c r="Q260" i="13" s="1"/>
  <c r="V259" i="13"/>
  <c r="O259" i="13" s="1"/>
  <c r="S259" i="13"/>
  <c r="P259" i="13"/>
  <c r="Q259" i="13" s="1"/>
  <c r="V258" i="13"/>
  <c r="O258" i="13" s="1"/>
  <c r="S258" i="13"/>
  <c r="P258" i="13"/>
  <c r="Q258" i="13" s="1"/>
  <c r="V257" i="13"/>
  <c r="O257" i="13" s="1"/>
  <c r="S257" i="13"/>
  <c r="P257" i="13"/>
  <c r="Q257" i="13" s="1"/>
  <c r="V256" i="13"/>
  <c r="O256" i="13" s="1"/>
  <c r="S256" i="13"/>
  <c r="P256" i="13"/>
  <c r="Q256" i="13" s="1"/>
  <c r="V255" i="13"/>
  <c r="O255" i="13" s="1"/>
  <c r="S255" i="13"/>
  <c r="P255" i="13"/>
  <c r="Q255" i="13" s="1"/>
  <c r="V254" i="13"/>
  <c r="O254" i="13" s="1"/>
  <c r="S254" i="13"/>
  <c r="P254" i="13"/>
  <c r="Q254" i="13" s="1"/>
  <c r="V253" i="13"/>
  <c r="O253" i="13" s="1"/>
  <c r="S253" i="13"/>
  <c r="P253" i="13"/>
  <c r="Q253" i="13" s="1"/>
  <c r="V252" i="13"/>
  <c r="O252" i="13" s="1"/>
  <c r="S252" i="13"/>
  <c r="P252" i="13"/>
  <c r="Q252" i="13" s="1"/>
  <c r="V251" i="13"/>
  <c r="O251" i="13" s="1"/>
  <c r="S251" i="13"/>
  <c r="P251" i="13"/>
  <c r="Q251" i="13" s="1"/>
  <c r="V250" i="13"/>
  <c r="O250" i="13" s="1"/>
  <c r="S250" i="13"/>
  <c r="P250" i="13"/>
  <c r="Q250" i="13" s="1"/>
  <c r="V249" i="13"/>
  <c r="O249" i="13" s="1"/>
  <c r="S249" i="13"/>
  <c r="P249" i="13"/>
  <c r="Q249" i="13" s="1"/>
  <c r="V248" i="13"/>
  <c r="O248" i="13" s="1"/>
  <c r="S248" i="13"/>
  <c r="P248" i="13"/>
  <c r="Q248" i="13" s="1"/>
  <c r="V247" i="13"/>
  <c r="O247" i="13" s="1"/>
  <c r="S247" i="13"/>
  <c r="P247" i="13"/>
  <c r="Q247" i="13" s="1"/>
  <c r="V246" i="13"/>
  <c r="O246" i="13" s="1"/>
  <c r="S246" i="13"/>
  <c r="P246" i="13"/>
  <c r="Q246" i="13" s="1"/>
  <c r="V245" i="13"/>
  <c r="O245" i="13" s="1"/>
  <c r="S245" i="13"/>
  <c r="P245" i="13"/>
  <c r="Q245" i="13" s="1"/>
  <c r="V244" i="13"/>
  <c r="O244" i="13" s="1"/>
  <c r="S244" i="13"/>
  <c r="P244" i="13"/>
  <c r="Q244" i="13" s="1"/>
  <c r="V243" i="13"/>
  <c r="O243" i="13" s="1"/>
  <c r="S243" i="13"/>
  <c r="P243" i="13"/>
  <c r="Q243" i="13" s="1"/>
  <c r="V242" i="13"/>
  <c r="O242" i="13" s="1"/>
  <c r="S242" i="13"/>
  <c r="P242" i="13"/>
  <c r="Q242" i="13" s="1"/>
  <c r="V241" i="13"/>
  <c r="O241" i="13" s="1"/>
  <c r="S241" i="13"/>
  <c r="P241" i="13"/>
  <c r="Q241" i="13" s="1"/>
  <c r="V240" i="13"/>
  <c r="O240" i="13" s="1"/>
  <c r="S240" i="13"/>
  <c r="P240" i="13"/>
  <c r="Q240" i="13" s="1"/>
  <c r="V239" i="13"/>
  <c r="O239" i="13" s="1"/>
  <c r="S239" i="13"/>
  <c r="P239" i="13"/>
  <c r="Q239" i="13" s="1"/>
  <c r="V238" i="13"/>
  <c r="O238" i="13" s="1"/>
  <c r="S238" i="13"/>
  <c r="P238" i="13"/>
  <c r="Q238" i="13" s="1"/>
  <c r="V237" i="13"/>
  <c r="O237" i="13" s="1"/>
  <c r="S237" i="13"/>
  <c r="P237" i="13"/>
  <c r="Q237" i="13" s="1"/>
  <c r="V236" i="13"/>
  <c r="O236" i="13" s="1"/>
  <c r="S236" i="13"/>
  <c r="P236" i="13"/>
  <c r="Q236" i="13" s="1"/>
  <c r="V235" i="13"/>
  <c r="O235" i="13" s="1"/>
  <c r="S235" i="13"/>
  <c r="P235" i="13"/>
  <c r="Q235" i="13" s="1"/>
  <c r="V234" i="13"/>
  <c r="O234" i="13" s="1"/>
  <c r="S234" i="13"/>
  <c r="P234" i="13"/>
  <c r="Q234" i="13" s="1"/>
  <c r="V233" i="13"/>
  <c r="O233" i="13" s="1"/>
  <c r="S233" i="13"/>
  <c r="P233" i="13"/>
  <c r="Q233" i="13" s="1"/>
  <c r="V232" i="13"/>
  <c r="O232" i="13" s="1"/>
  <c r="S232" i="13"/>
  <c r="P232" i="13"/>
  <c r="Q232" i="13" s="1"/>
  <c r="V231" i="13"/>
  <c r="O231" i="13" s="1"/>
  <c r="S231" i="13"/>
  <c r="P231" i="13"/>
  <c r="Q231" i="13" s="1"/>
  <c r="V230" i="13"/>
  <c r="O230" i="13" s="1"/>
  <c r="S230" i="13"/>
  <c r="P230" i="13"/>
  <c r="Q230" i="13" s="1"/>
  <c r="V229" i="13"/>
  <c r="O229" i="13" s="1"/>
  <c r="S229" i="13"/>
  <c r="P229" i="13"/>
  <c r="Q229" i="13" s="1"/>
  <c r="V228" i="13"/>
  <c r="O228" i="13" s="1"/>
  <c r="S228" i="13"/>
  <c r="P228" i="13"/>
  <c r="Q228" i="13" s="1"/>
  <c r="V227" i="13"/>
  <c r="O227" i="13" s="1"/>
  <c r="S227" i="13"/>
  <c r="P227" i="13"/>
  <c r="Q227" i="13" s="1"/>
  <c r="V226" i="13"/>
  <c r="O226" i="13" s="1"/>
  <c r="S226" i="13"/>
  <c r="P226" i="13"/>
  <c r="Q226" i="13" s="1"/>
  <c r="V225" i="13"/>
  <c r="O225" i="13" s="1"/>
  <c r="S225" i="13"/>
  <c r="P225" i="13"/>
  <c r="Q225" i="13" s="1"/>
  <c r="V224" i="13"/>
  <c r="O224" i="13" s="1"/>
  <c r="S224" i="13"/>
  <c r="P224" i="13"/>
  <c r="Q224" i="13" s="1"/>
  <c r="V223" i="13"/>
  <c r="O223" i="13" s="1"/>
  <c r="S223" i="13"/>
  <c r="P223" i="13"/>
  <c r="Q223" i="13" s="1"/>
  <c r="V222" i="13"/>
  <c r="O222" i="13" s="1"/>
  <c r="S222" i="13"/>
  <c r="P222" i="13"/>
  <c r="Q222" i="13" s="1"/>
  <c r="V221" i="13"/>
  <c r="O221" i="13" s="1"/>
  <c r="S221" i="13"/>
  <c r="P221" i="13"/>
  <c r="Q221" i="13" s="1"/>
  <c r="V220" i="13"/>
  <c r="O220" i="13" s="1"/>
  <c r="S220" i="13"/>
  <c r="P220" i="13"/>
  <c r="Q220" i="13" s="1"/>
  <c r="V219" i="13"/>
  <c r="O219" i="13" s="1"/>
  <c r="S219" i="13"/>
  <c r="P219" i="13"/>
  <c r="Q219" i="13" s="1"/>
  <c r="V218" i="13"/>
  <c r="O218" i="13" s="1"/>
  <c r="S218" i="13"/>
  <c r="P218" i="13"/>
  <c r="Q218" i="13" s="1"/>
  <c r="V217" i="13"/>
  <c r="O217" i="13" s="1"/>
  <c r="S217" i="13"/>
  <c r="P217" i="13"/>
  <c r="Q217" i="13" s="1"/>
  <c r="V216" i="13"/>
  <c r="O216" i="13" s="1"/>
  <c r="S216" i="13"/>
  <c r="P216" i="13"/>
  <c r="Q216" i="13" s="1"/>
  <c r="V215" i="13"/>
  <c r="O215" i="13" s="1"/>
  <c r="S215" i="13"/>
  <c r="P215" i="13"/>
  <c r="Q215" i="13" s="1"/>
  <c r="V214" i="13"/>
  <c r="O214" i="13" s="1"/>
  <c r="S214" i="13"/>
  <c r="P214" i="13"/>
  <c r="Q214" i="13" s="1"/>
  <c r="V213" i="13"/>
  <c r="O213" i="13" s="1"/>
  <c r="S213" i="13"/>
  <c r="P213" i="13"/>
  <c r="Q213" i="13" s="1"/>
  <c r="V212" i="13"/>
  <c r="O212" i="13" s="1"/>
  <c r="S212" i="13"/>
  <c r="P212" i="13"/>
  <c r="Q212" i="13" s="1"/>
  <c r="V211" i="13"/>
  <c r="O211" i="13" s="1"/>
  <c r="S211" i="13"/>
  <c r="P211" i="13"/>
  <c r="Q211" i="13" s="1"/>
  <c r="V210" i="13"/>
  <c r="O210" i="13" s="1"/>
  <c r="S210" i="13"/>
  <c r="P210" i="13"/>
  <c r="Q210" i="13" s="1"/>
  <c r="V209" i="13"/>
  <c r="O209" i="13" s="1"/>
  <c r="S209" i="13"/>
  <c r="P209" i="13"/>
  <c r="Q209" i="13" s="1"/>
  <c r="V208" i="13"/>
  <c r="O208" i="13" s="1"/>
  <c r="S208" i="13"/>
  <c r="P208" i="13"/>
  <c r="Q208" i="13" s="1"/>
  <c r="V207" i="13"/>
  <c r="O207" i="13" s="1"/>
  <c r="S207" i="13"/>
  <c r="P207" i="13"/>
  <c r="Q207" i="13" s="1"/>
  <c r="V206" i="13"/>
  <c r="O206" i="13" s="1"/>
  <c r="S206" i="13"/>
  <c r="P206" i="13"/>
  <c r="Q206" i="13" s="1"/>
  <c r="V205" i="13"/>
  <c r="O205" i="13" s="1"/>
  <c r="S205" i="13"/>
  <c r="P205" i="13"/>
  <c r="Q205" i="13" s="1"/>
  <c r="V204" i="13"/>
  <c r="O204" i="13" s="1"/>
  <c r="S204" i="13"/>
  <c r="P204" i="13"/>
  <c r="Q204" i="13" s="1"/>
  <c r="V203" i="13"/>
  <c r="O203" i="13" s="1"/>
  <c r="S203" i="13"/>
  <c r="P203" i="13"/>
  <c r="Q203" i="13" s="1"/>
  <c r="V202" i="13"/>
  <c r="O202" i="13" s="1"/>
  <c r="S202" i="13"/>
  <c r="P202" i="13"/>
  <c r="Q202" i="13" s="1"/>
  <c r="V201" i="13"/>
  <c r="O201" i="13" s="1"/>
  <c r="S201" i="13"/>
  <c r="P201" i="13"/>
  <c r="Q201" i="13" s="1"/>
  <c r="V200" i="13"/>
  <c r="O200" i="13" s="1"/>
  <c r="S200" i="13"/>
  <c r="P200" i="13"/>
  <c r="Q200" i="13" s="1"/>
  <c r="V199" i="13"/>
  <c r="O199" i="13" s="1"/>
  <c r="S199" i="13"/>
  <c r="P199" i="13"/>
  <c r="Q199" i="13" s="1"/>
  <c r="V198" i="13"/>
  <c r="O198" i="13" s="1"/>
  <c r="S198" i="13"/>
  <c r="P198" i="13"/>
  <c r="Q198" i="13" s="1"/>
  <c r="V197" i="13"/>
  <c r="O197" i="13" s="1"/>
  <c r="S197" i="13"/>
  <c r="P197" i="13"/>
  <c r="Q197" i="13" s="1"/>
  <c r="V196" i="13"/>
  <c r="O196" i="13" s="1"/>
  <c r="S196" i="13"/>
  <c r="P196" i="13"/>
  <c r="Q196" i="13" s="1"/>
  <c r="V195" i="13"/>
  <c r="O195" i="13" s="1"/>
  <c r="S195" i="13"/>
  <c r="P195" i="13"/>
  <c r="Q195" i="13" s="1"/>
  <c r="V194" i="13"/>
  <c r="O194" i="13" s="1"/>
  <c r="S194" i="13"/>
  <c r="P194" i="13"/>
  <c r="Q194" i="13" s="1"/>
  <c r="V193" i="13"/>
  <c r="O193" i="13" s="1"/>
  <c r="S193" i="13"/>
  <c r="P193" i="13"/>
  <c r="Q193" i="13" s="1"/>
  <c r="V192" i="13"/>
  <c r="O192" i="13" s="1"/>
  <c r="S192" i="13"/>
  <c r="P192" i="13"/>
  <c r="Q192" i="13" s="1"/>
  <c r="V191" i="13"/>
  <c r="O191" i="13" s="1"/>
  <c r="S191" i="13"/>
  <c r="P191" i="13"/>
  <c r="Q191" i="13" s="1"/>
  <c r="V190" i="13"/>
  <c r="O190" i="13" s="1"/>
  <c r="S190" i="13"/>
  <c r="P190" i="13"/>
  <c r="Q190" i="13" s="1"/>
  <c r="V189" i="13"/>
  <c r="O189" i="13" s="1"/>
  <c r="S189" i="13"/>
  <c r="P189" i="13"/>
  <c r="Q189" i="13" s="1"/>
  <c r="V188" i="13"/>
  <c r="O188" i="13" s="1"/>
  <c r="S188" i="13"/>
  <c r="P188" i="13"/>
  <c r="Q188" i="13" s="1"/>
  <c r="V187" i="13"/>
  <c r="O187" i="13" s="1"/>
  <c r="S187" i="13"/>
  <c r="P187" i="13"/>
  <c r="Q187" i="13" s="1"/>
  <c r="V186" i="13"/>
  <c r="O186" i="13" s="1"/>
  <c r="S186" i="13"/>
  <c r="P186" i="13"/>
  <c r="Q186" i="13" s="1"/>
  <c r="V185" i="13"/>
  <c r="O185" i="13" s="1"/>
  <c r="S185" i="13"/>
  <c r="P185" i="13"/>
  <c r="Q185" i="13" s="1"/>
  <c r="V184" i="13"/>
  <c r="O184" i="13" s="1"/>
  <c r="S184" i="13"/>
  <c r="P184" i="13"/>
  <c r="Q184" i="13" s="1"/>
  <c r="V183" i="13"/>
  <c r="O183" i="13" s="1"/>
  <c r="S183" i="13"/>
  <c r="P183" i="13"/>
  <c r="Q183" i="13" s="1"/>
  <c r="V182" i="13"/>
  <c r="O182" i="13" s="1"/>
  <c r="S182" i="13"/>
  <c r="P182" i="13"/>
  <c r="Q182" i="13" s="1"/>
  <c r="V181" i="13"/>
  <c r="O181" i="13" s="1"/>
  <c r="S181" i="13"/>
  <c r="P181" i="13"/>
  <c r="Q181" i="13" s="1"/>
  <c r="V180" i="13"/>
  <c r="O180" i="13" s="1"/>
  <c r="S180" i="13"/>
  <c r="P180" i="13"/>
  <c r="Q180" i="13" s="1"/>
  <c r="V179" i="13"/>
  <c r="O179" i="13" s="1"/>
  <c r="S179" i="13"/>
  <c r="P179" i="13"/>
  <c r="Q179" i="13" s="1"/>
  <c r="V178" i="13"/>
  <c r="O178" i="13" s="1"/>
  <c r="S178" i="13"/>
  <c r="P178" i="13"/>
  <c r="Q178" i="13" s="1"/>
  <c r="V177" i="13"/>
  <c r="O177" i="13" s="1"/>
  <c r="S177" i="13"/>
  <c r="P177" i="13"/>
  <c r="Q177" i="13" s="1"/>
  <c r="V176" i="13"/>
  <c r="O176" i="13" s="1"/>
  <c r="S176" i="13"/>
  <c r="P176" i="13"/>
  <c r="Q176" i="13" s="1"/>
  <c r="V175" i="13"/>
  <c r="O175" i="13" s="1"/>
  <c r="S175" i="13"/>
  <c r="P175" i="13"/>
  <c r="Q175" i="13" s="1"/>
  <c r="V174" i="13"/>
  <c r="O174" i="13" s="1"/>
  <c r="S174" i="13"/>
  <c r="P174" i="13"/>
  <c r="Q174" i="13" s="1"/>
  <c r="V173" i="13"/>
  <c r="O173" i="13" s="1"/>
  <c r="S173" i="13"/>
  <c r="P173" i="13"/>
  <c r="Q173" i="13" s="1"/>
  <c r="V172" i="13"/>
  <c r="O172" i="13" s="1"/>
  <c r="S172" i="13"/>
  <c r="P172" i="13"/>
  <c r="Q172" i="13" s="1"/>
  <c r="V171" i="13"/>
  <c r="O171" i="13" s="1"/>
  <c r="S171" i="13"/>
  <c r="P171" i="13"/>
  <c r="Q171" i="13" s="1"/>
  <c r="V170" i="13"/>
  <c r="O170" i="13" s="1"/>
  <c r="S170" i="13"/>
  <c r="P170" i="13"/>
  <c r="Q170" i="13" s="1"/>
  <c r="V169" i="13"/>
  <c r="O169" i="13" s="1"/>
  <c r="S169" i="13"/>
  <c r="P169" i="13"/>
  <c r="Q169" i="13" s="1"/>
  <c r="V168" i="13"/>
  <c r="O168" i="13" s="1"/>
  <c r="S168" i="13"/>
  <c r="P168" i="13"/>
  <c r="Q168" i="13" s="1"/>
  <c r="V167" i="13"/>
  <c r="O167" i="13" s="1"/>
  <c r="S167" i="13"/>
  <c r="P167" i="13"/>
  <c r="Q167" i="13" s="1"/>
  <c r="V166" i="13"/>
  <c r="O166" i="13" s="1"/>
  <c r="S166" i="13"/>
  <c r="P166" i="13"/>
  <c r="Q166" i="13" s="1"/>
  <c r="V165" i="13"/>
  <c r="O165" i="13" s="1"/>
  <c r="S165" i="13"/>
  <c r="P165" i="13"/>
  <c r="Q165" i="13" s="1"/>
  <c r="V164" i="13"/>
  <c r="O164" i="13" s="1"/>
  <c r="S164" i="13"/>
  <c r="P164" i="13"/>
  <c r="Q164" i="13" s="1"/>
  <c r="V163" i="13"/>
  <c r="O163" i="13" s="1"/>
  <c r="S163" i="13"/>
  <c r="P163" i="13"/>
  <c r="Q163" i="13" s="1"/>
  <c r="V162" i="13"/>
  <c r="O162" i="13" s="1"/>
  <c r="S162" i="13"/>
  <c r="P162" i="13"/>
  <c r="Q162" i="13" s="1"/>
  <c r="V161" i="13"/>
  <c r="O161" i="13" s="1"/>
  <c r="S161" i="13"/>
  <c r="P161" i="13"/>
  <c r="Q161" i="13" s="1"/>
  <c r="V160" i="13"/>
  <c r="O160" i="13" s="1"/>
  <c r="S160" i="13"/>
  <c r="P160" i="13"/>
  <c r="Q160" i="13" s="1"/>
  <c r="V159" i="13"/>
  <c r="O159" i="13" s="1"/>
  <c r="S159" i="13"/>
  <c r="P159" i="13"/>
  <c r="Q159" i="13" s="1"/>
  <c r="V158" i="13"/>
  <c r="O158" i="13" s="1"/>
  <c r="S158" i="13"/>
  <c r="P158" i="13"/>
  <c r="Q158" i="13" s="1"/>
  <c r="V157" i="13"/>
  <c r="O157" i="13" s="1"/>
  <c r="S157" i="13"/>
  <c r="P157" i="13"/>
  <c r="Q157" i="13" s="1"/>
  <c r="V156" i="13"/>
  <c r="O156" i="13" s="1"/>
  <c r="S156" i="13"/>
  <c r="P156" i="13"/>
  <c r="Q156" i="13" s="1"/>
  <c r="V155" i="13"/>
  <c r="O155" i="13" s="1"/>
  <c r="S155" i="13"/>
  <c r="P155" i="13"/>
  <c r="Q155" i="13" s="1"/>
  <c r="V154" i="13"/>
  <c r="O154" i="13" s="1"/>
  <c r="S154" i="13"/>
  <c r="P154" i="13"/>
  <c r="Q154" i="13" s="1"/>
  <c r="V153" i="13"/>
  <c r="O153" i="13" s="1"/>
  <c r="S153" i="13"/>
  <c r="P153" i="13"/>
  <c r="Q153" i="13" s="1"/>
  <c r="V152" i="13"/>
  <c r="O152" i="13" s="1"/>
  <c r="S152" i="13"/>
  <c r="P152" i="13"/>
  <c r="Q152" i="13" s="1"/>
  <c r="V151" i="13"/>
  <c r="O151" i="13" s="1"/>
  <c r="S151" i="13"/>
  <c r="P151" i="13"/>
  <c r="Q151" i="13" s="1"/>
  <c r="V150" i="13"/>
  <c r="O150" i="13" s="1"/>
  <c r="S150" i="13"/>
  <c r="P150" i="13"/>
  <c r="Q150" i="13" s="1"/>
  <c r="V149" i="13"/>
  <c r="O149" i="13" s="1"/>
  <c r="S149" i="13"/>
  <c r="P149" i="13"/>
  <c r="Q149" i="13" s="1"/>
  <c r="V148" i="13"/>
  <c r="O148" i="13" s="1"/>
  <c r="S148" i="13"/>
  <c r="P148" i="13"/>
  <c r="Q148" i="13" s="1"/>
  <c r="V147" i="13"/>
  <c r="O147" i="13" s="1"/>
  <c r="S147" i="13"/>
  <c r="P147" i="13"/>
  <c r="Q147" i="13" s="1"/>
  <c r="V146" i="13"/>
  <c r="O146" i="13" s="1"/>
  <c r="S146" i="13"/>
  <c r="P146" i="13"/>
  <c r="Q146" i="13" s="1"/>
  <c r="V145" i="13"/>
  <c r="O145" i="13" s="1"/>
  <c r="S145" i="13"/>
  <c r="P145" i="13"/>
  <c r="Q145" i="13" s="1"/>
  <c r="V144" i="13"/>
  <c r="O144" i="13" s="1"/>
  <c r="S144" i="13"/>
  <c r="P144" i="13"/>
  <c r="Q144" i="13" s="1"/>
  <c r="V143" i="13"/>
  <c r="O143" i="13" s="1"/>
  <c r="S143" i="13"/>
  <c r="P143" i="13"/>
  <c r="Q143" i="13" s="1"/>
  <c r="V142" i="13"/>
  <c r="O142" i="13" s="1"/>
  <c r="S142" i="13"/>
  <c r="P142" i="13"/>
  <c r="Q142" i="13" s="1"/>
  <c r="V141" i="13"/>
  <c r="O141" i="13" s="1"/>
  <c r="S141" i="13"/>
  <c r="P141" i="13"/>
  <c r="Q141" i="13" s="1"/>
  <c r="V140" i="13"/>
  <c r="O140" i="13" s="1"/>
  <c r="S140" i="13"/>
  <c r="P140" i="13"/>
  <c r="Q140" i="13" s="1"/>
  <c r="V139" i="13"/>
  <c r="O139" i="13" s="1"/>
  <c r="S139" i="13"/>
  <c r="P139" i="13"/>
  <c r="Q139" i="13" s="1"/>
  <c r="V138" i="13"/>
  <c r="O138" i="13" s="1"/>
  <c r="S138" i="13"/>
  <c r="P138" i="13"/>
  <c r="Q138" i="13" s="1"/>
  <c r="V137" i="13"/>
  <c r="O137" i="13" s="1"/>
  <c r="S137" i="13"/>
  <c r="P137" i="13"/>
  <c r="Q137" i="13" s="1"/>
  <c r="V136" i="13"/>
  <c r="O136" i="13" s="1"/>
  <c r="S136" i="13"/>
  <c r="P136" i="13"/>
  <c r="Q136" i="13" s="1"/>
  <c r="V135" i="13"/>
  <c r="O135" i="13" s="1"/>
  <c r="S135" i="13"/>
  <c r="P135" i="13"/>
  <c r="Q135" i="13" s="1"/>
  <c r="V134" i="13"/>
  <c r="O134" i="13" s="1"/>
  <c r="S134" i="13"/>
  <c r="P134" i="13"/>
  <c r="Q134" i="13" s="1"/>
  <c r="V133" i="13"/>
  <c r="O133" i="13" s="1"/>
  <c r="S133" i="13"/>
  <c r="P133" i="13"/>
  <c r="Q133" i="13" s="1"/>
  <c r="V132" i="13"/>
  <c r="O132" i="13" s="1"/>
  <c r="S132" i="13"/>
  <c r="P132" i="13"/>
  <c r="Q132" i="13" s="1"/>
  <c r="V131" i="13"/>
  <c r="O131" i="13" s="1"/>
  <c r="S131" i="13"/>
  <c r="P131" i="13"/>
  <c r="Q131" i="13" s="1"/>
  <c r="V130" i="13"/>
  <c r="O130" i="13" s="1"/>
  <c r="S130" i="13"/>
  <c r="P130" i="13"/>
  <c r="Q130" i="13" s="1"/>
  <c r="V129" i="13"/>
  <c r="O129" i="13" s="1"/>
  <c r="S129" i="13"/>
  <c r="P129" i="13"/>
  <c r="Q129" i="13" s="1"/>
  <c r="V128" i="13"/>
  <c r="O128" i="13" s="1"/>
  <c r="S128" i="13"/>
  <c r="P128" i="13"/>
  <c r="Q128" i="13" s="1"/>
  <c r="V127" i="13"/>
  <c r="O127" i="13" s="1"/>
  <c r="S127" i="13"/>
  <c r="P127" i="13"/>
  <c r="Q127" i="13" s="1"/>
  <c r="V126" i="13"/>
  <c r="O126" i="13" s="1"/>
  <c r="S126" i="13"/>
  <c r="P126" i="13"/>
  <c r="Q126" i="13" s="1"/>
  <c r="V125" i="13"/>
  <c r="O125" i="13" s="1"/>
  <c r="S125" i="13"/>
  <c r="P125" i="13"/>
  <c r="Q125" i="13" s="1"/>
  <c r="V124" i="13"/>
  <c r="O124" i="13" s="1"/>
  <c r="S124" i="13"/>
  <c r="P124" i="13"/>
  <c r="Q124" i="13" s="1"/>
  <c r="V123" i="13"/>
  <c r="O123" i="13" s="1"/>
  <c r="S123" i="13"/>
  <c r="P123" i="13"/>
  <c r="Q123" i="13" s="1"/>
  <c r="V122" i="13"/>
  <c r="O122" i="13" s="1"/>
  <c r="S122" i="13"/>
  <c r="P122" i="13"/>
  <c r="Q122" i="13" s="1"/>
  <c r="V121" i="13"/>
  <c r="O121" i="13" s="1"/>
  <c r="S121" i="13"/>
  <c r="P121" i="13"/>
  <c r="Q121" i="13" s="1"/>
  <c r="V120" i="13"/>
  <c r="O120" i="13" s="1"/>
  <c r="S120" i="13"/>
  <c r="P120" i="13"/>
  <c r="Q120" i="13" s="1"/>
  <c r="V119" i="13"/>
  <c r="O119" i="13" s="1"/>
  <c r="S119" i="13"/>
  <c r="P119" i="13"/>
  <c r="Q119" i="13" s="1"/>
  <c r="V118" i="13"/>
  <c r="O118" i="13" s="1"/>
  <c r="S118" i="13"/>
  <c r="P118" i="13"/>
  <c r="Q118" i="13" s="1"/>
  <c r="V117" i="13"/>
  <c r="O117" i="13" s="1"/>
  <c r="S117" i="13"/>
  <c r="P117" i="13"/>
  <c r="Q117" i="13" s="1"/>
  <c r="V116" i="13"/>
  <c r="O116" i="13" s="1"/>
  <c r="S116" i="13"/>
  <c r="P116" i="13"/>
  <c r="Q116" i="13" s="1"/>
  <c r="V115" i="13"/>
  <c r="O115" i="13" s="1"/>
  <c r="S115" i="13"/>
  <c r="P115" i="13"/>
  <c r="Q115" i="13" s="1"/>
  <c r="V114" i="13"/>
  <c r="O114" i="13" s="1"/>
  <c r="S114" i="13"/>
  <c r="P114" i="13"/>
  <c r="Q114" i="13" s="1"/>
  <c r="V113" i="13"/>
  <c r="O113" i="13" s="1"/>
  <c r="S113" i="13"/>
  <c r="P113" i="13"/>
  <c r="Q113" i="13" s="1"/>
  <c r="V112" i="13"/>
  <c r="O112" i="13" s="1"/>
  <c r="S112" i="13"/>
  <c r="P112" i="13"/>
  <c r="Q112" i="13" s="1"/>
  <c r="V111" i="13"/>
  <c r="O111" i="13" s="1"/>
  <c r="S111" i="13"/>
  <c r="P111" i="13"/>
  <c r="Q111" i="13" s="1"/>
  <c r="V110" i="13"/>
  <c r="O110" i="13" s="1"/>
  <c r="S110" i="13"/>
  <c r="P110" i="13"/>
  <c r="Q110" i="13" s="1"/>
  <c r="V109" i="13"/>
  <c r="O109" i="13" s="1"/>
  <c r="S109" i="13"/>
  <c r="P109" i="13"/>
  <c r="Q109" i="13" s="1"/>
  <c r="V108" i="13"/>
  <c r="O108" i="13" s="1"/>
  <c r="S108" i="13"/>
  <c r="P108" i="13"/>
  <c r="Q108" i="13" s="1"/>
  <c r="V107" i="13"/>
  <c r="O107" i="13" s="1"/>
  <c r="S107" i="13"/>
  <c r="P107" i="13"/>
  <c r="Q107" i="13" s="1"/>
  <c r="V106" i="13"/>
  <c r="O106" i="13" s="1"/>
  <c r="S106" i="13"/>
  <c r="P106" i="13"/>
  <c r="Q106" i="13" s="1"/>
  <c r="V105" i="13"/>
  <c r="O105" i="13" s="1"/>
  <c r="S105" i="13"/>
  <c r="P105" i="13"/>
  <c r="Q105" i="13" s="1"/>
  <c r="V104" i="13"/>
  <c r="O104" i="13" s="1"/>
  <c r="S104" i="13"/>
  <c r="P104" i="13"/>
  <c r="Q104" i="13" s="1"/>
  <c r="V103" i="13"/>
  <c r="O103" i="13" s="1"/>
  <c r="S103" i="13"/>
  <c r="P103" i="13"/>
  <c r="Q103" i="13" s="1"/>
  <c r="V102" i="13"/>
  <c r="O102" i="13" s="1"/>
  <c r="S102" i="13"/>
  <c r="P102" i="13"/>
  <c r="Q102" i="13" s="1"/>
  <c r="V101" i="13"/>
  <c r="O101" i="13" s="1"/>
  <c r="S101" i="13"/>
  <c r="P101" i="13"/>
  <c r="Q101" i="13" s="1"/>
  <c r="V100" i="13"/>
  <c r="O100" i="13" s="1"/>
  <c r="S100" i="13"/>
  <c r="P100" i="13"/>
  <c r="Q100" i="13" s="1"/>
  <c r="V99" i="13"/>
  <c r="O99" i="13" s="1"/>
  <c r="S99" i="13"/>
  <c r="P99" i="13"/>
  <c r="Q99" i="13" s="1"/>
  <c r="V98" i="13"/>
  <c r="O98" i="13" s="1"/>
  <c r="S98" i="13"/>
  <c r="P98" i="13"/>
  <c r="Q98" i="13" s="1"/>
  <c r="V97" i="13"/>
  <c r="O97" i="13" s="1"/>
  <c r="S97" i="13"/>
  <c r="P97" i="13"/>
  <c r="Q97" i="13" s="1"/>
  <c r="V96" i="13"/>
  <c r="O96" i="13" s="1"/>
  <c r="S96" i="13"/>
  <c r="P96" i="13"/>
  <c r="Q96" i="13" s="1"/>
  <c r="V95" i="13"/>
  <c r="O95" i="13" s="1"/>
  <c r="S95" i="13"/>
  <c r="P95" i="13"/>
  <c r="Q95" i="13" s="1"/>
  <c r="V94" i="13"/>
  <c r="O94" i="13" s="1"/>
  <c r="S94" i="13"/>
  <c r="P94" i="13"/>
  <c r="Q94" i="13" s="1"/>
  <c r="V93" i="13"/>
  <c r="O93" i="13" s="1"/>
  <c r="S93" i="13"/>
  <c r="P93" i="13"/>
  <c r="Q93" i="13" s="1"/>
  <c r="V92" i="13"/>
  <c r="O92" i="13" s="1"/>
  <c r="S92" i="13"/>
  <c r="P92" i="13"/>
  <c r="Q92" i="13" s="1"/>
  <c r="V91" i="13"/>
  <c r="O91" i="13" s="1"/>
  <c r="S91" i="13"/>
  <c r="P91" i="13"/>
  <c r="Q91" i="13" s="1"/>
  <c r="V90" i="13"/>
  <c r="O90" i="13" s="1"/>
  <c r="S90" i="13"/>
  <c r="P90" i="13"/>
  <c r="Q90" i="13" s="1"/>
  <c r="V89" i="13"/>
  <c r="O89" i="13" s="1"/>
  <c r="S89" i="13"/>
  <c r="P89" i="13"/>
  <c r="Q89" i="13" s="1"/>
  <c r="V88" i="13"/>
  <c r="O88" i="13" s="1"/>
  <c r="S88" i="13"/>
  <c r="P88" i="13"/>
  <c r="Q88" i="13" s="1"/>
  <c r="V87" i="13"/>
  <c r="O87" i="13" s="1"/>
  <c r="S87" i="13"/>
  <c r="P87" i="13"/>
  <c r="Q87" i="13" s="1"/>
  <c r="V86" i="13"/>
  <c r="O86" i="13" s="1"/>
  <c r="S86" i="13"/>
  <c r="P86" i="13"/>
  <c r="Q86" i="13" s="1"/>
  <c r="V85" i="13"/>
  <c r="O85" i="13" s="1"/>
  <c r="S85" i="13"/>
  <c r="P85" i="13"/>
  <c r="Q85" i="13" s="1"/>
  <c r="V84" i="13"/>
  <c r="O84" i="13" s="1"/>
  <c r="S84" i="13"/>
  <c r="P84" i="13"/>
  <c r="Q84" i="13" s="1"/>
  <c r="V83" i="13"/>
  <c r="O83" i="13" s="1"/>
  <c r="S83" i="13"/>
  <c r="P83" i="13"/>
  <c r="Q83" i="13" s="1"/>
  <c r="V82" i="13"/>
  <c r="O82" i="13" s="1"/>
  <c r="S82" i="13"/>
  <c r="P82" i="13"/>
  <c r="Q82" i="13" s="1"/>
  <c r="V81" i="13"/>
  <c r="O81" i="13" s="1"/>
  <c r="S81" i="13"/>
  <c r="P81" i="13"/>
  <c r="Q81" i="13" s="1"/>
  <c r="V80" i="13"/>
  <c r="O80" i="13" s="1"/>
  <c r="S80" i="13"/>
  <c r="P80" i="13"/>
  <c r="Q80" i="13" s="1"/>
  <c r="V79" i="13"/>
  <c r="O79" i="13" s="1"/>
  <c r="S79" i="13"/>
  <c r="P79" i="13"/>
  <c r="Q79" i="13" s="1"/>
  <c r="V78" i="13"/>
  <c r="O78" i="13" s="1"/>
  <c r="S78" i="13"/>
  <c r="P78" i="13"/>
  <c r="Q78" i="13" s="1"/>
  <c r="V77" i="13"/>
  <c r="O77" i="13" s="1"/>
  <c r="S77" i="13"/>
  <c r="P77" i="13"/>
  <c r="Q77" i="13" s="1"/>
  <c r="V76" i="13"/>
  <c r="O76" i="13" s="1"/>
  <c r="S76" i="13"/>
  <c r="P76" i="13"/>
  <c r="Q76" i="13" s="1"/>
  <c r="V75" i="13"/>
  <c r="O75" i="13" s="1"/>
  <c r="S75" i="13"/>
  <c r="P75" i="13"/>
  <c r="Q75" i="13" s="1"/>
  <c r="V74" i="13"/>
  <c r="O74" i="13" s="1"/>
  <c r="S74" i="13"/>
  <c r="P74" i="13"/>
  <c r="Q74" i="13" s="1"/>
  <c r="V73" i="13"/>
  <c r="O73" i="13" s="1"/>
  <c r="S73" i="13"/>
  <c r="P73" i="13"/>
  <c r="Q73" i="13" s="1"/>
  <c r="V72" i="13"/>
  <c r="O72" i="13" s="1"/>
  <c r="S72" i="13"/>
  <c r="P72" i="13"/>
  <c r="Q72" i="13" s="1"/>
  <c r="V71" i="13"/>
  <c r="O71" i="13" s="1"/>
  <c r="S71" i="13"/>
  <c r="P71" i="13"/>
  <c r="Q71" i="13" s="1"/>
  <c r="V70" i="13"/>
  <c r="O70" i="13" s="1"/>
  <c r="S70" i="13"/>
  <c r="P70" i="13"/>
  <c r="Q70" i="13" s="1"/>
  <c r="V69" i="13"/>
  <c r="O69" i="13" s="1"/>
  <c r="S69" i="13"/>
  <c r="P69" i="13"/>
  <c r="Q69" i="13" s="1"/>
  <c r="V68" i="13"/>
  <c r="O68" i="13" s="1"/>
  <c r="S68" i="13"/>
  <c r="P68" i="13"/>
  <c r="Q68" i="13" s="1"/>
  <c r="V67" i="13"/>
  <c r="O67" i="13" s="1"/>
  <c r="S67" i="13"/>
  <c r="P67" i="13"/>
  <c r="Q67" i="13" s="1"/>
  <c r="V66" i="13"/>
  <c r="O66" i="13" s="1"/>
  <c r="S66" i="13"/>
  <c r="P66" i="13"/>
  <c r="Q66" i="13" s="1"/>
  <c r="V65" i="13"/>
  <c r="O65" i="13" s="1"/>
  <c r="S65" i="13"/>
  <c r="P65" i="13"/>
  <c r="Q65" i="13" s="1"/>
  <c r="V64" i="13"/>
  <c r="O64" i="13" s="1"/>
  <c r="S64" i="13"/>
  <c r="P64" i="13"/>
  <c r="Q64" i="13" s="1"/>
  <c r="V63" i="13"/>
  <c r="O63" i="13" s="1"/>
  <c r="S63" i="13"/>
  <c r="P63" i="13"/>
  <c r="Q63" i="13" s="1"/>
  <c r="V62" i="13"/>
  <c r="O62" i="13" s="1"/>
  <c r="S62" i="13"/>
  <c r="P62" i="13"/>
  <c r="Q62" i="13" s="1"/>
  <c r="V61" i="13"/>
  <c r="O61" i="13" s="1"/>
  <c r="S61" i="13"/>
  <c r="P61" i="13"/>
  <c r="Q61" i="13" s="1"/>
  <c r="V60" i="13"/>
  <c r="O60" i="13" s="1"/>
  <c r="S60" i="13"/>
  <c r="P60" i="13"/>
  <c r="Q60" i="13" s="1"/>
  <c r="V59" i="13"/>
  <c r="O59" i="13" s="1"/>
  <c r="S59" i="13"/>
  <c r="P59" i="13"/>
  <c r="Q59" i="13" s="1"/>
  <c r="V58" i="13"/>
  <c r="O58" i="13" s="1"/>
  <c r="S58" i="13"/>
  <c r="P58" i="13"/>
  <c r="Q58" i="13" s="1"/>
  <c r="V57" i="13"/>
  <c r="O57" i="13" s="1"/>
  <c r="S57" i="13"/>
  <c r="P57" i="13"/>
  <c r="Q57" i="13" s="1"/>
  <c r="V56" i="13"/>
  <c r="O56" i="13" s="1"/>
  <c r="S56" i="13"/>
  <c r="P56" i="13"/>
  <c r="Q56" i="13" s="1"/>
  <c r="V55" i="13"/>
  <c r="O55" i="13" s="1"/>
  <c r="S55" i="13"/>
  <c r="P55" i="13"/>
  <c r="Q55" i="13" s="1"/>
  <c r="V54" i="13"/>
  <c r="O54" i="13" s="1"/>
  <c r="S54" i="13"/>
  <c r="P54" i="13"/>
  <c r="Q54" i="13" s="1"/>
  <c r="V53" i="13"/>
  <c r="O53" i="13" s="1"/>
  <c r="S53" i="13"/>
  <c r="P53" i="13"/>
  <c r="Q53" i="13" s="1"/>
  <c r="V52" i="13"/>
  <c r="O52" i="13" s="1"/>
  <c r="S52" i="13"/>
  <c r="P52" i="13"/>
  <c r="Q52" i="13" s="1"/>
  <c r="V51" i="13"/>
  <c r="O51" i="13" s="1"/>
  <c r="S51" i="13"/>
  <c r="P51" i="13"/>
  <c r="Q51" i="13" s="1"/>
  <c r="V50" i="13"/>
  <c r="O50" i="13" s="1"/>
  <c r="S50" i="13"/>
  <c r="P50" i="13"/>
  <c r="Q50" i="13" s="1"/>
  <c r="V49" i="13"/>
  <c r="O49" i="13" s="1"/>
  <c r="S49" i="13"/>
  <c r="P49" i="13"/>
  <c r="Q49" i="13" s="1"/>
  <c r="V48" i="13"/>
  <c r="O48" i="13" s="1"/>
  <c r="S48" i="13"/>
  <c r="P48" i="13"/>
  <c r="Q48" i="13" s="1"/>
  <c r="V47" i="13"/>
  <c r="O47" i="13" s="1"/>
  <c r="S47" i="13"/>
  <c r="P47" i="13"/>
  <c r="Q47" i="13" s="1"/>
  <c r="V46" i="13"/>
  <c r="O46" i="13" s="1"/>
  <c r="S46" i="13"/>
  <c r="P46" i="13"/>
  <c r="Q46" i="13" s="1"/>
  <c r="V45" i="13"/>
  <c r="O45" i="13" s="1"/>
  <c r="S45" i="13"/>
  <c r="P45" i="13"/>
  <c r="Q45" i="13" s="1"/>
  <c r="V44" i="13"/>
  <c r="O44" i="13" s="1"/>
  <c r="S44" i="13"/>
  <c r="P44" i="13"/>
  <c r="Q44" i="13" s="1"/>
  <c r="V43" i="13"/>
  <c r="O43" i="13" s="1"/>
  <c r="S43" i="13"/>
  <c r="P43" i="13"/>
  <c r="Q43" i="13" s="1"/>
  <c r="V42" i="13"/>
  <c r="O42" i="13" s="1"/>
  <c r="S42" i="13"/>
  <c r="P42" i="13"/>
  <c r="Q42" i="13" s="1"/>
  <c r="V41" i="13"/>
  <c r="O41" i="13" s="1"/>
  <c r="S41" i="13"/>
  <c r="P41" i="13"/>
  <c r="Q41" i="13" s="1"/>
  <c r="V40" i="13"/>
  <c r="O40" i="13" s="1"/>
  <c r="S40" i="13"/>
  <c r="P40" i="13"/>
  <c r="Q40" i="13" s="1"/>
  <c r="V39" i="13"/>
  <c r="O39" i="13" s="1"/>
  <c r="S39" i="13"/>
  <c r="P39" i="13"/>
  <c r="Q39" i="13" s="1"/>
  <c r="V38" i="13"/>
  <c r="O38" i="13" s="1"/>
  <c r="S38" i="13"/>
  <c r="P38" i="13"/>
  <c r="Q38" i="13" s="1"/>
  <c r="V37" i="13"/>
  <c r="O37" i="13" s="1"/>
  <c r="S37" i="13"/>
  <c r="P37" i="13"/>
  <c r="Q37" i="13" s="1"/>
  <c r="V36" i="13"/>
  <c r="O36" i="13" s="1"/>
  <c r="S36" i="13"/>
  <c r="P36" i="13"/>
  <c r="Q36" i="13" s="1"/>
  <c r="V35" i="13"/>
  <c r="O35" i="13" s="1"/>
  <c r="S35" i="13"/>
  <c r="P35" i="13"/>
  <c r="Q35" i="13" s="1"/>
  <c r="V34" i="13"/>
  <c r="O34" i="13" s="1"/>
  <c r="S34" i="13"/>
  <c r="P34" i="13"/>
  <c r="Q34" i="13" s="1"/>
  <c r="V33" i="13"/>
  <c r="O33" i="13" s="1"/>
  <c r="S33" i="13"/>
  <c r="P33" i="13"/>
  <c r="Q33" i="13" s="1"/>
  <c r="V32" i="13"/>
  <c r="O32" i="13" s="1"/>
  <c r="S32" i="13"/>
  <c r="P32" i="13"/>
  <c r="Q32" i="13" s="1"/>
  <c r="V31" i="13"/>
  <c r="O31" i="13" s="1"/>
  <c r="S31" i="13"/>
  <c r="P31" i="13"/>
  <c r="Q31" i="13" s="1"/>
  <c r="V30" i="13"/>
  <c r="O30" i="13" s="1"/>
  <c r="S30" i="13"/>
  <c r="P30" i="13"/>
  <c r="Q30" i="13" s="1"/>
  <c r="V29" i="13"/>
  <c r="O29" i="13" s="1"/>
  <c r="S29" i="13"/>
  <c r="P29" i="13"/>
  <c r="Q29" i="13" s="1"/>
  <c r="V28" i="13"/>
  <c r="O28" i="13" s="1"/>
  <c r="S28" i="13"/>
  <c r="P28" i="13"/>
  <c r="Q28" i="13" s="1"/>
  <c r="V27" i="13"/>
  <c r="O27" i="13" s="1"/>
  <c r="S27" i="13"/>
  <c r="P27" i="13"/>
  <c r="Q27" i="13" s="1"/>
  <c r="V26" i="13"/>
  <c r="O26" i="13" s="1"/>
  <c r="S26" i="13"/>
  <c r="P26" i="13"/>
  <c r="Q26" i="13" s="1"/>
  <c r="V25" i="13"/>
  <c r="O25" i="13" s="1"/>
  <c r="S25" i="13"/>
  <c r="P25" i="13"/>
  <c r="Q25" i="13" s="1"/>
  <c r="V24" i="13"/>
  <c r="O24" i="13" s="1"/>
  <c r="S24" i="13"/>
  <c r="P24" i="13"/>
  <c r="Q24" i="13" s="1"/>
  <c r="V23" i="13"/>
  <c r="O23" i="13" s="1"/>
  <c r="S23" i="13"/>
  <c r="P23" i="13"/>
  <c r="Q23" i="13" s="1"/>
  <c r="V22" i="13"/>
  <c r="O22" i="13" s="1"/>
  <c r="S22" i="13"/>
  <c r="P22" i="13"/>
  <c r="Q22" i="13" s="1"/>
  <c r="V21" i="13"/>
  <c r="O21" i="13" s="1"/>
  <c r="S21" i="13"/>
  <c r="P21" i="13"/>
  <c r="Q21" i="13" s="1"/>
  <c r="V20" i="13"/>
  <c r="O20" i="13" s="1"/>
  <c r="S20" i="13"/>
  <c r="P20" i="13"/>
  <c r="Q20" i="13" s="1"/>
  <c r="V19" i="13"/>
  <c r="O19" i="13" s="1"/>
  <c r="S19" i="13"/>
  <c r="P19" i="13"/>
  <c r="Q19" i="13" s="1"/>
  <c r="V18" i="13"/>
  <c r="O18" i="13" s="1"/>
  <c r="S18" i="13"/>
  <c r="P18" i="13"/>
  <c r="Q18" i="13" s="1"/>
  <c r="V17" i="13"/>
  <c r="O17" i="13" s="1"/>
  <c r="S17" i="13"/>
  <c r="P17" i="13"/>
  <c r="Q17" i="13" s="1"/>
  <c r="V16" i="13"/>
  <c r="O16" i="13" s="1"/>
  <c r="S16" i="13"/>
  <c r="P16" i="13"/>
  <c r="Q16" i="13" s="1"/>
  <c r="V15" i="13"/>
  <c r="O15" i="13" s="1"/>
  <c r="S15" i="13"/>
  <c r="P15" i="13"/>
  <c r="Q15" i="13" s="1"/>
  <c r="V14" i="13"/>
  <c r="O14" i="13" s="1"/>
  <c r="S14" i="13"/>
  <c r="P14" i="13"/>
  <c r="Q14" i="13" s="1"/>
  <c r="V13" i="13"/>
  <c r="O13" i="13" s="1"/>
  <c r="S13" i="13"/>
  <c r="P13" i="13"/>
  <c r="Q13" i="13" s="1"/>
  <c r="V12" i="13"/>
  <c r="O12" i="13" s="1"/>
  <c r="S12" i="13"/>
  <c r="P12" i="13"/>
  <c r="Q12" i="13" s="1"/>
  <c r="V11" i="13"/>
  <c r="O11" i="13" s="1"/>
  <c r="S11" i="13"/>
  <c r="P11" i="13"/>
  <c r="Q11" i="13" s="1"/>
  <c r="V10" i="13"/>
  <c r="O10" i="13" s="1"/>
  <c r="S10" i="13"/>
  <c r="P10" i="13"/>
  <c r="Q10" i="13" s="1"/>
  <c r="V9" i="13"/>
  <c r="O9" i="13" s="1"/>
  <c r="S9" i="13"/>
  <c r="P9" i="13"/>
  <c r="Q9" i="13" s="1"/>
  <c r="V8" i="13"/>
  <c r="O8" i="13" s="1"/>
  <c r="S8" i="13"/>
  <c r="P8" i="13"/>
  <c r="Q8" i="13" s="1"/>
  <c r="V7" i="13"/>
  <c r="O7" i="13" s="1"/>
  <c r="S7" i="13"/>
  <c r="P7" i="13"/>
  <c r="Q7" i="13" s="1"/>
  <c r="V6" i="13"/>
  <c r="O6" i="13" s="1"/>
  <c r="S6" i="13"/>
  <c r="P6" i="13"/>
  <c r="Q6" i="13" s="1"/>
  <c r="V5" i="13"/>
  <c r="O5" i="13" s="1"/>
  <c r="S5" i="13"/>
  <c r="P5" i="13"/>
  <c r="Q5" i="13" s="1"/>
  <c r="V4" i="13"/>
  <c r="O4" i="13" s="1"/>
  <c r="S4" i="13"/>
  <c r="P4" i="13"/>
  <c r="Q4" i="13" s="1"/>
  <c r="Q4" i="12"/>
  <c r="R4" i="12" s="1"/>
  <c r="S4" i="12" s="1"/>
  <c r="T4" i="12" s="1"/>
  <c r="Q9" i="12"/>
  <c r="Q8" i="12"/>
  <c r="Q7" i="12"/>
  <c r="Q5" i="12"/>
  <c r="R5" i="12" s="1"/>
  <c r="S5" i="12" s="1"/>
  <c r="T5" i="12" s="1"/>
  <c r="V12" i="4"/>
  <c r="O12" i="4" s="1"/>
  <c r="G34" i="8"/>
  <c r="R34" i="8"/>
  <c r="S34" i="8" s="1"/>
  <c r="T34" i="8"/>
  <c r="W34" i="8"/>
  <c r="W33" i="8"/>
  <c r="T33" i="8"/>
  <c r="R33" i="8"/>
  <c r="S33" i="8" s="1"/>
  <c r="G33" i="8"/>
  <c r="W32" i="8"/>
  <c r="T32" i="8"/>
  <c r="R32" i="8"/>
  <c r="S32" i="8" s="1"/>
  <c r="G32" i="8"/>
  <c r="W31" i="8"/>
  <c r="T31" i="8"/>
  <c r="R31" i="8"/>
  <c r="S31" i="8" s="1"/>
  <c r="G31" i="8"/>
  <c r="W30" i="8"/>
  <c r="T30" i="8"/>
  <c r="R30" i="8"/>
  <c r="S30" i="8" s="1"/>
  <c r="G30" i="8"/>
  <c r="W29" i="8"/>
  <c r="T29" i="8"/>
  <c r="R29" i="8"/>
  <c r="S29" i="8" s="1"/>
  <c r="G29" i="8"/>
  <c r="W28" i="8"/>
  <c r="T28" i="8"/>
  <c r="R28" i="8"/>
  <c r="S28" i="8" s="1"/>
  <c r="W27" i="8"/>
  <c r="T27" i="8"/>
  <c r="R27" i="8"/>
  <c r="S27" i="8" s="1"/>
  <c r="W26" i="8"/>
  <c r="T26" i="8"/>
  <c r="R26" i="8"/>
  <c r="S26" i="8" s="1"/>
  <c r="W25" i="8"/>
  <c r="T25" i="8"/>
  <c r="R25" i="8"/>
  <c r="S25" i="8" s="1"/>
  <c r="W24" i="8"/>
  <c r="T24" i="8"/>
  <c r="R24" i="8"/>
  <c r="S24" i="8" s="1"/>
  <c r="W23" i="8"/>
  <c r="T23" i="8"/>
  <c r="R23" i="8"/>
  <c r="S23" i="8" s="1"/>
  <c r="W22" i="8"/>
  <c r="T22" i="8"/>
  <c r="R22" i="8"/>
  <c r="S22" i="8" s="1"/>
  <c r="W21" i="8"/>
  <c r="T21" i="8"/>
  <c r="R21" i="8"/>
  <c r="S21" i="8" s="1"/>
  <c r="W20" i="8"/>
  <c r="T20" i="8"/>
  <c r="R20" i="8"/>
  <c r="S20" i="8" s="1"/>
  <c r="W19" i="8"/>
  <c r="T19" i="8"/>
  <c r="R19" i="8"/>
  <c r="S19" i="8" s="1"/>
  <c r="W18" i="8"/>
  <c r="T18" i="8"/>
  <c r="R18" i="8"/>
  <c r="S18" i="8" s="1"/>
  <c r="W17" i="8"/>
  <c r="T17" i="8"/>
  <c r="R17" i="8"/>
  <c r="S17" i="8" s="1"/>
  <c r="W16" i="8"/>
  <c r="T16" i="8"/>
  <c r="R16" i="8"/>
  <c r="S16" i="8" s="1"/>
  <c r="G16" i="8"/>
  <c r="W15" i="8"/>
  <c r="T15" i="8"/>
  <c r="R15" i="8"/>
  <c r="S15" i="8" s="1"/>
  <c r="G15" i="8"/>
  <c r="W14" i="8"/>
  <c r="T14" i="8"/>
  <c r="R14" i="8"/>
  <c r="S14" i="8" s="1"/>
  <c r="G14" i="8"/>
  <c r="W13" i="8"/>
  <c r="T13" i="8"/>
  <c r="R13" i="8"/>
  <c r="S13" i="8" s="1"/>
  <c r="G13" i="8"/>
  <c r="W12" i="8"/>
  <c r="T12" i="8"/>
  <c r="R12" i="8"/>
  <c r="S12" i="8" s="1"/>
  <c r="G12" i="8"/>
  <c r="W11" i="8"/>
  <c r="T11" i="8"/>
  <c r="R11" i="8"/>
  <c r="S11" i="8" s="1"/>
  <c r="G11" i="8"/>
  <c r="W10" i="8"/>
  <c r="T10" i="8"/>
  <c r="R10" i="8"/>
  <c r="S10" i="8" s="1"/>
  <c r="G10" i="8"/>
  <c r="W9" i="8"/>
  <c r="T9" i="8"/>
  <c r="R9" i="8"/>
  <c r="S9" i="8" s="1"/>
  <c r="G9" i="8"/>
  <c r="W8" i="8"/>
  <c r="T8" i="8"/>
  <c r="R8" i="8"/>
  <c r="S8" i="8" s="1"/>
  <c r="G8" i="8"/>
  <c r="X7" i="8"/>
  <c r="U7" i="8"/>
  <c r="S7" i="8"/>
  <c r="T7" i="8" s="1"/>
  <c r="H7" i="8"/>
  <c r="X6" i="8"/>
  <c r="U6" i="8"/>
  <c r="S6" i="8"/>
  <c r="T6" i="8" s="1"/>
  <c r="H6" i="8"/>
  <c r="X5" i="8"/>
  <c r="U5" i="8"/>
  <c r="S5" i="8"/>
  <c r="T5" i="8" s="1"/>
  <c r="H5" i="8"/>
  <c r="X4" i="8"/>
  <c r="U4" i="8"/>
  <c r="S4" i="8"/>
  <c r="T4" i="8" s="1"/>
  <c r="H4" i="8"/>
  <c r="R277" i="10" l="1"/>
  <c r="W266" i="12"/>
  <c r="R276" i="10"/>
  <c r="R19" i="12"/>
  <c r="S19" i="12" s="1"/>
  <c r="T19" i="12" s="1"/>
  <c r="R33" i="12"/>
  <c r="S33" i="12" s="1"/>
  <c r="T33" i="12" s="1"/>
  <c r="R46" i="12"/>
  <c r="S46" i="12" s="1"/>
  <c r="T46" i="12" s="1"/>
  <c r="W278" i="12"/>
  <c r="R36" i="12"/>
  <c r="S36" i="12" s="1"/>
  <c r="T36" i="12" s="1"/>
  <c r="R16" i="12"/>
  <c r="S16" i="12" s="1"/>
  <c r="T16" i="12" s="1"/>
  <c r="R30" i="12"/>
  <c r="S30" i="12" s="1"/>
  <c r="T30" i="12" s="1"/>
  <c r="R42" i="12"/>
  <c r="S42" i="12" s="1"/>
  <c r="T42" i="12" s="1"/>
  <c r="R22" i="12"/>
  <c r="S22" i="12" s="1"/>
  <c r="T22" i="12" s="1"/>
  <c r="R9" i="12"/>
  <c r="S9" i="12" s="1"/>
  <c r="T9" i="12" s="1"/>
  <c r="U9" i="12" s="1"/>
  <c r="V9" i="12" s="1"/>
  <c r="R5" i="13"/>
  <c r="R9" i="13"/>
  <c r="R14" i="12"/>
  <c r="S14" i="12" s="1"/>
  <c r="T14" i="12" s="1"/>
  <c r="R26" i="12"/>
  <c r="S26" i="12" s="1"/>
  <c r="T26" i="12" s="1"/>
  <c r="R39" i="12"/>
  <c r="S39" i="12" s="1"/>
  <c r="T39" i="12" s="1"/>
  <c r="R51" i="12"/>
  <c r="S51" i="12" s="1"/>
  <c r="T51" i="12" s="1"/>
  <c r="R67" i="12"/>
  <c r="S67" i="12" s="1"/>
  <c r="T67" i="12" s="1"/>
  <c r="R83" i="12"/>
  <c r="S83" i="12" s="1"/>
  <c r="T83" i="12" s="1"/>
  <c r="R92" i="12"/>
  <c r="S92" i="12" s="1"/>
  <c r="T92" i="12" s="1"/>
  <c r="R98" i="12"/>
  <c r="S98" i="12" s="1"/>
  <c r="T98" i="12" s="1"/>
  <c r="R105" i="12"/>
  <c r="S105" i="12" s="1"/>
  <c r="T105" i="12" s="1"/>
  <c r="R118" i="12"/>
  <c r="S118" i="12" s="1"/>
  <c r="T118" i="12" s="1"/>
  <c r="R124" i="12"/>
  <c r="S124" i="12" s="1"/>
  <c r="T124" i="12" s="1"/>
  <c r="R131" i="12"/>
  <c r="S131" i="12" s="1"/>
  <c r="T131" i="12" s="1"/>
  <c r="R141" i="12"/>
  <c r="S141" i="12" s="1"/>
  <c r="T141" i="12" s="1"/>
  <c r="R150" i="12"/>
  <c r="S150" i="12" s="1"/>
  <c r="T150" i="12" s="1"/>
  <c r="R158" i="12"/>
  <c r="S158" i="12" s="1"/>
  <c r="T158" i="12" s="1"/>
  <c r="R170" i="12"/>
  <c r="S170" i="12" s="1"/>
  <c r="T170" i="12" s="1"/>
  <c r="R181" i="12"/>
  <c r="S181" i="12" s="1"/>
  <c r="T181" i="12" s="1"/>
  <c r="R196" i="12"/>
  <c r="S196" i="12" s="1"/>
  <c r="T196" i="12" s="1"/>
  <c r="R204" i="12"/>
  <c r="S204" i="12" s="1"/>
  <c r="T204" i="12" s="1"/>
  <c r="R213" i="12"/>
  <c r="S213" i="12" s="1"/>
  <c r="T213" i="12" s="1"/>
  <c r="R220" i="12"/>
  <c r="S220" i="12" s="1"/>
  <c r="T220" i="12" s="1"/>
  <c r="R230" i="12"/>
  <c r="S230" i="12" s="1"/>
  <c r="T230" i="12" s="1"/>
  <c r="R237" i="12"/>
  <c r="S237" i="12" s="1"/>
  <c r="T237" i="12" s="1"/>
  <c r="R244" i="12"/>
  <c r="S244" i="12" s="1"/>
  <c r="T244" i="12" s="1"/>
  <c r="R258" i="12"/>
  <c r="S258" i="12" s="1"/>
  <c r="T258" i="12" s="1"/>
  <c r="R53" i="12"/>
  <c r="S53" i="12" s="1"/>
  <c r="T53" i="12" s="1"/>
  <c r="R63" i="12"/>
  <c r="S63" i="12" s="1"/>
  <c r="T63" i="12" s="1"/>
  <c r="R159" i="12"/>
  <c r="S159" i="12" s="1"/>
  <c r="T159" i="12" s="1"/>
  <c r="R80" i="12"/>
  <c r="S80" i="12" s="1"/>
  <c r="T80" i="12" s="1"/>
  <c r="R243" i="12"/>
  <c r="S243" i="12" s="1"/>
  <c r="T243" i="12" s="1"/>
  <c r="R145" i="12"/>
  <c r="S145" i="12" s="1"/>
  <c r="T145" i="12" s="1"/>
  <c r="R27" i="12"/>
  <c r="S27" i="12" s="1"/>
  <c r="T27" i="12" s="1"/>
  <c r="R161" i="12"/>
  <c r="S161" i="12" s="1"/>
  <c r="T161" i="12" s="1"/>
  <c r="R200" i="12"/>
  <c r="S200" i="12" s="1"/>
  <c r="T200" i="12" s="1"/>
  <c r="R160" i="12"/>
  <c r="S160" i="12" s="1"/>
  <c r="T160" i="12" s="1"/>
  <c r="R62" i="12"/>
  <c r="S62" i="12" s="1"/>
  <c r="T62" i="12" s="1"/>
  <c r="R179" i="12"/>
  <c r="S179" i="12" s="1"/>
  <c r="T179" i="12" s="1"/>
  <c r="R194" i="12"/>
  <c r="S194" i="12" s="1"/>
  <c r="T194" i="12" s="1"/>
  <c r="R100" i="12"/>
  <c r="S100" i="12" s="1"/>
  <c r="T100" i="12" s="1"/>
  <c r="R261" i="12"/>
  <c r="S261" i="12" s="1"/>
  <c r="T261" i="12" s="1"/>
  <c r="U261" i="12" s="1"/>
  <c r="V261" i="12" s="1"/>
  <c r="R57" i="12"/>
  <c r="S57" i="12" s="1"/>
  <c r="T57" i="12" s="1"/>
  <c r="R61" i="12"/>
  <c r="S61" i="12" s="1"/>
  <c r="T61" i="12" s="1"/>
  <c r="R70" i="12"/>
  <c r="S70" i="12" s="1"/>
  <c r="T70" i="12" s="1"/>
  <c r="R74" i="12"/>
  <c r="S74" i="12" s="1"/>
  <c r="T74" i="12" s="1"/>
  <c r="R86" i="12"/>
  <c r="S86" i="12" s="1"/>
  <c r="T86" i="12" s="1"/>
  <c r="R89" i="12"/>
  <c r="S89" i="12" s="1"/>
  <c r="T89" i="12" s="1"/>
  <c r="R95" i="12"/>
  <c r="S95" i="12" s="1"/>
  <c r="T95" i="12" s="1"/>
  <c r="R102" i="12"/>
  <c r="S102" i="12" s="1"/>
  <c r="T102" i="12" s="1"/>
  <c r="R111" i="12"/>
  <c r="S111" i="12" s="1"/>
  <c r="T111" i="12" s="1"/>
  <c r="R114" i="12"/>
  <c r="S114" i="12" s="1"/>
  <c r="T114" i="12" s="1"/>
  <c r="R121" i="12"/>
  <c r="S121" i="12" s="1"/>
  <c r="T121" i="12" s="1"/>
  <c r="R127" i="12"/>
  <c r="S127" i="12" s="1"/>
  <c r="T127" i="12" s="1"/>
  <c r="R135" i="12"/>
  <c r="S135" i="12" s="1"/>
  <c r="T135" i="12" s="1"/>
  <c r="R138" i="12"/>
  <c r="S138" i="12" s="1"/>
  <c r="T138" i="12" s="1"/>
  <c r="R146" i="12"/>
  <c r="S146" i="12" s="1"/>
  <c r="T146" i="12" s="1"/>
  <c r="R155" i="12"/>
  <c r="S155" i="12" s="1"/>
  <c r="T155" i="12" s="1"/>
  <c r="R164" i="12"/>
  <c r="S164" i="12" s="1"/>
  <c r="T164" i="12" s="1"/>
  <c r="R167" i="12"/>
  <c r="S167" i="12" s="1"/>
  <c r="T167" i="12" s="1"/>
  <c r="R173" i="12"/>
  <c r="S173" i="12" s="1"/>
  <c r="T173" i="12" s="1"/>
  <c r="R177" i="12"/>
  <c r="S177" i="12" s="1"/>
  <c r="T177" i="12" s="1"/>
  <c r="R186" i="12"/>
  <c r="S186" i="12" s="1"/>
  <c r="T186" i="12" s="1"/>
  <c r="R189" i="12"/>
  <c r="S189" i="12" s="1"/>
  <c r="T189" i="12" s="1"/>
  <c r="R201" i="12"/>
  <c r="S201" i="12" s="1"/>
  <c r="T201" i="12" s="1"/>
  <c r="R207" i="12"/>
  <c r="S207" i="12" s="1"/>
  <c r="T207" i="12" s="1"/>
  <c r="R210" i="12"/>
  <c r="S210" i="12" s="1"/>
  <c r="T210" i="12" s="1"/>
  <c r="R217" i="12"/>
  <c r="S217" i="12" s="1"/>
  <c r="T217" i="12" s="1"/>
  <c r="R223" i="12"/>
  <c r="S223" i="12" s="1"/>
  <c r="T223" i="12" s="1"/>
  <c r="R226" i="12"/>
  <c r="S226" i="12" s="1"/>
  <c r="T226" i="12" s="1"/>
  <c r="R233" i="12"/>
  <c r="S233" i="12" s="1"/>
  <c r="T233" i="12" s="1"/>
  <c r="R240" i="12"/>
  <c r="S240" i="12" s="1"/>
  <c r="T240" i="12" s="1"/>
  <c r="R249" i="12"/>
  <c r="S249" i="12" s="1"/>
  <c r="T249" i="12" s="1"/>
  <c r="R252" i="12"/>
  <c r="S252" i="12" s="1"/>
  <c r="T252" i="12" s="1"/>
  <c r="R255" i="12"/>
  <c r="S255" i="12" s="1"/>
  <c r="T255" i="12" s="1"/>
  <c r="R45" i="12"/>
  <c r="S45" i="12" s="1"/>
  <c r="T45" i="12" s="1"/>
  <c r="R110" i="12"/>
  <c r="S110" i="12" s="1"/>
  <c r="T110" i="12" s="1"/>
  <c r="R148" i="12"/>
  <c r="S148" i="12" s="1"/>
  <c r="T148" i="12" s="1"/>
  <c r="R15" i="12"/>
  <c r="S15" i="12" s="1"/>
  <c r="T15" i="12" s="1"/>
  <c r="R17" i="12"/>
  <c r="S17" i="12" s="1"/>
  <c r="T17" i="12" s="1"/>
  <c r="R20" i="12"/>
  <c r="S20" i="12" s="1"/>
  <c r="T20" i="12" s="1"/>
  <c r="R23" i="12"/>
  <c r="S23" i="12" s="1"/>
  <c r="T23" i="12" s="1"/>
  <c r="R28" i="12"/>
  <c r="S28" i="12" s="1"/>
  <c r="T28" i="12" s="1"/>
  <c r="R31" i="12"/>
  <c r="S31" i="12" s="1"/>
  <c r="T31" i="12" s="1"/>
  <c r="R34" i="12"/>
  <c r="S34" i="12" s="1"/>
  <c r="T34" i="12" s="1"/>
  <c r="R37" i="12"/>
  <c r="S37" i="12" s="1"/>
  <c r="T37" i="12" s="1"/>
  <c r="R40" i="12"/>
  <c r="S40" i="12" s="1"/>
  <c r="T40" i="12" s="1"/>
  <c r="R43" i="12"/>
  <c r="S43" i="12" s="1"/>
  <c r="T43" i="12" s="1"/>
  <c r="R55" i="12"/>
  <c r="S55" i="12" s="1"/>
  <c r="T55" i="12" s="1"/>
  <c r="R58" i="12"/>
  <c r="S58" i="12" s="1"/>
  <c r="T58" i="12" s="1"/>
  <c r="R65" i="12"/>
  <c r="S65" i="12" s="1"/>
  <c r="T65" i="12" s="1"/>
  <c r="R68" i="12"/>
  <c r="S68" i="12" s="1"/>
  <c r="T68" i="12" s="1"/>
  <c r="R71" i="12"/>
  <c r="S71" i="12" s="1"/>
  <c r="T71" i="12" s="1"/>
  <c r="R81" i="12"/>
  <c r="S81" i="12" s="1"/>
  <c r="T81" i="12" s="1"/>
  <c r="R84" i="12"/>
  <c r="S84" i="12" s="1"/>
  <c r="T84" i="12" s="1"/>
  <c r="R87" i="12"/>
  <c r="S87" i="12" s="1"/>
  <c r="T87" i="12" s="1"/>
  <c r="R90" i="12"/>
  <c r="S90" i="12" s="1"/>
  <c r="T90" i="12" s="1"/>
  <c r="R93" i="12"/>
  <c r="S93" i="12" s="1"/>
  <c r="T93" i="12" s="1"/>
  <c r="R96" i="12"/>
  <c r="S96" i="12" s="1"/>
  <c r="T96" i="12" s="1"/>
  <c r="R99" i="12"/>
  <c r="S99" i="12" s="1"/>
  <c r="T99" i="12" s="1"/>
  <c r="R103" i="12"/>
  <c r="S103" i="12" s="1"/>
  <c r="T103" i="12" s="1"/>
  <c r="R107" i="12"/>
  <c r="S107" i="12" s="1"/>
  <c r="T107" i="12" s="1"/>
  <c r="R112" i="12"/>
  <c r="S112" i="12" s="1"/>
  <c r="T112" i="12" s="1"/>
  <c r="R116" i="12"/>
  <c r="S116" i="12" s="1"/>
  <c r="T116" i="12" s="1"/>
  <c r="R119" i="12"/>
  <c r="S119" i="12" s="1"/>
  <c r="T119" i="12" s="1"/>
  <c r="R122" i="12"/>
  <c r="S122" i="12" s="1"/>
  <c r="T122" i="12" s="1"/>
  <c r="R125" i="12"/>
  <c r="S125" i="12" s="1"/>
  <c r="T125" i="12" s="1"/>
  <c r="R128" i="12"/>
  <c r="S128" i="12" s="1"/>
  <c r="T128" i="12" s="1"/>
  <c r="R132" i="12"/>
  <c r="S132" i="12" s="1"/>
  <c r="T132" i="12" s="1"/>
  <c r="R136" i="12"/>
  <c r="S136" i="12" s="1"/>
  <c r="T136" i="12" s="1"/>
  <c r="R139" i="12"/>
  <c r="S139" i="12" s="1"/>
  <c r="T139" i="12" s="1"/>
  <c r="R142" i="12"/>
  <c r="S142" i="12" s="1"/>
  <c r="T142" i="12" s="1"/>
  <c r="R147" i="12"/>
  <c r="S147" i="12" s="1"/>
  <c r="T147" i="12" s="1"/>
  <c r="R152" i="12"/>
  <c r="S152" i="12" s="1"/>
  <c r="T152" i="12" s="1"/>
  <c r="R156" i="12"/>
  <c r="S156" i="12" s="1"/>
  <c r="T156" i="12" s="1"/>
  <c r="R162" i="12"/>
  <c r="S162" i="12" s="1"/>
  <c r="T162" i="12" s="1"/>
  <c r="R165" i="12"/>
  <c r="S165" i="12" s="1"/>
  <c r="T165" i="12" s="1"/>
  <c r="R168" i="12"/>
  <c r="S168" i="12" s="1"/>
  <c r="T168" i="12" s="1"/>
  <c r="R171" i="12"/>
  <c r="S171" i="12" s="1"/>
  <c r="T171" i="12" s="1"/>
  <c r="R174" i="12"/>
  <c r="S174" i="12" s="1"/>
  <c r="T174" i="12" s="1"/>
  <c r="R178" i="12"/>
  <c r="S178" i="12" s="1"/>
  <c r="T178" i="12" s="1"/>
  <c r="R183" i="12"/>
  <c r="S183" i="12" s="1"/>
  <c r="T183" i="12" s="1"/>
  <c r="R187" i="12"/>
  <c r="S187" i="12" s="1"/>
  <c r="T187" i="12" s="1"/>
  <c r="R190" i="12"/>
  <c r="S190" i="12" s="1"/>
  <c r="T190" i="12" s="1"/>
  <c r="R197" i="12"/>
  <c r="S197" i="12" s="1"/>
  <c r="T197" i="12" s="1"/>
  <c r="R202" i="12"/>
  <c r="S202" i="12" s="1"/>
  <c r="T202" i="12" s="1"/>
  <c r="R205" i="12"/>
  <c r="S205" i="12" s="1"/>
  <c r="T205" i="12" s="1"/>
  <c r="R208" i="12"/>
  <c r="S208" i="12" s="1"/>
  <c r="T208" i="12" s="1"/>
  <c r="R211" i="12"/>
  <c r="S211" i="12" s="1"/>
  <c r="T211" i="12" s="1"/>
  <c r="R214" i="12"/>
  <c r="S214" i="12" s="1"/>
  <c r="T214" i="12" s="1"/>
  <c r="R218" i="12"/>
  <c r="S218" i="12" s="1"/>
  <c r="T218" i="12" s="1"/>
  <c r="R221" i="12"/>
  <c r="S221" i="12" s="1"/>
  <c r="T221" i="12" s="1"/>
  <c r="R224" i="12"/>
  <c r="S224" i="12" s="1"/>
  <c r="T224" i="12" s="1"/>
  <c r="R227" i="12"/>
  <c r="S227" i="12" s="1"/>
  <c r="T227" i="12" s="1"/>
  <c r="R231" i="12"/>
  <c r="S231" i="12" s="1"/>
  <c r="T231" i="12" s="1"/>
  <c r="R234" i="12"/>
  <c r="S234" i="12" s="1"/>
  <c r="T234" i="12" s="1"/>
  <c r="R238" i="12"/>
  <c r="S238" i="12" s="1"/>
  <c r="T238" i="12" s="1"/>
  <c r="R241" i="12"/>
  <c r="S241" i="12" s="1"/>
  <c r="T241" i="12" s="1"/>
  <c r="R247" i="12"/>
  <c r="S247" i="12" s="1"/>
  <c r="T247" i="12" s="1"/>
  <c r="R250" i="12"/>
  <c r="S250" i="12" s="1"/>
  <c r="T250" i="12" s="1"/>
  <c r="R253" i="12"/>
  <c r="S253" i="12" s="1"/>
  <c r="T253" i="12" s="1"/>
  <c r="R256" i="12"/>
  <c r="S256" i="12" s="1"/>
  <c r="T256" i="12" s="1"/>
  <c r="R143" i="12"/>
  <c r="S143" i="12" s="1"/>
  <c r="T143" i="12" s="1"/>
  <c r="R47" i="12"/>
  <c r="S47" i="12" s="1"/>
  <c r="T47" i="12" s="1"/>
  <c r="R54" i="12"/>
  <c r="S54" i="12" s="1"/>
  <c r="T54" i="12" s="1"/>
  <c r="R75" i="12"/>
  <c r="S75" i="12" s="1"/>
  <c r="T75" i="12" s="1"/>
  <c r="R115" i="12"/>
  <c r="S115" i="12" s="1"/>
  <c r="T115" i="12" s="1"/>
  <c r="R182" i="12"/>
  <c r="S182" i="12" s="1"/>
  <c r="T182" i="12" s="1"/>
  <c r="R215" i="12"/>
  <c r="S215" i="12" s="1"/>
  <c r="T215" i="12" s="1"/>
  <c r="R245" i="12"/>
  <c r="S245" i="12" s="1"/>
  <c r="T245" i="12" s="1"/>
  <c r="R191" i="12"/>
  <c r="S191" i="12" s="1"/>
  <c r="T191" i="12" s="1"/>
  <c r="R50" i="12"/>
  <c r="S50" i="12" s="1"/>
  <c r="T50" i="12" s="1"/>
  <c r="R11" i="12"/>
  <c r="S11" i="12" s="1"/>
  <c r="T11" i="12" s="1"/>
  <c r="R184" i="12"/>
  <c r="S184" i="12" s="1"/>
  <c r="T184" i="12" s="1"/>
  <c r="R134" i="12"/>
  <c r="S134" i="12" s="1"/>
  <c r="T134" i="12" s="1"/>
  <c r="R78" i="12"/>
  <c r="S78" i="12" s="1"/>
  <c r="T78" i="12" s="1"/>
  <c r="R176" i="12"/>
  <c r="S176" i="12" s="1"/>
  <c r="T176" i="12" s="1"/>
  <c r="R77" i="12"/>
  <c r="S77" i="12" s="1"/>
  <c r="T77" i="12" s="1"/>
  <c r="R109" i="12"/>
  <c r="S109" i="12" s="1"/>
  <c r="T109" i="12" s="1"/>
  <c r="R192" i="12"/>
  <c r="S192" i="12" s="1"/>
  <c r="T192" i="12" s="1"/>
  <c r="R262" i="12"/>
  <c r="S262" i="12" s="1"/>
  <c r="T262" i="12" s="1"/>
  <c r="U262" i="12" s="1"/>
  <c r="V262" i="12" s="1"/>
  <c r="R13" i="12"/>
  <c r="S13" i="12" s="1"/>
  <c r="T13" i="12" s="1"/>
  <c r="R7" i="12"/>
  <c r="S7" i="12" s="1"/>
  <c r="T7" i="12" s="1"/>
  <c r="R8" i="12"/>
  <c r="S8" i="12" s="1"/>
  <c r="T8" i="12" s="1"/>
  <c r="U8" i="12" s="1"/>
  <c r="V8" i="12" s="1"/>
  <c r="R10" i="12"/>
  <c r="S10" i="12" s="1"/>
  <c r="T10" i="12" s="1"/>
  <c r="R12" i="12"/>
  <c r="S12" i="12" s="1"/>
  <c r="T12" i="12" s="1"/>
  <c r="R18" i="12"/>
  <c r="S18" i="12" s="1"/>
  <c r="T18" i="12" s="1"/>
  <c r="R21" i="12"/>
  <c r="S21" i="12" s="1"/>
  <c r="T21" i="12" s="1"/>
  <c r="R25" i="12"/>
  <c r="S25" i="12" s="1"/>
  <c r="T25" i="12" s="1"/>
  <c r="R29" i="12"/>
  <c r="S29" i="12" s="1"/>
  <c r="T29" i="12" s="1"/>
  <c r="R32" i="12"/>
  <c r="S32" i="12" s="1"/>
  <c r="T32" i="12" s="1"/>
  <c r="R35" i="12"/>
  <c r="S35" i="12" s="1"/>
  <c r="T35" i="12" s="1"/>
  <c r="R38" i="12"/>
  <c r="S38" i="12" s="1"/>
  <c r="T38" i="12" s="1"/>
  <c r="R41" i="12"/>
  <c r="S41" i="12" s="1"/>
  <c r="T41" i="12" s="1"/>
  <c r="R44" i="12"/>
  <c r="S44" i="12" s="1"/>
  <c r="T44" i="12" s="1"/>
  <c r="R49" i="12"/>
  <c r="S49" i="12" s="1"/>
  <c r="T49" i="12" s="1"/>
  <c r="R56" i="12"/>
  <c r="S56" i="12" s="1"/>
  <c r="T56" i="12" s="1"/>
  <c r="R60" i="12"/>
  <c r="S60" i="12" s="1"/>
  <c r="T60" i="12" s="1"/>
  <c r="R66" i="12"/>
  <c r="S66" i="12" s="1"/>
  <c r="T66" i="12" s="1"/>
  <c r="R69" i="12"/>
  <c r="S69" i="12" s="1"/>
  <c r="T69" i="12" s="1"/>
  <c r="R72" i="12"/>
  <c r="S72" i="12" s="1"/>
  <c r="T72" i="12" s="1"/>
  <c r="R82" i="12"/>
  <c r="S82" i="12" s="1"/>
  <c r="T82" i="12" s="1"/>
  <c r="R85" i="12"/>
  <c r="S85" i="12" s="1"/>
  <c r="T85" i="12" s="1"/>
  <c r="R88" i="12"/>
  <c r="S88" i="12" s="1"/>
  <c r="T88" i="12" s="1"/>
  <c r="R91" i="12"/>
  <c r="S91" i="12" s="1"/>
  <c r="T91" i="12" s="1"/>
  <c r="R94" i="12"/>
  <c r="S94" i="12" s="1"/>
  <c r="T94" i="12" s="1"/>
  <c r="R97" i="12"/>
  <c r="S97" i="12" s="1"/>
  <c r="T97" i="12" s="1"/>
  <c r="R101" i="12"/>
  <c r="S101" i="12" s="1"/>
  <c r="T101" i="12" s="1"/>
  <c r="R104" i="12"/>
  <c r="S104" i="12" s="1"/>
  <c r="T104" i="12" s="1"/>
  <c r="R108" i="12"/>
  <c r="S108" i="12" s="1"/>
  <c r="T108" i="12" s="1"/>
  <c r="R113" i="12"/>
  <c r="S113" i="12" s="1"/>
  <c r="T113" i="12" s="1"/>
  <c r="R117" i="12"/>
  <c r="S117" i="12" s="1"/>
  <c r="T117" i="12" s="1"/>
  <c r="R120" i="12"/>
  <c r="S120" i="12" s="1"/>
  <c r="T120" i="12" s="1"/>
  <c r="R123" i="12"/>
  <c r="S123" i="12" s="1"/>
  <c r="T123" i="12" s="1"/>
  <c r="R126" i="12"/>
  <c r="S126" i="12" s="1"/>
  <c r="T126" i="12" s="1"/>
  <c r="R129" i="12"/>
  <c r="S129" i="12" s="1"/>
  <c r="T129" i="12" s="1"/>
  <c r="R133" i="12"/>
  <c r="S133" i="12" s="1"/>
  <c r="T133" i="12" s="1"/>
  <c r="R137" i="12"/>
  <c r="S137" i="12" s="1"/>
  <c r="T137" i="12" s="1"/>
  <c r="R140" i="12"/>
  <c r="S140" i="12" s="1"/>
  <c r="T140" i="12" s="1"/>
  <c r="R144" i="12"/>
  <c r="S144" i="12" s="1"/>
  <c r="T144" i="12" s="1"/>
  <c r="R149" i="12"/>
  <c r="S149" i="12" s="1"/>
  <c r="T149" i="12" s="1"/>
  <c r="R154" i="12"/>
  <c r="S154" i="12" s="1"/>
  <c r="T154" i="12" s="1"/>
  <c r="R157" i="12"/>
  <c r="S157" i="12" s="1"/>
  <c r="T157" i="12" s="1"/>
  <c r="R163" i="12"/>
  <c r="S163" i="12" s="1"/>
  <c r="T163" i="12" s="1"/>
  <c r="R166" i="12"/>
  <c r="S166" i="12" s="1"/>
  <c r="T166" i="12" s="1"/>
  <c r="R169" i="12"/>
  <c r="S169" i="12" s="1"/>
  <c r="T169" i="12" s="1"/>
  <c r="R172" i="12"/>
  <c r="S172" i="12" s="1"/>
  <c r="T172" i="12" s="1"/>
  <c r="R175" i="12"/>
  <c r="S175" i="12" s="1"/>
  <c r="T175" i="12" s="1"/>
  <c r="R180" i="12"/>
  <c r="S180" i="12" s="1"/>
  <c r="T180" i="12" s="1"/>
  <c r="R185" i="12"/>
  <c r="S185" i="12" s="1"/>
  <c r="T185" i="12" s="1"/>
  <c r="R188" i="12"/>
  <c r="S188" i="12" s="1"/>
  <c r="T188" i="12" s="1"/>
  <c r="R195" i="12"/>
  <c r="S195" i="12" s="1"/>
  <c r="T195" i="12" s="1"/>
  <c r="R198" i="12"/>
  <c r="S198" i="12" s="1"/>
  <c r="T198" i="12" s="1"/>
  <c r="R203" i="12"/>
  <c r="S203" i="12" s="1"/>
  <c r="T203" i="12" s="1"/>
  <c r="R206" i="12"/>
  <c r="S206" i="12" s="1"/>
  <c r="T206" i="12" s="1"/>
  <c r="R209" i="12"/>
  <c r="S209" i="12" s="1"/>
  <c r="T209" i="12" s="1"/>
  <c r="R212" i="12"/>
  <c r="S212" i="12" s="1"/>
  <c r="T212" i="12" s="1"/>
  <c r="R216" i="12"/>
  <c r="S216" i="12" s="1"/>
  <c r="T216" i="12" s="1"/>
  <c r="R219" i="12"/>
  <c r="S219" i="12" s="1"/>
  <c r="T219" i="12" s="1"/>
  <c r="R222" i="12"/>
  <c r="S222" i="12" s="1"/>
  <c r="T222" i="12" s="1"/>
  <c r="R225" i="12"/>
  <c r="S225" i="12" s="1"/>
  <c r="T225" i="12" s="1"/>
  <c r="R229" i="12"/>
  <c r="S229" i="12" s="1"/>
  <c r="T229" i="12" s="1"/>
  <c r="R232" i="12"/>
  <c r="S232" i="12" s="1"/>
  <c r="T232" i="12" s="1"/>
  <c r="R235" i="12"/>
  <c r="S235" i="12" s="1"/>
  <c r="T235" i="12" s="1"/>
  <c r="R239" i="12"/>
  <c r="S239" i="12" s="1"/>
  <c r="T239" i="12" s="1"/>
  <c r="R242" i="12"/>
  <c r="S242" i="12" s="1"/>
  <c r="T242" i="12" s="1"/>
  <c r="R248" i="12"/>
  <c r="S248" i="12" s="1"/>
  <c r="T248" i="12" s="1"/>
  <c r="R251" i="12"/>
  <c r="S251" i="12" s="1"/>
  <c r="T251" i="12" s="1"/>
  <c r="R254" i="12"/>
  <c r="S254" i="12" s="1"/>
  <c r="T254" i="12" s="1"/>
  <c r="R257" i="12"/>
  <c r="S257" i="12" s="1"/>
  <c r="T257" i="12" s="1"/>
  <c r="R259" i="12"/>
  <c r="S259" i="12" s="1"/>
  <c r="T259" i="12" s="1"/>
  <c r="R52" i="12"/>
  <c r="S52" i="12" s="1"/>
  <c r="T52" i="12" s="1"/>
  <c r="R59" i="12"/>
  <c r="S59" i="12" s="1"/>
  <c r="T59" i="12" s="1"/>
  <c r="R106" i="12"/>
  <c r="S106" i="12" s="1"/>
  <c r="T106" i="12" s="1"/>
  <c r="R130" i="12"/>
  <c r="S130" i="12" s="1"/>
  <c r="T130" i="12" s="1"/>
  <c r="R199" i="12"/>
  <c r="S199" i="12" s="1"/>
  <c r="T199" i="12" s="1"/>
  <c r="R236" i="12"/>
  <c r="S236" i="12" s="1"/>
  <c r="T236" i="12" s="1"/>
  <c r="R246" i="12"/>
  <c r="S246" i="12" s="1"/>
  <c r="T246" i="12" s="1"/>
  <c r="R153" i="12"/>
  <c r="S153" i="12" s="1"/>
  <c r="T153" i="12" s="1"/>
  <c r="R151" i="12"/>
  <c r="S151" i="12" s="1"/>
  <c r="T151" i="12" s="1"/>
  <c r="R24" i="12"/>
  <c r="S24" i="12" s="1"/>
  <c r="T24" i="12" s="1"/>
  <c r="R193" i="12"/>
  <c r="S193" i="12" s="1"/>
  <c r="T193" i="12" s="1"/>
  <c r="R64" i="12"/>
  <c r="S64" i="12" s="1"/>
  <c r="T64" i="12" s="1"/>
  <c r="R79" i="12"/>
  <c r="S79" i="12" s="1"/>
  <c r="T79" i="12" s="1"/>
  <c r="R228" i="12"/>
  <c r="S228" i="12" s="1"/>
  <c r="T228" i="12" s="1"/>
  <c r="R76" i="12"/>
  <c r="S76" i="12" s="1"/>
  <c r="T76" i="12" s="1"/>
  <c r="R73" i="12"/>
  <c r="S73" i="12" s="1"/>
  <c r="T73" i="12" s="1"/>
  <c r="R260" i="12"/>
  <c r="S260" i="12" s="1"/>
  <c r="T260" i="12" s="1"/>
  <c r="U260" i="12" s="1"/>
  <c r="V260" i="12" s="1"/>
  <c r="R287" i="10"/>
  <c r="R4" i="13"/>
  <c r="R8" i="13"/>
  <c r="R280" i="10"/>
  <c r="R285" i="10"/>
  <c r="Q199" i="4"/>
  <c r="R7" i="13"/>
  <c r="R11" i="13"/>
  <c r="R15" i="13"/>
  <c r="R19" i="13"/>
  <c r="R23" i="13"/>
  <c r="R27" i="13"/>
  <c r="R31" i="13"/>
  <c r="R35" i="13"/>
  <c r="R39" i="13"/>
  <c r="R43" i="13"/>
  <c r="R47" i="13"/>
  <c r="R51" i="13"/>
  <c r="R55" i="13"/>
  <c r="R59" i="13"/>
  <c r="R63" i="13"/>
  <c r="R67" i="13"/>
  <c r="R71" i="13"/>
  <c r="R75" i="13"/>
  <c r="R79" i="13"/>
  <c r="R83" i="13"/>
  <c r="R87" i="13"/>
  <c r="R91" i="13"/>
  <c r="R289" i="10"/>
  <c r="R279" i="10"/>
  <c r="R290" i="10"/>
  <c r="R6" i="13"/>
  <c r="R10" i="13"/>
  <c r="R14" i="13"/>
  <c r="R18" i="13"/>
  <c r="R22" i="13"/>
  <c r="R26" i="13"/>
  <c r="R30" i="13"/>
  <c r="R34" i="13"/>
  <c r="R38" i="13"/>
  <c r="R42" i="13"/>
  <c r="R46" i="13"/>
  <c r="R50" i="13"/>
  <c r="R54" i="13"/>
  <c r="R58" i="13"/>
  <c r="R62" i="13"/>
  <c r="R66" i="13"/>
  <c r="R70" i="13"/>
  <c r="R74" i="13"/>
  <c r="R78" i="13"/>
  <c r="R82" i="13"/>
  <c r="R86" i="13"/>
  <c r="R90" i="13"/>
  <c r="R94" i="13"/>
  <c r="R288" i="10"/>
  <c r="R291" i="10"/>
  <c r="R278" i="10"/>
  <c r="R13" i="13"/>
  <c r="R17" i="13"/>
  <c r="R21" i="13"/>
  <c r="R25" i="13"/>
  <c r="R29" i="13"/>
  <c r="R33" i="13"/>
  <c r="R37" i="13"/>
  <c r="R41" i="13"/>
  <c r="R45" i="13"/>
  <c r="R49" i="13"/>
  <c r="R53" i="13"/>
  <c r="R57" i="13"/>
  <c r="R61" i="13"/>
  <c r="R65" i="13"/>
  <c r="R69" i="13"/>
  <c r="R73" i="13"/>
  <c r="R77" i="13"/>
  <c r="R81" i="13"/>
  <c r="R85" i="13"/>
  <c r="R89" i="13"/>
  <c r="R93" i="13"/>
  <c r="R97" i="13"/>
  <c r="R101" i="13"/>
  <c r="R105" i="13"/>
  <c r="R109" i="13"/>
  <c r="R113" i="13"/>
  <c r="R117" i="13"/>
  <c r="R121" i="13"/>
  <c r="R125" i="13"/>
  <c r="R129" i="13"/>
  <c r="R133" i="13"/>
  <c r="R137" i="13"/>
  <c r="R141" i="13"/>
  <c r="R145" i="13"/>
  <c r="R149" i="13"/>
  <c r="R153" i="13"/>
  <c r="R157" i="13"/>
  <c r="R161" i="13"/>
  <c r="R165" i="13"/>
  <c r="R169" i="13"/>
  <c r="R173" i="13"/>
  <c r="R177" i="13"/>
  <c r="R12" i="13"/>
  <c r="R16" i="13"/>
  <c r="R20" i="13"/>
  <c r="R24" i="13"/>
  <c r="R28" i="13"/>
  <c r="R32" i="13"/>
  <c r="R36" i="13"/>
  <c r="R40" i="13"/>
  <c r="R44" i="13"/>
  <c r="R48" i="13"/>
  <c r="R52" i="13"/>
  <c r="R56" i="13"/>
  <c r="R60" i="13"/>
  <c r="R64" i="13"/>
  <c r="R68" i="13"/>
  <c r="R72" i="13"/>
  <c r="R76" i="13"/>
  <c r="R80" i="13"/>
  <c r="R84" i="13"/>
  <c r="R88" i="13"/>
  <c r="R92" i="13"/>
  <c r="W253" i="4"/>
  <c r="R253" i="4"/>
  <c r="R96" i="13"/>
  <c r="R100" i="13"/>
  <c r="R104" i="13"/>
  <c r="R108" i="13"/>
  <c r="R112" i="13"/>
  <c r="R116" i="13"/>
  <c r="R120" i="13"/>
  <c r="R124" i="13"/>
  <c r="R128" i="13"/>
  <c r="R132" i="13"/>
  <c r="R136" i="13"/>
  <c r="R140" i="13"/>
  <c r="R144" i="13"/>
  <c r="R148" i="13"/>
  <c r="R152" i="13"/>
  <c r="R156" i="13"/>
  <c r="R160" i="13"/>
  <c r="R164" i="13"/>
  <c r="R168" i="13"/>
  <c r="R172" i="13"/>
  <c r="R176" i="13"/>
  <c r="R180" i="13"/>
  <c r="R292" i="10"/>
  <c r="R281" i="10"/>
  <c r="R282" i="10"/>
  <c r="R286" i="10"/>
  <c r="R283" i="10"/>
  <c r="R272" i="10"/>
  <c r="R284" i="10"/>
  <c r="R271" i="10"/>
  <c r="O262" i="10"/>
  <c r="P262" i="10" s="1"/>
  <c r="R95" i="13"/>
  <c r="R99" i="13"/>
  <c r="R103" i="13"/>
  <c r="R107" i="13"/>
  <c r="R111" i="13"/>
  <c r="R115" i="13"/>
  <c r="R119" i="13"/>
  <c r="R123" i="13"/>
  <c r="R127" i="13"/>
  <c r="R131" i="13"/>
  <c r="R135" i="13"/>
  <c r="R139" i="13"/>
  <c r="R143" i="13"/>
  <c r="R147" i="13"/>
  <c r="R151" i="13"/>
  <c r="R155" i="13"/>
  <c r="R159" i="13"/>
  <c r="R163" i="13"/>
  <c r="R167" i="13"/>
  <c r="R171" i="13"/>
  <c r="R175" i="13"/>
  <c r="R179" i="13"/>
  <c r="W181" i="13"/>
  <c r="R183" i="13"/>
  <c r="W185" i="13"/>
  <c r="R187" i="13"/>
  <c r="W189" i="13"/>
  <c r="R191" i="13"/>
  <c r="W193" i="13"/>
  <c r="R195" i="13"/>
  <c r="W197" i="13"/>
  <c r="R199" i="13"/>
  <c r="W201" i="13"/>
  <c r="R203" i="13"/>
  <c r="W205" i="13"/>
  <c r="R207" i="13"/>
  <c r="W209" i="13"/>
  <c r="R211" i="13"/>
  <c r="W213" i="13"/>
  <c r="R215" i="13"/>
  <c r="W217" i="13"/>
  <c r="R219" i="13"/>
  <c r="W221" i="13"/>
  <c r="R223" i="13"/>
  <c r="W225" i="13"/>
  <c r="R227" i="13"/>
  <c r="W229" i="13"/>
  <c r="R231" i="13"/>
  <c r="W233" i="13"/>
  <c r="R235" i="13"/>
  <c r="W237" i="13"/>
  <c r="R239" i="13"/>
  <c r="W241" i="13"/>
  <c r="R243" i="13"/>
  <c r="W245" i="13"/>
  <c r="R247" i="13"/>
  <c r="W249" i="13"/>
  <c r="R251" i="13"/>
  <c r="W253" i="13"/>
  <c r="R255" i="13"/>
  <c r="W257" i="13"/>
  <c r="R259" i="13"/>
  <c r="W261" i="13"/>
  <c r="R263" i="13"/>
  <c r="W265" i="13"/>
  <c r="R267" i="13"/>
  <c r="W269" i="13"/>
  <c r="R271" i="13"/>
  <c r="W273" i="13"/>
  <c r="R275" i="13"/>
  <c r="O265" i="10"/>
  <c r="P265" i="10" s="1"/>
  <c r="U34" i="8"/>
  <c r="V34" i="8" s="1"/>
  <c r="R98" i="13"/>
  <c r="R102" i="13"/>
  <c r="R106" i="13"/>
  <c r="R110" i="13"/>
  <c r="R114" i="13"/>
  <c r="R118" i="13"/>
  <c r="R122" i="13"/>
  <c r="R126" i="13"/>
  <c r="R130" i="13"/>
  <c r="R134" i="13"/>
  <c r="R138" i="13"/>
  <c r="R142" i="13"/>
  <c r="R146" i="13"/>
  <c r="R150" i="13"/>
  <c r="R154" i="13"/>
  <c r="R158" i="13"/>
  <c r="R162" i="13"/>
  <c r="R166" i="13"/>
  <c r="R170" i="13"/>
  <c r="R174" i="13"/>
  <c r="R178" i="13"/>
  <c r="O268" i="10"/>
  <c r="P268" i="10" s="1"/>
  <c r="O161" i="10"/>
  <c r="P161" i="10" s="1"/>
  <c r="O216" i="10"/>
  <c r="P216" i="10" s="1"/>
  <c r="O264" i="10"/>
  <c r="P264" i="10" s="1"/>
  <c r="O261" i="10"/>
  <c r="P261" i="10" s="1"/>
  <c r="O254" i="10"/>
  <c r="P254" i="10" s="1"/>
  <c r="O251" i="10"/>
  <c r="P251" i="10" s="1"/>
  <c r="O245" i="10"/>
  <c r="P245" i="10" s="1"/>
  <c r="O242" i="10"/>
  <c r="P242" i="10" s="1"/>
  <c r="O239" i="10"/>
  <c r="P239" i="10" s="1"/>
  <c r="O234" i="10"/>
  <c r="P234" i="10" s="1"/>
  <c r="O229" i="10"/>
  <c r="P229" i="10" s="1"/>
  <c r="O226" i="10"/>
  <c r="P226" i="10" s="1"/>
  <c r="O223" i="10"/>
  <c r="P223" i="10" s="1"/>
  <c r="O220" i="10"/>
  <c r="P220" i="10" s="1"/>
  <c r="O211" i="10"/>
  <c r="P211" i="10" s="1"/>
  <c r="O208" i="10"/>
  <c r="P208" i="10" s="1"/>
  <c r="O205" i="10"/>
  <c r="P205" i="10" s="1"/>
  <c r="O199" i="10"/>
  <c r="P199" i="10" s="1"/>
  <c r="O196" i="10"/>
  <c r="P196" i="10" s="1"/>
  <c r="O193" i="10"/>
  <c r="P193" i="10" s="1"/>
  <c r="O188" i="10"/>
  <c r="P188" i="10" s="1"/>
  <c r="O179" i="10"/>
  <c r="P179" i="10" s="1"/>
  <c r="O172" i="10"/>
  <c r="P172" i="10" s="1"/>
  <c r="O169" i="10"/>
  <c r="P169" i="10" s="1"/>
  <c r="O163" i="10"/>
  <c r="P163" i="10" s="1"/>
  <c r="O158" i="10"/>
  <c r="P158" i="10" s="1"/>
  <c r="O151" i="10"/>
  <c r="P151" i="10" s="1"/>
  <c r="O147" i="10"/>
  <c r="P147" i="10" s="1"/>
  <c r="O142" i="10"/>
  <c r="P142" i="10" s="1"/>
  <c r="O133" i="10"/>
  <c r="P133" i="10" s="1"/>
  <c r="O130" i="10"/>
  <c r="P130" i="10" s="1"/>
  <c r="O127" i="10"/>
  <c r="P127" i="10" s="1"/>
  <c r="O123" i="10"/>
  <c r="P123" i="10" s="1"/>
  <c r="O120" i="10"/>
  <c r="P120" i="10" s="1"/>
  <c r="O114" i="10"/>
  <c r="P114" i="10" s="1"/>
  <c r="O108" i="10"/>
  <c r="P108" i="10" s="1"/>
  <c r="O105" i="10"/>
  <c r="P105" i="10" s="1"/>
  <c r="O98" i="10"/>
  <c r="P98" i="10" s="1"/>
  <c r="O95" i="10"/>
  <c r="P95" i="10" s="1"/>
  <c r="O92" i="10"/>
  <c r="P92" i="10" s="1"/>
  <c r="O89" i="10"/>
  <c r="P89" i="10" s="1"/>
  <c r="O83" i="10"/>
  <c r="P83" i="10" s="1"/>
  <c r="O80" i="10"/>
  <c r="P80" i="10" s="1"/>
  <c r="O71" i="10"/>
  <c r="P71" i="10" s="1"/>
  <c r="O60" i="10"/>
  <c r="P60" i="10" s="1"/>
  <c r="O57" i="10"/>
  <c r="P57" i="10" s="1"/>
  <c r="O54" i="10"/>
  <c r="P54" i="10" s="1"/>
  <c r="O47" i="10"/>
  <c r="P47" i="10" s="1"/>
  <c r="O41" i="10"/>
  <c r="P41" i="10" s="1"/>
  <c r="O35" i="10"/>
  <c r="P35" i="10" s="1"/>
  <c r="O32" i="10"/>
  <c r="P32" i="10" s="1"/>
  <c r="O23" i="10"/>
  <c r="P23" i="10" s="1"/>
  <c r="O19" i="10"/>
  <c r="P19" i="10" s="1"/>
  <c r="O12" i="10"/>
  <c r="P12" i="10" s="1"/>
  <c r="O9" i="10"/>
  <c r="P9" i="10" s="1"/>
  <c r="W263" i="12"/>
  <c r="W261" i="12"/>
  <c r="O69" i="10"/>
  <c r="P69" i="10" s="1"/>
  <c r="O102" i="10"/>
  <c r="P102" i="10" s="1"/>
  <c r="O117" i="10"/>
  <c r="P117" i="10" s="1"/>
  <c r="O129" i="10"/>
  <c r="P129" i="10" s="1"/>
  <c r="O141" i="10"/>
  <c r="P141" i="10" s="1"/>
  <c r="O144" i="10"/>
  <c r="P144" i="10" s="1"/>
  <c r="O150" i="10"/>
  <c r="P150" i="10" s="1"/>
  <c r="O156" i="10"/>
  <c r="P156" i="10" s="1"/>
  <c r="O159" i="10"/>
  <c r="P159" i="10" s="1"/>
  <c r="O177" i="10"/>
  <c r="P177" i="10" s="1"/>
  <c r="O190" i="10"/>
  <c r="P190" i="10" s="1"/>
  <c r="O269" i="10"/>
  <c r="P269" i="10" s="1"/>
  <c r="O263" i="10"/>
  <c r="P263" i="10" s="1"/>
  <c r="O260" i="10"/>
  <c r="P260" i="10" s="1"/>
  <c r="O253" i="10"/>
  <c r="P253" i="10" s="1"/>
  <c r="O250" i="10"/>
  <c r="P250" i="10" s="1"/>
  <c r="O247" i="10"/>
  <c r="P247" i="10" s="1"/>
  <c r="O244" i="10"/>
  <c r="P244" i="10" s="1"/>
  <c r="O236" i="10"/>
  <c r="P236" i="10" s="1"/>
  <c r="O233" i="10"/>
  <c r="P233" i="10" s="1"/>
  <c r="O231" i="10"/>
  <c r="P231" i="10" s="1"/>
  <c r="O228" i="10"/>
  <c r="P228" i="10" s="1"/>
  <c r="O219" i="10"/>
  <c r="P219" i="10" s="1"/>
  <c r="O213" i="10"/>
  <c r="P213" i="10" s="1"/>
  <c r="O210" i="10"/>
  <c r="P210" i="10" s="1"/>
  <c r="O204" i="10"/>
  <c r="P204" i="10" s="1"/>
  <c r="O198" i="10"/>
  <c r="P198" i="10" s="1"/>
  <c r="O195" i="10"/>
  <c r="P195" i="10" s="1"/>
  <c r="O192" i="10"/>
  <c r="P192" i="10" s="1"/>
  <c r="O187" i="10"/>
  <c r="P187" i="10" s="1"/>
  <c r="O184" i="10"/>
  <c r="P184" i="10" s="1"/>
  <c r="O178" i="10"/>
  <c r="P178" i="10" s="1"/>
  <c r="O174" i="10"/>
  <c r="P174" i="10" s="1"/>
  <c r="O171" i="10"/>
  <c r="P171" i="10" s="1"/>
  <c r="O162" i="10"/>
  <c r="P162" i="10" s="1"/>
  <c r="O153" i="10"/>
  <c r="P153" i="10" s="1"/>
  <c r="O146" i="10"/>
  <c r="P146" i="10" s="1"/>
  <c r="O140" i="10"/>
  <c r="P140" i="10" s="1"/>
  <c r="O132" i="10"/>
  <c r="P132" i="10" s="1"/>
  <c r="O126" i="10"/>
  <c r="P126" i="10" s="1"/>
  <c r="O119" i="10"/>
  <c r="P119" i="10" s="1"/>
  <c r="O113" i="10"/>
  <c r="P113" i="10" s="1"/>
  <c r="O107" i="10"/>
  <c r="P107" i="10" s="1"/>
  <c r="O104" i="10"/>
  <c r="P104" i="10" s="1"/>
  <c r="O100" i="10"/>
  <c r="P100" i="10" s="1"/>
  <c r="O94" i="10"/>
  <c r="P94" i="10" s="1"/>
  <c r="O91" i="10"/>
  <c r="P91" i="10" s="1"/>
  <c r="O88" i="10"/>
  <c r="P88" i="10" s="1"/>
  <c r="O76" i="10"/>
  <c r="P76" i="10" s="1"/>
  <c r="O73" i="10"/>
  <c r="P73" i="10" s="1"/>
  <c r="O68" i="10"/>
  <c r="P68" i="10" s="1"/>
  <c r="O56" i="10"/>
  <c r="P56" i="10" s="1"/>
  <c r="O53" i="10"/>
  <c r="P53" i="10" s="1"/>
  <c r="O49" i="10"/>
  <c r="P49" i="10" s="1"/>
  <c r="O46" i="10"/>
  <c r="P46" i="10" s="1"/>
  <c r="O40" i="10"/>
  <c r="P40" i="10" s="1"/>
  <c r="O31" i="10"/>
  <c r="P31" i="10" s="1"/>
  <c r="O28" i="10"/>
  <c r="P28" i="10" s="1"/>
  <c r="O25" i="10"/>
  <c r="P25" i="10" s="1"/>
  <c r="O17" i="10"/>
  <c r="P17" i="10" s="1"/>
  <c r="O11" i="10"/>
  <c r="P11" i="10" s="1"/>
  <c r="O8" i="10"/>
  <c r="P8" i="10" s="1"/>
  <c r="O5" i="10"/>
  <c r="P5" i="10" s="1"/>
  <c r="W264" i="12"/>
  <c r="W262" i="12"/>
  <c r="O18" i="10"/>
  <c r="P18" i="10" s="1"/>
  <c r="O21" i="10"/>
  <c r="P21" i="10" s="1"/>
  <c r="O70" i="10"/>
  <c r="P70" i="10" s="1"/>
  <c r="O115" i="10"/>
  <c r="P115" i="10" s="1"/>
  <c r="O118" i="10"/>
  <c r="P118" i="10" s="1"/>
  <c r="O136" i="10"/>
  <c r="P136" i="10" s="1"/>
  <c r="O139" i="10"/>
  <c r="P139" i="10" s="1"/>
  <c r="O237" i="10"/>
  <c r="P237" i="10" s="1"/>
  <c r="O255" i="10"/>
  <c r="P255" i="10" s="1"/>
  <c r="O252" i="10"/>
  <c r="P252" i="10" s="1"/>
  <c r="O249" i="10"/>
  <c r="P249" i="10" s="1"/>
  <c r="O240" i="10"/>
  <c r="P240" i="10" s="1"/>
  <c r="O227" i="10"/>
  <c r="P227" i="10" s="1"/>
  <c r="O221" i="10"/>
  <c r="P221" i="10" s="1"/>
  <c r="O218" i="10"/>
  <c r="P218" i="10" s="1"/>
  <c r="O215" i="10"/>
  <c r="P215" i="10" s="1"/>
  <c r="O212" i="10"/>
  <c r="P212" i="10" s="1"/>
  <c r="O206" i="10"/>
  <c r="P206" i="10" s="1"/>
  <c r="O203" i="10"/>
  <c r="P203" i="10" s="1"/>
  <c r="O200" i="10"/>
  <c r="P200" i="10" s="1"/>
  <c r="O189" i="10"/>
  <c r="P189" i="10" s="1"/>
  <c r="O186" i="10"/>
  <c r="P186" i="10" s="1"/>
  <c r="O183" i="10"/>
  <c r="P183" i="10" s="1"/>
  <c r="O180" i="10"/>
  <c r="P180" i="10" s="1"/>
  <c r="O173" i="10"/>
  <c r="P173" i="10" s="1"/>
  <c r="O167" i="10"/>
  <c r="P167" i="10" s="1"/>
  <c r="O164" i="10"/>
  <c r="P164" i="10" s="1"/>
  <c r="O155" i="10"/>
  <c r="P155" i="10" s="1"/>
  <c r="O148" i="10"/>
  <c r="P148" i="10" s="1"/>
  <c r="O131" i="10"/>
  <c r="P131" i="10" s="1"/>
  <c r="O124" i="10"/>
  <c r="P124" i="10" s="1"/>
  <c r="O121" i="10"/>
  <c r="P121" i="10" s="1"/>
  <c r="O116" i="10"/>
  <c r="P116" i="10" s="1"/>
  <c r="O109" i="10"/>
  <c r="P109" i="10" s="1"/>
  <c r="O103" i="10"/>
  <c r="P103" i="10" s="1"/>
  <c r="O99" i="10"/>
  <c r="P99" i="10" s="1"/>
  <c r="O96" i="10"/>
  <c r="P96" i="10" s="1"/>
  <c r="O87" i="10"/>
  <c r="P87" i="10" s="1"/>
  <c r="O84" i="10"/>
  <c r="P84" i="10" s="1"/>
  <c r="O81" i="10"/>
  <c r="P81" i="10" s="1"/>
  <c r="O75" i="10"/>
  <c r="P75" i="10" s="1"/>
  <c r="O72" i="10"/>
  <c r="P72" i="10" s="1"/>
  <c r="O67" i="10"/>
  <c r="P67" i="10" s="1"/>
  <c r="O61" i="10"/>
  <c r="P61" i="10" s="1"/>
  <c r="O51" i="10"/>
  <c r="P51" i="10" s="1"/>
  <c r="O48" i="10"/>
  <c r="P48" i="10" s="1"/>
  <c r="O36" i="10"/>
  <c r="P36" i="10" s="1"/>
  <c r="O33" i="10"/>
  <c r="P33" i="10" s="1"/>
  <c r="O27" i="10"/>
  <c r="P27" i="10" s="1"/>
  <c r="O24" i="10"/>
  <c r="P24" i="10" s="1"/>
  <c r="O20" i="10"/>
  <c r="P20" i="10" s="1"/>
  <c r="O16" i="10"/>
  <c r="P16" i="10" s="1"/>
  <c r="O13" i="10"/>
  <c r="P13" i="10" s="1"/>
  <c r="O10" i="10"/>
  <c r="P10" i="10" s="1"/>
  <c r="O7" i="10"/>
  <c r="P7" i="10" s="1"/>
  <c r="O191" i="10"/>
  <c r="P191" i="10" s="1"/>
  <c r="W270" i="12"/>
  <c r="U270" i="12"/>
  <c r="V270" i="12" s="1"/>
  <c r="W271" i="12"/>
  <c r="U271" i="12"/>
  <c r="V271" i="12" s="1"/>
  <c r="W272" i="12"/>
  <c r="U272" i="12"/>
  <c r="V272" i="12" s="1"/>
  <c r="W273" i="12"/>
  <c r="U273" i="12"/>
  <c r="V273" i="12" s="1"/>
  <c r="W274" i="12"/>
  <c r="U274" i="12"/>
  <c r="V274" i="12" s="1"/>
  <c r="T4" i="4"/>
  <c r="O4" i="10"/>
  <c r="Q207" i="4"/>
  <c r="O230" i="10"/>
  <c r="P230" i="10" s="1"/>
  <c r="Q191" i="4"/>
  <c r="O214" i="10"/>
  <c r="P214" i="10" s="1"/>
  <c r="Q179" i="4"/>
  <c r="O202" i="10"/>
  <c r="P202" i="10" s="1"/>
  <c r="Q171" i="4"/>
  <c r="O194" i="10"/>
  <c r="P194" i="10" s="1"/>
  <c r="Q154" i="4"/>
  <c r="O175" i="10"/>
  <c r="P175" i="10" s="1"/>
  <c r="Q138" i="4"/>
  <c r="O157" i="10"/>
  <c r="P157" i="10" s="1"/>
  <c r="Q134" i="4"/>
  <c r="O152" i="10"/>
  <c r="P152" i="10" s="1"/>
  <c r="Q122" i="4"/>
  <c r="O134" i="10"/>
  <c r="P134" i="10" s="1"/>
  <c r="Q55" i="4"/>
  <c r="O58" i="10"/>
  <c r="P58" i="10" s="1"/>
  <c r="Q43" i="4"/>
  <c r="O45" i="10"/>
  <c r="P45" i="10" s="1"/>
  <c r="Q35" i="4"/>
  <c r="O37" i="10"/>
  <c r="P37" i="10" s="1"/>
  <c r="Q27" i="4"/>
  <c r="O29" i="10"/>
  <c r="P29" i="10" s="1"/>
  <c r="O256" i="10"/>
  <c r="P256" i="10" s="1"/>
  <c r="Q15" i="4"/>
  <c r="O15" i="10"/>
  <c r="P15" i="10" s="1"/>
  <c r="Q184" i="4"/>
  <c r="O207" i="10"/>
  <c r="P207" i="10" s="1"/>
  <c r="Q163" i="4"/>
  <c r="O185" i="10"/>
  <c r="P185" i="10" s="1"/>
  <c r="Q123" i="4"/>
  <c r="O135" i="10"/>
  <c r="P135" i="10" s="1"/>
  <c r="Q111" i="4"/>
  <c r="O125" i="10"/>
  <c r="P125" i="10" s="1"/>
  <c r="Q95" i="4"/>
  <c r="O106" i="10"/>
  <c r="P106" i="10" s="1"/>
  <c r="O101" i="10"/>
  <c r="P101" i="10" s="1"/>
  <c r="Q87" i="4"/>
  <c r="O97" i="10"/>
  <c r="P97" i="10" s="1"/>
  <c r="Q83" i="4"/>
  <c r="O93" i="10"/>
  <c r="P93" i="10" s="1"/>
  <c r="Q75" i="4"/>
  <c r="O85" i="10"/>
  <c r="P85" i="10" s="1"/>
  <c r="Q220" i="4"/>
  <c r="O258" i="10"/>
  <c r="P258" i="10" s="1"/>
  <c r="Q202" i="4"/>
  <c r="O225" i="10"/>
  <c r="P225" i="10" s="1"/>
  <c r="Q194" i="4"/>
  <c r="O217" i="10"/>
  <c r="P217" i="10" s="1"/>
  <c r="Q186" i="4"/>
  <c r="O209" i="10"/>
  <c r="P209" i="10" s="1"/>
  <c r="Q178" i="4"/>
  <c r="O201" i="10"/>
  <c r="P201" i="10" s="1"/>
  <c r="Q174" i="4"/>
  <c r="O197" i="10"/>
  <c r="P197" i="10" s="1"/>
  <c r="Q149" i="4"/>
  <c r="O170" i="10"/>
  <c r="P170" i="10" s="1"/>
  <c r="Q145" i="4"/>
  <c r="O166" i="10"/>
  <c r="P166" i="10" s="1"/>
  <c r="Q117" i="4"/>
  <c r="O128" i="10"/>
  <c r="P128" i="10" s="1"/>
  <c r="Q69" i="4"/>
  <c r="O79" i="10"/>
  <c r="P79" i="10" s="1"/>
  <c r="Q42" i="4"/>
  <c r="O44" i="10"/>
  <c r="P44" i="10" s="1"/>
  <c r="Q14" i="4"/>
  <c r="O246" i="10"/>
  <c r="P246" i="10" s="1"/>
  <c r="O14" i="10"/>
  <c r="P14" i="10" s="1"/>
  <c r="Q159" i="4"/>
  <c r="O181" i="10"/>
  <c r="P181" i="10" s="1"/>
  <c r="Q155" i="4"/>
  <c r="O176" i="10"/>
  <c r="P176" i="10" s="1"/>
  <c r="Q147" i="4"/>
  <c r="O168" i="10"/>
  <c r="P168" i="10" s="1"/>
  <c r="Q67" i="4"/>
  <c r="O77" i="10"/>
  <c r="P77" i="10" s="1"/>
  <c r="Q56" i="4"/>
  <c r="O59" i="10"/>
  <c r="P59" i="10" s="1"/>
  <c r="Q52" i="4"/>
  <c r="O55" i="10"/>
  <c r="P55" i="10" s="1"/>
  <c r="Q48" i="4"/>
  <c r="O50" i="10"/>
  <c r="P50" i="10" s="1"/>
  <c r="Q40" i="4"/>
  <c r="O42" i="10"/>
  <c r="P42" i="10" s="1"/>
  <c r="Q36" i="4"/>
  <c r="O38" i="10"/>
  <c r="P38" i="10" s="1"/>
  <c r="Q32" i="4"/>
  <c r="O34" i="10"/>
  <c r="P34" i="10" s="1"/>
  <c r="Q28" i="4"/>
  <c r="O30" i="10"/>
  <c r="P30" i="10" s="1"/>
  <c r="Q24" i="4"/>
  <c r="O26" i="10"/>
  <c r="P26" i="10" s="1"/>
  <c r="Q20" i="4"/>
  <c r="O22" i="10"/>
  <c r="P22" i="10" s="1"/>
  <c r="Q245" i="4"/>
  <c r="O267" i="10"/>
  <c r="P267" i="10" s="1"/>
  <c r="Q217" i="4"/>
  <c r="O241" i="10"/>
  <c r="P241" i="10" s="1"/>
  <c r="O257" i="10"/>
  <c r="P257" i="10" s="1"/>
  <c r="O232" i="10"/>
  <c r="P232" i="10" s="1"/>
  <c r="Q201" i="4"/>
  <c r="O224" i="10"/>
  <c r="P224" i="10" s="1"/>
  <c r="Q140" i="4"/>
  <c r="O160" i="10"/>
  <c r="P160" i="10" s="1"/>
  <c r="Q136" i="4"/>
  <c r="O154" i="10"/>
  <c r="P154" i="10" s="1"/>
  <c r="Q132" i="4"/>
  <c r="O149" i="10"/>
  <c r="P149" i="10" s="1"/>
  <c r="Q128" i="4"/>
  <c r="O145" i="10"/>
  <c r="P145" i="10" s="1"/>
  <c r="O137" i="10"/>
  <c r="P137" i="10" s="1"/>
  <c r="Q108" i="4"/>
  <c r="O122" i="10"/>
  <c r="P122" i="10" s="1"/>
  <c r="Q100" i="4"/>
  <c r="O111" i="10"/>
  <c r="P111" i="10" s="1"/>
  <c r="Q80" i="4"/>
  <c r="O90" i="10"/>
  <c r="P90" i="10" s="1"/>
  <c r="Q76" i="4"/>
  <c r="O86" i="10"/>
  <c r="P86" i="10" s="1"/>
  <c r="Q72" i="4"/>
  <c r="O82" i="10"/>
  <c r="P82" i="10" s="1"/>
  <c r="Q68" i="4"/>
  <c r="O78" i="10"/>
  <c r="P78" i="10" s="1"/>
  <c r="O74" i="10"/>
  <c r="P74" i="10" s="1"/>
  <c r="Q37" i="4"/>
  <c r="O39" i="10"/>
  <c r="P39" i="10" s="1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R182" i="13"/>
  <c r="W184" i="13"/>
  <c r="R186" i="13"/>
  <c r="W188" i="13"/>
  <c r="R190" i="13"/>
  <c r="W192" i="13"/>
  <c r="R194" i="13"/>
  <c r="W196" i="13"/>
  <c r="R198" i="13"/>
  <c r="W200" i="13"/>
  <c r="R202" i="13"/>
  <c r="W204" i="13"/>
  <c r="R206" i="13"/>
  <c r="W208" i="13"/>
  <c r="R210" i="13"/>
  <c r="W212" i="13"/>
  <c r="R214" i="13"/>
  <c r="W216" i="13"/>
  <c r="R218" i="13"/>
  <c r="W220" i="13"/>
  <c r="R222" i="13"/>
  <c r="W224" i="13"/>
  <c r="R226" i="13"/>
  <c r="W228" i="13"/>
  <c r="R230" i="13"/>
  <c r="W232" i="13"/>
  <c r="R234" i="13"/>
  <c r="W236" i="13"/>
  <c r="R238" i="13"/>
  <c r="W240" i="13"/>
  <c r="R242" i="13"/>
  <c r="W244" i="13"/>
  <c r="R246" i="13"/>
  <c r="W248" i="13"/>
  <c r="R250" i="13"/>
  <c r="W252" i="13"/>
  <c r="R254" i="13"/>
  <c r="W256" i="13"/>
  <c r="R258" i="13"/>
  <c r="W260" i="13"/>
  <c r="R262" i="13"/>
  <c r="W264" i="13"/>
  <c r="R266" i="13"/>
  <c r="W268" i="13"/>
  <c r="R270" i="13"/>
  <c r="W272" i="13"/>
  <c r="R274" i="13"/>
  <c r="W276" i="13"/>
  <c r="X19" i="8"/>
  <c r="X23" i="8"/>
  <c r="X27" i="8"/>
  <c r="X34" i="8"/>
  <c r="X18" i="8"/>
  <c r="X22" i="8"/>
  <c r="X26" i="8"/>
  <c r="P52" i="10"/>
  <c r="Q64" i="4"/>
  <c r="P243" i="10"/>
  <c r="P6" i="10"/>
  <c r="P270" i="10"/>
  <c r="P235" i="10"/>
  <c r="P182" i="10"/>
  <c r="P43" i="10"/>
  <c r="Q18" i="4"/>
  <c r="Q23" i="4"/>
  <c r="Q33" i="4"/>
  <c r="Q39" i="4"/>
  <c r="Q47" i="4"/>
  <c r="Q51" i="4"/>
  <c r="Q65" i="4"/>
  <c r="Q71" i="4"/>
  <c r="Q85" i="4"/>
  <c r="Q92" i="4"/>
  <c r="Q102" i="4"/>
  <c r="Q109" i="4"/>
  <c r="Q118" i="4"/>
  <c r="Q124" i="4"/>
  <c r="Q146" i="4"/>
  <c r="Q164" i="4"/>
  <c r="Q173" i="4"/>
  <c r="Q181" i="4"/>
  <c r="Q200" i="4"/>
  <c r="Q208" i="4"/>
  <c r="Q219" i="4"/>
  <c r="Q12" i="4"/>
  <c r="W12" i="4" s="1"/>
  <c r="Q29" i="4"/>
  <c r="Q77" i="4"/>
  <c r="Q16" i="4"/>
  <c r="Q57" i="4"/>
  <c r="Q61" i="4"/>
  <c r="Q133" i="4"/>
  <c r="Q187" i="4"/>
  <c r="Q17" i="4"/>
  <c r="Q25" i="4"/>
  <c r="Q31" i="4"/>
  <c r="Q53" i="4"/>
  <c r="Q59" i="4"/>
  <c r="Q63" i="4"/>
  <c r="Q73" i="4"/>
  <c r="Q91" i="4"/>
  <c r="Q98" i="4"/>
  <c r="Q115" i="4"/>
  <c r="Q130" i="4"/>
  <c r="Q144" i="4"/>
  <c r="Q152" i="4"/>
  <c r="Q169" i="4"/>
  <c r="Q185" i="4"/>
  <c r="Q198" i="4"/>
  <c r="Q205" i="4"/>
  <c r="Q215" i="4"/>
  <c r="Q225" i="4"/>
  <c r="Q34" i="4"/>
  <c r="Q13" i="4"/>
  <c r="Q19" i="4"/>
  <c r="Q22" i="4"/>
  <c r="Q26" i="4"/>
  <c r="Q45" i="4"/>
  <c r="Q49" i="4"/>
  <c r="Q54" i="4"/>
  <c r="Q58" i="4"/>
  <c r="Q60" i="4"/>
  <c r="Q62" i="4"/>
  <c r="Q66" i="4"/>
  <c r="Q70" i="4"/>
  <c r="Q81" i="4"/>
  <c r="Q89" i="4"/>
  <c r="Q105" i="4"/>
  <c r="Q137" i="4"/>
  <c r="Q142" i="4"/>
  <c r="Q160" i="4"/>
  <c r="Q167" i="4"/>
  <c r="Q189" i="4"/>
  <c r="Q196" i="4"/>
  <c r="Q213" i="4"/>
  <c r="Q229" i="4"/>
  <c r="Q234" i="4"/>
  <c r="Q241" i="4"/>
  <c r="Q226" i="4"/>
  <c r="Q238" i="4"/>
  <c r="T12" i="4"/>
  <c r="U12" i="4" s="1"/>
  <c r="Q41" i="4"/>
  <c r="Q46" i="4"/>
  <c r="Q96" i="4"/>
  <c r="Q119" i="4"/>
  <c r="Q126" i="4"/>
  <c r="Q150" i="4"/>
  <c r="Q175" i="4"/>
  <c r="Q183" i="4"/>
  <c r="Q203" i="4"/>
  <c r="Q221" i="4"/>
  <c r="Q230" i="4"/>
  <c r="Q242" i="4"/>
  <c r="Q50" i="4"/>
  <c r="Q44" i="4"/>
  <c r="Q38" i="4"/>
  <c r="Q30" i="4"/>
  <c r="Q7" i="10"/>
  <c r="Q113" i="10"/>
  <c r="Q82" i="10"/>
  <c r="Q98" i="10"/>
  <c r="Q85" i="10"/>
  <c r="Q46" i="10"/>
  <c r="Q42" i="10"/>
  <c r="Q9" i="10"/>
  <c r="Q269" i="10"/>
  <c r="Q130" i="10"/>
  <c r="Q116" i="10"/>
  <c r="Q99" i="10"/>
  <c r="Q95" i="10"/>
  <c r="Q88" i="10"/>
  <c r="Q83" i="10"/>
  <c r="Q79" i="10"/>
  <c r="Q76" i="10"/>
  <c r="Q62" i="10"/>
  <c r="R62" i="10" s="1"/>
  <c r="Q58" i="10"/>
  <c r="Q54" i="10"/>
  <c r="Q50" i="10"/>
  <c r="Q30" i="10"/>
  <c r="Q26" i="10"/>
  <c r="Q22" i="10"/>
  <c r="Q13" i="10"/>
  <c r="Q8" i="10"/>
  <c r="Q6" i="10"/>
  <c r="Q168" i="4"/>
  <c r="P266" i="10"/>
  <c r="Q244" i="4"/>
  <c r="Q240" i="4"/>
  <c r="Q228" i="4"/>
  <c r="P248" i="10"/>
  <c r="Q224" i="4"/>
  <c r="Q216" i="4"/>
  <c r="Q209" i="4"/>
  <c r="Q206" i="4"/>
  <c r="Q195" i="4"/>
  <c r="Q192" i="4"/>
  <c r="Q182" i="4"/>
  <c r="Q170" i="4"/>
  <c r="Q166" i="4"/>
  <c r="Q156" i="4"/>
  <c r="Q153" i="4"/>
  <c r="Q141" i="4"/>
  <c r="Q139" i="4"/>
  <c r="Q129" i="4"/>
  <c r="P138" i="10"/>
  <c r="Q125" i="4"/>
  <c r="Q103" i="4"/>
  <c r="P110" i="10"/>
  <c r="Q99" i="4"/>
  <c r="Q88" i="4"/>
  <c r="Q84" i="4"/>
  <c r="Q224" i="10"/>
  <c r="Q247" i="4"/>
  <c r="Q243" i="4"/>
  <c r="Q239" i="4"/>
  <c r="P259" i="10"/>
  <c r="Q235" i="4"/>
  <c r="Q231" i="4"/>
  <c r="Q227" i="4"/>
  <c r="Q223" i="4"/>
  <c r="Q79" i="4"/>
  <c r="Q94" i="4"/>
  <c r="Q107" i="4"/>
  <c r="Q121" i="4"/>
  <c r="Q135" i="4"/>
  <c r="Q148" i="4"/>
  <c r="Q162" i="4"/>
  <c r="Q177" i="4"/>
  <c r="Q188" i="4"/>
  <c r="Q218" i="4"/>
  <c r="Q214" i="4"/>
  <c r="Q211" i="4"/>
  <c r="Q204" i="4"/>
  <c r="Q197" i="4"/>
  <c r="Q190" i="4"/>
  <c r="Q180" i="4"/>
  <c r="Q176" i="4"/>
  <c r="Q172" i="4"/>
  <c r="Q165" i="4"/>
  <c r="Q161" i="4"/>
  <c r="Q157" i="4"/>
  <c r="Q151" i="4"/>
  <c r="Q143" i="4"/>
  <c r="Q131" i="4"/>
  <c r="Q127" i="4"/>
  <c r="Q120" i="4"/>
  <c r="Q114" i="4"/>
  <c r="Q110" i="4"/>
  <c r="Q106" i="4"/>
  <c r="Q104" i="4"/>
  <c r="P112" i="10"/>
  <c r="Q101" i="4"/>
  <c r="Q97" i="4"/>
  <c r="Q93" i="4"/>
  <c r="Q90" i="4"/>
  <c r="Q86" i="4"/>
  <c r="Q82" i="4"/>
  <c r="Q78" i="4"/>
  <c r="Q74" i="4"/>
  <c r="Q122" i="10"/>
  <c r="Q108" i="10"/>
  <c r="Q94" i="10"/>
  <c r="Q78" i="10"/>
  <c r="Q38" i="10"/>
  <c r="Q34" i="10"/>
  <c r="Q20" i="10"/>
  <c r="Q266" i="10"/>
  <c r="Q254" i="10"/>
  <c r="Q247" i="10"/>
  <c r="Q241" i="10"/>
  <c r="Q222" i="10"/>
  <c r="Q219" i="10"/>
  <c r="Q80" i="10"/>
  <c r="Q71" i="10"/>
  <c r="Q67" i="10"/>
  <c r="Q17" i="10"/>
  <c r="Q227" i="10"/>
  <c r="Q215" i="10"/>
  <c r="Q119" i="10"/>
  <c r="Q21" i="10"/>
  <c r="Q19" i="10"/>
  <c r="Q16" i="10"/>
  <c r="Q243" i="10"/>
  <c r="Q220" i="10"/>
  <c r="Q121" i="10"/>
  <c r="Q117" i="10"/>
  <c r="Q114" i="10"/>
  <c r="Q106" i="10"/>
  <c r="Q96" i="10"/>
  <c r="Q93" i="10"/>
  <c r="Q90" i="10"/>
  <c r="Q86" i="10"/>
  <c r="Q65" i="10"/>
  <c r="R65" i="10" s="1"/>
  <c r="Q56" i="10"/>
  <c r="Q48" i="10"/>
  <c r="Q40" i="10"/>
  <c r="Q32" i="10"/>
  <c r="Q24" i="10"/>
  <c r="Q18" i="10"/>
  <c r="Q15" i="10"/>
  <c r="Q12" i="10"/>
  <c r="Q10" i="10"/>
  <c r="Q5" i="10"/>
  <c r="Q259" i="10"/>
  <c r="Q256" i="10"/>
  <c r="Q226" i="10"/>
  <c r="Q149" i="10"/>
  <c r="Q128" i="10"/>
  <c r="Q124" i="10"/>
  <c r="Q115" i="10"/>
  <c r="Q112" i="10"/>
  <c r="Q91" i="10"/>
  <c r="Q87" i="10"/>
  <c r="Q23" i="10"/>
  <c r="Q14" i="10"/>
  <c r="Q11" i="10"/>
  <c r="Q264" i="10"/>
  <c r="Q255" i="10"/>
  <c r="Q246" i="10"/>
  <c r="Q232" i="10"/>
  <c r="Q223" i="10"/>
  <c r="Q218" i="10"/>
  <c r="Q126" i="10"/>
  <c r="Q120" i="10"/>
  <c r="Q118" i="10"/>
  <c r="Q104" i="10"/>
  <c r="Q97" i="10"/>
  <c r="Q92" i="10"/>
  <c r="Q89" i="10"/>
  <c r="Q84" i="10"/>
  <c r="Q81" i="10"/>
  <c r="Q69" i="10"/>
  <c r="Q60" i="10"/>
  <c r="Q52" i="10"/>
  <c r="Q44" i="10"/>
  <c r="Q36" i="10"/>
  <c r="Q28" i="10"/>
  <c r="T222" i="4"/>
  <c r="Q4" i="10"/>
  <c r="Q267" i="10"/>
  <c r="Q258" i="10"/>
  <c r="Q248" i="10"/>
  <c r="Q242" i="10"/>
  <c r="Q265" i="10"/>
  <c r="Q257" i="10"/>
  <c r="Q253" i="10"/>
  <c r="Q239" i="10"/>
  <c r="Q233" i="10"/>
  <c r="Q225" i="10"/>
  <c r="Q221" i="10"/>
  <c r="Q217" i="10"/>
  <c r="Q72" i="10"/>
  <c r="Q66" i="10"/>
  <c r="R66" i="10" s="1"/>
  <c r="Q59" i="10"/>
  <c r="Q57" i="10"/>
  <c r="Q55" i="10"/>
  <c r="Q53" i="10"/>
  <c r="Q51" i="10"/>
  <c r="Q49" i="10"/>
  <c r="Q47" i="10"/>
  <c r="Q43" i="10"/>
  <c r="Q41" i="10"/>
  <c r="Q39" i="10"/>
  <c r="Q37" i="10"/>
  <c r="Q35" i="10"/>
  <c r="Q33" i="10"/>
  <c r="Q31" i="10"/>
  <c r="Q29" i="10"/>
  <c r="Q27" i="10"/>
  <c r="Q25" i="10"/>
  <c r="Q244" i="10"/>
  <c r="Q129" i="10"/>
  <c r="Q127" i="10"/>
  <c r="Q125" i="10"/>
  <c r="Q123" i="10"/>
  <c r="Q107" i="10"/>
  <c r="Q105" i="10"/>
  <c r="Q103" i="10"/>
  <c r="Q77" i="10"/>
  <c r="Q75" i="10"/>
  <c r="Q70" i="10"/>
  <c r="Q68" i="10"/>
  <c r="Q64" i="10"/>
  <c r="R64" i="10" s="1"/>
  <c r="Q45" i="10"/>
  <c r="X17" i="8"/>
  <c r="X21" i="8"/>
  <c r="X25" i="8"/>
  <c r="R181" i="13"/>
  <c r="W183" i="13"/>
  <c r="R185" i="13"/>
  <c r="W187" i="13"/>
  <c r="R189" i="13"/>
  <c r="W191" i="13"/>
  <c r="R193" i="13"/>
  <c r="W195" i="13"/>
  <c r="R197" i="13"/>
  <c r="W199" i="13"/>
  <c r="R201" i="13"/>
  <c r="W203" i="13"/>
  <c r="R205" i="13"/>
  <c r="W207" i="13"/>
  <c r="R209" i="13"/>
  <c r="W211" i="13"/>
  <c r="R213" i="13"/>
  <c r="W215" i="13"/>
  <c r="R217" i="13"/>
  <c r="W219" i="13"/>
  <c r="R221" i="13"/>
  <c r="W223" i="13"/>
  <c r="R225" i="13"/>
  <c r="W227" i="13"/>
  <c r="R229" i="13"/>
  <c r="W231" i="13"/>
  <c r="R233" i="13"/>
  <c r="W235" i="13"/>
  <c r="R237" i="13"/>
  <c r="W239" i="13"/>
  <c r="R241" i="13"/>
  <c r="W243" i="13"/>
  <c r="R245" i="13"/>
  <c r="W247" i="13"/>
  <c r="R249" i="13"/>
  <c r="W251" i="13"/>
  <c r="R253" i="13"/>
  <c r="X16" i="8"/>
  <c r="X20" i="8"/>
  <c r="X24" i="8"/>
  <c r="X28" i="8"/>
  <c r="X29" i="8"/>
  <c r="X30" i="8"/>
  <c r="X31" i="8"/>
  <c r="X32" i="8"/>
  <c r="X33" i="8"/>
  <c r="W182" i="13"/>
  <c r="R184" i="13"/>
  <c r="W186" i="13"/>
  <c r="R188" i="13"/>
  <c r="W190" i="13"/>
  <c r="R192" i="13"/>
  <c r="W194" i="13"/>
  <c r="R196" i="13"/>
  <c r="W198" i="13"/>
  <c r="R200" i="13"/>
  <c r="W202" i="13"/>
  <c r="R204" i="13"/>
  <c r="W206" i="13"/>
  <c r="R208" i="13"/>
  <c r="W210" i="13"/>
  <c r="R212" i="13"/>
  <c r="W214" i="13"/>
  <c r="R216" i="13"/>
  <c r="W218" i="13"/>
  <c r="R220" i="13"/>
  <c r="W222" i="13"/>
  <c r="R224" i="13"/>
  <c r="W226" i="13"/>
  <c r="R228" i="13"/>
  <c r="W230" i="13"/>
  <c r="R232" i="13"/>
  <c r="W234" i="13"/>
  <c r="R236" i="13"/>
  <c r="W238" i="13"/>
  <c r="R240" i="13"/>
  <c r="W242" i="13"/>
  <c r="R244" i="13"/>
  <c r="W246" i="13"/>
  <c r="R248" i="13"/>
  <c r="W250" i="13"/>
  <c r="R252" i="13"/>
  <c r="W254" i="13"/>
  <c r="R256" i="13"/>
  <c r="W258" i="13"/>
  <c r="R260" i="13"/>
  <c r="W262" i="13"/>
  <c r="R264" i="13"/>
  <c r="W266" i="13"/>
  <c r="R268" i="13"/>
  <c r="W270" i="13"/>
  <c r="R272" i="13"/>
  <c r="W274" i="13"/>
  <c r="R276" i="13"/>
  <c r="W255" i="13"/>
  <c r="R257" i="13"/>
  <c r="W259" i="13"/>
  <c r="R261" i="13"/>
  <c r="W263" i="13"/>
  <c r="R265" i="13"/>
  <c r="W267" i="13"/>
  <c r="R269" i="13"/>
  <c r="W271" i="13"/>
  <c r="R273" i="13"/>
  <c r="W275" i="13"/>
  <c r="W277" i="13"/>
  <c r="T4" i="13"/>
  <c r="U4" i="13" s="1"/>
  <c r="T5" i="13"/>
  <c r="U5" i="13" s="1"/>
  <c r="T6" i="13"/>
  <c r="U6" i="13" s="1"/>
  <c r="T7" i="13"/>
  <c r="U7" i="13" s="1"/>
  <c r="T8" i="13"/>
  <c r="U8" i="13" s="1"/>
  <c r="T9" i="13"/>
  <c r="U9" i="13" s="1"/>
  <c r="T10" i="13"/>
  <c r="U10" i="13" s="1"/>
  <c r="T11" i="13"/>
  <c r="U11" i="13" s="1"/>
  <c r="T12" i="13"/>
  <c r="U12" i="13" s="1"/>
  <c r="T13" i="13"/>
  <c r="U13" i="13" s="1"/>
  <c r="T14" i="13"/>
  <c r="U14" i="13" s="1"/>
  <c r="T15" i="13"/>
  <c r="U15" i="13" s="1"/>
  <c r="T16" i="13"/>
  <c r="U16" i="13" s="1"/>
  <c r="T17" i="13"/>
  <c r="U17" i="13" s="1"/>
  <c r="T18" i="13"/>
  <c r="U18" i="13" s="1"/>
  <c r="T19" i="13"/>
  <c r="U19" i="13" s="1"/>
  <c r="T20" i="13"/>
  <c r="U20" i="13" s="1"/>
  <c r="T21" i="13"/>
  <c r="U21" i="13" s="1"/>
  <c r="T22" i="13"/>
  <c r="U22" i="13" s="1"/>
  <c r="T23" i="13"/>
  <c r="U23" i="13" s="1"/>
  <c r="T24" i="13"/>
  <c r="U24" i="13" s="1"/>
  <c r="T25" i="13"/>
  <c r="U25" i="13" s="1"/>
  <c r="T26" i="13"/>
  <c r="U26" i="13" s="1"/>
  <c r="T27" i="13"/>
  <c r="U27" i="13" s="1"/>
  <c r="T28" i="13"/>
  <c r="U28" i="13" s="1"/>
  <c r="T29" i="13"/>
  <c r="U29" i="13" s="1"/>
  <c r="T30" i="13"/>
  <c r="U30" i="13" s="1"/>
  <c r="T31" i="13"/>
  <c r="U31" i="13" s="1"/>
  <c r="T32" i="13"/>
  <c r="U32" i="13" s="1"/>
  <c r="T33" i="13"/>
  <c r="U33" i="13" s="1"/>
  <c r="T34" i="13"/>
  <c r="U34" i="13" s="1"/>
  <c r="T35" i="13"/>
  <c r="U35" i="13" s="1"/>
  <c r="T36" i="13"/>
  <c r="U36" i="13" s="1"/>
  <c r="T37" i="13"/>
  <c r="U37" i="13" s="1"/>
  <c r="T38" i="13"/>
  <c r="U38" i="13" s="1"/>
  <c r="T39" i="13"/>
  <c r="U39" i="13" s="1"/>
  <c r="T40" i="13"/>
  <c r="U40" i="13" s="1"/>
  <c r="T41" i="13"/>
  <c r="U41" i="13" s="1"/>
  <c r="T42" i="13"/>
  <c r="U42" i="13" s="1"/>
  <c r="T43" i="13"/>
  <c r="U43" i="13" s="1"/>
  <c r="T44" i="13"/>
  <c r="U44" i="13" s="1"/>
  <c r="T45" i="13"/>
  <c r="U45" i="13" s="1"/>
  <c r="T46" i="13"/>
  <c r="U46" i="13" s="1"/>
  <c r="T47" i="13"/>
  <c r="U47" i="13" s="1"/>
  <c r="T48" i="13"/>
  <c r="U48" i="13" s="1"/>
  <c r="T49" i="13"/>
  <c r="U49" i="13" s="1"/>
  <c r="T50" i="13"/>
  <c r="U50" i="13" s="1"/>
  <c r="T51" i="13"/>
  <c r="U51" i="13" s="1"/>
  <c r="T52" i="13"/>
  <c r="U52" i="13" s="1"/>
  <c r="T53" i="13"/>
  <c r="U53" i="13" s="1"/>
  <c r="T54" i="13"/>
  <c r="U54" i="13" s="1"/>
  <c r="T55" i="13"/>
  <c r="U55" i="13" s="1"/>
  <c r="T56" i="13"/>
  <c r="U56" i="13" s="1"/>
  <c r="T57" i="13"/>
  <c r="U57" i="13" s="1"/>
  <c r="T58" i="13"/>
  <c r="U58" i="13" s="1"/>
  <c r="T59" i="13"/>
  <c r="U59" i="13" s="1"/>
  <c r="T60" i="13"/>
  <c r="U60" i="13" s="1"/>
  <c r="T61" i="13"/>
  <c r="U61" i="13" s="1"/>
  <c r="T62" i="13"/>
  <c r="U62" i="13" s="1"/>
  <c r="T63" i="13"/>
  <c r="U63" i="13" s="1"/>
  <c r="T64" i="13"/>
  <c r="U64" i="13" s="1"/>
  <c r="T65" i="13"/>
  <c r="U65" i="13" s="1"/>
  <c r="T66" i="13"/>
  <c r="U66" i="13" s="1"/>
  <c r="T67" i="13"/>
  <c r="U67" i="13" s="1"/>
  <c r="T68" i="13"/>
  <c r="U68" i="13" s="1"/>
  <c r="T69" i="13"/>
  <c r="U69" i="13" s="1"/>
  <c r="T70" i="13"/>
  <c r="U70" i="13" s="1"/>
  <c r="T71" i="13"/>
  <c r="U71" i="13" s="1"/>
  <c r="T72" i="13"/>
  <c r="U72" i="13" s="1"/>
  <c r="T73" i="13"/>
  <c r="U73" i="13" s="1"/>
  <c r="T74" i="13"/>
  <c r="U74" i="13" s="1"/>
  <c r="T75" i="13"/>
  <c r="U75" i="13" s="1"/>
  <c r="T76" i="13"/>
  <c r="U76" i="13" s="1"/>
  <c r="T77" i="13"/>
  <c r="U77" i="13" s="1"/>
  <c r="T78" i="13"/>
  <c r="U78" i="13" s="1"/>
  <c r="T79" i="13"/>
  <c r="U79" i="13" s="1"/>
  <c r="T80" i="13"/>
  <c r="U80" i="13" s="1"/>
  <c r="T81" i="13"/>
  <c r="U81" i="13" s="1"/>
  <c r="T82" i="13"/>
  <c r="U82" i="13" s="1"/>
  <c r="T83" i="13"/>
  <c r="U83" i="13" s="1"/>
  <c r="T84" i="13"/>
  <c r="U84" i="13" s="1"/>
  <c r="T85" i="13"/>
  <c r="U85" i="13" s="1"/>
  <c r="T86" i="13"/>
  <c r="U86" i="13" s="1"/>
  <c r="T87" i="13"/>
  <c r="U87" i="13" s="1"/>
  <c r="T88" i="13"/>
  <c r="U88" i="13" s="1"/>
  <c r="T89" i="13"/>
  <c r="U89" i="13" s="1"/>
  <c r="T90" i="13"/>
  <c r="U90" i="13" s="1"/>
  <c r="T91" i="13"/>
  <c r="U91" i="13" s="1"/>
  <c r="T92" i="13"/>
  <c r="U92" i="13" s="1"/>
  <c r="T93" i="13"/>
  <c r="U93" i="13" s="1"/>
  <c r="T94" i="13"/>
  <c r="U94" i="13" s="1"/>
  <c r="T95" i="13"/>
  <c r="U95" i="13" s="1"/>
  <c r="T96" i="13"/>
  <c r="U96" i="13" s="1"/>
  <c r="T97" i="13"/>
  <c r="U97" i="13" s="1"/>
  <c r="T98" i="13"/>
  <c r="U98" i="13" s="1"/>
  <c r="T99" i="13"/>
  <c r="U99" i="13" s="1"/>
  <c r="T100" i="13"/>
  <c r="U100" i="13" s="1"/>
  <c r="T101" i="13"/>
  <c r="U101" i="13" s="1"/>
  <c r="T102" i="13"/>
  <c r="U102" i="13" s="1"/>
  <c r="T103" i="13"/>
  <c r="U103" i="13" s="1"/>
  <c r="T104" i="13"/>
  <c r="U104" i="13" s="1"/>
  <c r="T105" i="13"/>
  <c r="U105" i="13" s="1"/>
  <c r="T106" i="13"/>
  <c r="U106" i="13" s="1"/>
  <c r="T107" i="13"/>
  <c r="U107" i="13" s="1"/>
  <c r="T108" i="13"/>
  <c r="U108" i="13" s="1"/>
  <c r="T109" i="13"/>
  <c r="U109" i="13" s="1"/>
  <c r="T110" i="13"/>
  <c r="U110" i="13" s="1"/>
  <c r="T111" i="13"/>
  <c r="U111" i="13" s="1"/>
  <c r="T112" i="13"/>
  <c r="U112" i="13" s="1"/>
  <c r="T113" i="13"/>
  <c r="U113" i="13" s="1"/>
  <c r="T114" i="13"/>
  <c r="U114" i="13" s="1"/>
  <c r="T115" i="13"/>
  <c r="U115" i="13" s="1"/>
  <c r="T116" i="13"/>
  <c r="U116" i="13" s="1"/>
  <c r="T117" i="13"/>
  <c r="U117" i="13" s="1"/>
  <c r="T118" i="13"/>
  <c r="U118" i="13" s="1"/>
  <c r="T119" i="13"/>
  <c r="U119" i="13" s="1"/>
  <c r="T120" i="13"/>
  <c r="U120" i="13" s="1"/>
  <c r="T121" i="13"/>
  <c r="U121" i="13" s="1"/>
  <c r="T122" i="13"/>
  <c r="U122" i="13" s="1"/>
  <c r="T123" i="13"/>
  <c r="U123" i="13" s="1"/>
  <c r="T124" i="13"/>
  <c r="U124" i="13" s="1"/>
  <c r="T125" i="13"/>
  <c r="U125" i="13" s="1"/>
  <c r="T126" i="13"/>
  <c r="U126" i="13" s="1"/>
  <c r="T127" i="13"/>
  <c r="U127" i="13" s="1"/>
  <c r="T128" i="13"/>
  <c r="U128" i="13" s="1"/>
  <c r="T129" i="13"/>
  <c r="U129" i="13" s="1"/>
  <c r="T130" i="13"/>
  <c r="U130" i="13" s="1"/>
  <c r="T131" i="13"/>
  <c r="U131" i="13" s="1"/>
  <c r="T132" i="13"/>
  <c r="U132" i="13" s="1"/>
  <c r="T133" i="13"/>
  <c r="U133" i="13" s="1"/>
  <c r="T134" i="13"/>
  <c r="U134" i="13" s="1"/>
  <c r="T135" i="13"/>
  <c r="U135" i="13" s="1"/>
  <c r="T136" i="13"/>
  <c r="U136" i="13" s="1"/>
  <c r="T137" i="13"/>
  <c r="U137" i="13" s="1"/>
  <c r="T138" i="13"/>
  <c r="U138" i="13" s="1"/>
  <c r="T139" i="13"/>
  <c r="U139" i="13" s="1"/>
  <c r="T140" i="13"/>
  <c r="U140" i="13" s="1"/>
  <c r="T141" i="13"/>
  <c r="U141" i="13" s="1"/>
  <c r="T142" i="13"/>
  <c r="U142" i="13" s="1"/>
  <c r="T143" i="13"/>
  <c r="U143" i="13" s="1"/>
  <c r="T144" i="13"/>
  <c r="U144" i="13" s="1"/>
  <c r="T145" i="13"/>
  <c r="U145" i="13" s="1"/>
  <c r="T146" i="13"/>
  <c r="U146" i="13" s="1"/>
  <c r="T147" i="13"/>
  <c r="U147" i="13" s="1"/>
  <c r="T148" i="13"/>
  <c r="U148" i="13" s="1"/>
  <c r="T149" i="13"/>
  <c r="U149" i="13" s="1"/>
  <c r="T150" i="13"/>
  <c r="U150" i="13" s="1"/>
  <c r="T151" i="13"/>
  <c r="U151" i="13" s="1"/>
  <c r="T152" i="13"/>
  <c r="U152" i="13" s="1"/>
  <c r="T153" i="13"/>
  <c r="U153" i="13" s="1"/>
  <c r="T154" i="13"/>
  <c r="U154" i="13" s="1"/>
  <c r="T155" i="13"/>
  <c r="U155" i="13" s="1"/>
  <c r="T156" i="13"/>
  <c r="U156" i="13" s="1"/>
  <c r="T157" i="13"/>
  <c r="U157" i="13" s="1"/>
  <c r="T158" i="13"/>
  <c r="U158" i="13" s="1"/>
  <c r="T159" i="13"/>
  <c r="U159" i="13" s="1"/>
  <c r="T160" i="13"/>
  <c r="U160" i="13" s="1"/>
  <c r="T161" i="13"/>
  <c r="U161" i="13" s="1"/>
  <c r="T162" i="13"/>
  <c r="U162" i="13" s="1"/>
  <c r="T163" i="13"/>
  <c r="U163" i="13" s="1"/>
  <c r="T164" i="13"/>
  <c r="U164" i="13" s="1"/>
  <c r="T165" i="13"/>
  <c r="U165" i="13" s="1"/>
  <c r="T166" i="13"/>
  <c r="U166" i="13" s="1"/>
  <c r="T167" i="13"/>
  <c r="U167" i="13" s="1"/>
  <c r="T168" i="13"/>
  <c r="U168" i="13" s="1"/>
  <c r="T169" i="13"/>
  <c r="U169" i="13" s="1"/>
  <c r="T170" i="13"/>
  <c r="U170" i="13" s="1"/>
  <c r="T171" i="13"/>
  <c r="U171" i="13" s="1"/>
  <c r="T172" i="13"/>
  <c r="U172" i="13" s="1"/>
  <c r="T173" i="13"/>
  <c r="U173" i="13" s="1"/>
  <c r="T174" i="13"/>
  <c r="U174" i="13" s="1"/>
  <c r="T175" i="13"/>
  <c r="U175" i="13" s="1"/>
  <c r="T176" i="13"/>
  <c r="U176" i="13" s="1"/>
  <c r="T177" i="13"/>
  <c r="U177" i="13" s="1"/>
  <c r="T178" i="13"/>
  <c r="U178" i="13" s="1"/>
  <c r="T179" i="13"/>
  <c r="U179" i="13" s="1"/>
  <c r="T180" i="13"/>
  <c r="U180" i="13" s="1"/>
  <c r="T181" i="13"/>
  <c r="U181" i="13" s="1"/>
  <c r="T182" i="13"/>
  <c r="U182" i="13" s="1"/>
  <c r="T183" i="13"/>
  <c r="U183" i="13" s="1"/>
  <c r="T184" i="13"/>
  <c r="U184" i="13" s="1"/>
  <c r="T185" i="13"/>
  <c r="U185" i="13" s="1"/>
  <c r="T186" i="13"/>
  <c r="U186" i="13" s="1"/>
  <c r="T187" i="13"/>
  <c r="U187" i="13" s="1"/>
  <c r="T188" i="13"/>
  <c r="U188" i="13" s="1"/>
  <c r="T189" i="13"/>
  <c r="U189" i="13" s="1"/>
  <c r="T190" i="13"/>
  <c r="U190" i="13" s="1"/>
  <c r="T191" i="13"/>
  <c r="U191" i="13" s="1"/>
  <c r="T192" i="13"/>
  <c r="U192" i="13" s="1"/>
  <c r="T193" i="13"/>
  <c r="U193" i="13" s="1"/>
  <c r="T194" i="13"/>
  <c r="U194" i="13" s="1"/>
  <c r="T195" i="13"/>
  <c r="U195" i="13" s="1"/>
  <c r="T196" i="13"/>
  <c r="U196" i="13" s="1"/>
  <c r="T197" i="13"/>
  <c r="U197" i="13" s="1"/>
  <c r="T198" i="13"/>
  <c r="U198" i="13" s="1"/>
  <c r="T199" i="13"/>
  <c r="U199" i="13" s="1"/>
  <c r="T200" i="13"/>
  <c r="U200" i="13" s="1"/>
  <c r="T201" i="13"/>
  <c r="U201" i="13" s="1"/>
  <c r="T202" i="13"/>
  <c r="U202" i="13" s="1"/>
  <c r="T203" i="13"/>
  <c r="U203" i="13" s="1"/>
  <c r="T204" i="13"/>
  <c r="U204" i="13" s="1"/>
  <c r="T205" i="13"/>
  <c r="U205" i="13" s="1"/>
  <c r="T206" i="13"/>
  <c r="U206" i="13" s="1"/>
  <c r="T207" i="13"/>
  <c r="U207" i="13" s="1"/>
  <c r="T208" i="13"/>
  <c r="U208" i="13" s="1"/>
  <c r="T209" i="13"/>
  <c r="U209" i="13" s="1"/>
  <c r="T210" i="13"/>
  <c r="U210" i="13" s="1"/>
  <c r="T211" i="13"/>
  <c r="U211" i="13" s="1"/>
  <c r="T212" i="13"/>
  <c r="U212" i="13" s="1"/>
  <c r="T213" i="13"/>
  <c r="U213" i="13" s="1"/>
  <c r="T214" i="13"/>
  <c r="U214" i="13" s="1"/>
  <c r="T215" i="13"/>
  <c r="U215" i="13" s="1"/>
  <c r="T216" i="13"/>
  <c r="U216" i="13" s="1"/>
  <c r="T217" i="13"/>
  <c r="U217" i="13" s="1"/>
  <c r="T218" i="13"/>
  <c r="U218" i="13" s="1"/>
  <c r="T219" i="13"/>
  <c r="U219" i="13" s="1"/>
  <c r="T220" i="13"/>
  <c r="U220" i="13" s="1"/>
  <c r="T221" i="13"/>
  <c r="U221" i="13" s="1"/>
  <c r="T222" i="13"/>
  <c r="U222" i="13" s="1"/>
  <c r="T223" i="13"/>
  <c r="U223" i="13" s="1"/>
  <c r="T224" i="13"/>
  <c r="U224" i="13" s="1"/>
  <c r="T225" i="13"/>
  <c r="U225" i="13" s="1"/>
  <c r="T226" i="13"/>
  <c r="U226" i="13" s="1"/>
  <c r="T227" i="13"/>
  <c r="U227" i="13" s="1"/>
  <c r="T228" i="13"/>
  <c r="U228" i="13" s="1"/>
  <c r="T229" i="13"/>
  <c r="U229" i="13" s="1"/>
  <c r="T230" i="13"/>
  <c r="U230" i="13" s="1"/>
  <c r="T231" i="13"/>
  <c r="U231" i="13" s="1"/>
  <c r="T232" i="13"/>
  <c r="U232" i="13" s="1"/>
  <c r="T233" i="13"/>
  <c r="U233" i="13" s="1"/>
  <c r="T234" i="13"/>
  <c r="U234" i="13" s="1"/>
  <c r="T235" i="13"/>
  <c r="U235" i="13" s="1"/>
  <c r="T236" i="13"/>
  <c r="U236" i="13" s="1"/>
  <c r="T237" i="13"/>
  <c r="U237" i="13" s="1"/>
  <c r="T238" i="13"/>
  <c r="U238" i="13" s="1"/>
  <c r="T239" i="13"/>
  <c r="U239" i="13" s="1"/>
  <c r="T240" i="13"/>
  <c r="U240" i="13" s="1"/>
  <c r="T241" i="13"/>
  <c r="U241" i="13" s="1"/>
  <c r="T242" i="13"/>
  <c r="U242" i="13" s="1"/>
  <c r="T243" i="13"/>
  <c r="U243" i="13" s="1"/>
  <c r="T244" i="13"/>
  <c r="U244" i="13" s="1"/>
  <c r="T245" i="13"/>
  <c r="U245" i="13" s="1"/>
  <c r="T246" i="13"/>
  <c r="U246" i="13" s="1"/>
  <c r="T247" i="13"/>
  <c r="U247" i="13" s="1"/>
  <c r="T248" i="13"/>
  <c r="U248" i="13" s="1"/>
  <c r="T249" i="13"/>
  <c r="U249" i="13" s="1"/>
  <c r="T250" i="13"/>
  <c r="U250" i="13" s="1"/>
  <c r="T251" i="13"/>
  <c r="U251" i="13" s="1"/>
  <c r="T252" i="13"/>
  <c r="U252" i="13" s="1"/>
  <c r="T253" i="13"/>
  <c r="U253" i="13" s="1"/>
  <c r="T254" i="13"/>
  <c r="U254" i="13" s="1"/>
  <c r="T255" i="13"/>
  <c r="U255" i="13" s="1"/>
  <c r="T256" i="13"/>
  <c r="U256" i="13" s="1"/>
  <c r="T257" i="13"/>
  <c r="U257" i="13" s="1"/>
  <c r="T258" i="13"/>
  <c r="U258" i="13" s="1"/>
  <c r="T259" i="13"/>
  <c r="U259" i="13" s="1"/>
  <c r="T260" i="13"/>
  <c r="U260" i="13" s="1"/>
  <c r="T261" i="13"/>
  <c r="U261" i="13" s="1"/>
  <c r="T262" i="13"/>
  <c r="U262" i="13" s="1"/>
  <c r="T263" i="13"/>
  <c r="U263" i="13" s="1"/>
  <c r="T264" i="13"/>
  <c r="U264" i="13" s="1"/>
  <c r="T265" i="13"/>
  <c r="U265" i="13" s="1"/>
  <c r="T266" i="13"/>
  <c r="U266" i="13" s="1"/>
  <c r="T267" i="13"/>
  <c r="U267" i="13" s="1"/>
  <c r="T268" i="13"/>
  <c r="U268" i="13" s="1"/>
  <c r="T269" i="13"/>
  <c r="U269" i="13" s="1"/>
  <c r="T270" i="13"/>
  <c r="U270" i="13" s="1"/>
  <c r="T271" i="13"/>
  <c r="U271" i="13" s="1"/>
  <c r="T272" i="13"/>
  <c r="U272" i="13" s="1"/>
  <c r="T273" i="13"/>
  <c r="U273" i="13" s="1"/>
  <c r="T274" i="13"/>
  <c r="U274" i="13" s="1"/>
  <c r="T275" i="13"/>
  <c r="U275" i="13" s="1"/>
  <c r="T276" i="13"/>
  <c r="U276" i="13" s="1"/>
  <c r="R277" i="13"/>
  <c r="T277" i="13"/>
  <c r="U277" i="13" s="1"/>
  <c r="T237" i="4"/>
  <c r="U237" i="4" s="1"/>
  <c r="T236" i="4"/>
  <c r="U236" i="4" s="1"/>
  <c r="U4" i="12"/>
  <c r="V4" i="12" s="1"/>
  <c r="U5" i="12"/>
  <c r="V5" i="12" s="1"/>
  <c r="U6" i="12"/>
  <c r="V6" i="12" s="1"/>
  <c r="U7" i="12"/>
  <c r="V7" i="12" s="1"/>
  <c r="U33" i="8"/>
  <c r="V33" i="8" s="1"/>
  <c r="X8" i="8"/>
  <c r="X11" i="8"/>
  <c r="X14" i="8"/>
  <c r="U32" i="8"/>
  <c r="V32" i="8" s="1"/>
  <c r="X10" i="8"/>
  <c r="X13" i="8"/>
  <c r="U31" i="8"/>
  <c r="V31" i="8" s="1"/>
  <c r="X9" i="8"/>
  <c r="X12" i="8"/>
  <c r="X15" i="8"/>
  <c r="U30" i="8"/>
  <c r="V30" i="8" s="1"/>
  <c r="U29" i="8"/>
  <c r="V29" i="8" s="1"/>
  <c r="U28" i="8"/>
  <c r="V28" i="8" s="1"/>
  <c r="U26" i="8"/>
  <c r="V26" i="8" s="1"/>
  <c r="U27" i="8"/>
  <c r="V27" i="8" s="1"/>
  <c r="U20" i="8"/>
  <c r="V20" i="8" s="1"/>
  <c r="U21" i="8"/>
  <c r="V21" i="8" s="1"/>
  <c r="U22" i="8"/>
  <c r="V22" i="8" s="1"/>
  <c r="U23" i="8"/>
  <c r="V23" i="8" s="1"/>
  <c r="U24" i="8"/>
  <c r="V24" i="8" s="1"/>
  <c r="U25" i="8"/>
  <c r="V25" i="8" s="1"/>
  <c r="Y7" i="8"/>
  <c r="Y5" i="8"/>
  <c r="U19" i="8"/>
  <c r="V19" i="8" s="1"/>
  <c r="U18" i="8"/>
  <c r="V18" i="8" s="1"/>
  <c r="U17" i="8"/>
  <c r="V17" i="8" s="1"/>
  <c r="U16" i="8"/>
  <c r="V16" i="8" s="1"/>
  <c r="U14" i="8"/>
  <c r="V14" i="8" s="1"/>
  <c r="U15" i="8"/>
  <c r="V15" i="8" s="1"/>
  <c r="U13" i="8"/>
  <c r="V13" i="8" s="1"/>
  <c r="U11" i="8"/>
  <c r="V11" i="8" s="1"/>
  <c r="U12" i="8"/>
  <c r="V12" i="8" s="1"/>
  <c r="V4" i="4"/>
  <c r="O4" i="4" s="1"/>
  <c r="V157" i="4"/>
  <c r="O157" i="4" s="1"/>
  <c r="Y4" i="8"/>
  <c r="Y6" i="8"/>
  <c r="U10" i="8"/>
  <c r="V10" i="8" s="1"/>
  <c r="P222" i="10"/>
  <c r="P238" i="10"/>
  <c r="U8" i="8"/>
  <c r="V8" i="8" s="1"/>
  <c r="U9" i="8"/>
  <c r="V9" i="8" s="1"/>
  <c r="V247" i="4"/>
  <c r="O247" i="4" s="1"/>
  <c r="V245" i="4"/>
  <c r="O245" i="4" s="1"/>
  <c r="V244" i="4"/>
  <c r="O244" i="4" s="1"/>
  <c r="V243" i="4"/>
  <c r="O243" i="4" s="1"/>
  <c r="V242" i="4"/>
  <c r="O242" i="4" s="1"/>
  <c r="V241" i="4"/>
  <c r="O241" i="4" s="1"/>
  <c r="R241" i="4" s="1"/>
  <c r="V240" i="4"/>
  <c r="O240" i="4" s="1"/>
  <c r="V239" i="4"/>
  <c r="O239" i="4" s="1"/>
  <c r="V238" i="4"/>
  <c r="O238" i="4" s="1"/>
  <c r="V237" i="4"/>
  <c r="O237" i="4" s="1"/>
  <c r="R237" i="4" s="1"/>
  <c r="V236" i="4"/>
  <c r="O236" i="4" s="1"/>
  <c r="R236" i="4" s="1"/>
  <c r="V235" i="4"/>
  <c r="O235" i="4" s="1"/>
  <c r="V234" i="4"/>
  <c r="O234" i="4" s="1"/>
  <c r="V233" i="4"/>
  <c r="O233" i="4" s="1"/>
  <c r="R233" i="4" s="1"/>
  <c r="V232" i="4"/>
  <c r="O232" i="4" s="1"/>
  <c r="R232" i="4" s="1"/>
  <c r="V231" i="4"/>
  <c r="O231" i="4" s="1"/>
  <c r="V230" i="4"/>
  <c r="O230" i="4" s="1"/>
  <c r="V229" i="4"/>
  <c r="O229" i="4" s="1"/>
  <c r="V228" i="4"/>
  <c r="O228" i="4" s="1"/>
  <c r="R228" i="4" s="1"/>
  <c r="V227" i="4"/>
  <c r="O227" i="4" s="1"/>
  <c r="V226" i="4"/>
  <c r="O226" i="4" s="1"/>
  <c r="V225" i="4"/>
  <c r="O225" i="4" s="1"/>
  <c r="V224" i="4"/>
  <c r="O224" i="4" s="1"/>
  <c r="V223" i="4"/>
  <c r="O223" i="4" s="1"/>
  <c r="V222" i="4"/>
  <c r="O222" i="4" s="1"/>
  <c r="R222" i="4" s="1"/>
  <c r="V221" i="4"/>
  <c r="O221" i="4" s="1"/>
  <c r="R221" i="4" s="1"/>
  <c r="V220" i="4"/>
  <c r="O220" i="4" s="1"/>
  <c r="V219" i="4"/>
  <c r="O219" i="4" s="1"/>
  <c r="V218" i="4"/>
  <c r="O218" i="4" s="1"/>
  <c r="V217" i="4"/>
  <c r="O217" i="4" s="1"/>
  <c r="V216" i="4"/>
  <c r="O216" i="4" s="1"/>
  <c r="V215" i="4"/>
  <c r="O215" i="4" s="1"/>
  <c r="V6" i="8"/>
  <c r="W6" i="8" s="1"/>
  <c r="V7" i="8"/>
  <c r="W7" i="8" s="1"/>
  <c r="V4" i="8"/>
  <c r="W4" i="8" s="1"/>
  <c r="V5" i="8"/>
  <c r="W5" i="8" s="1"/>
  <c r="N15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4" i="6"/>
  <c r="N13" i="6"/>
  <c r="N12" i="6"/>
  <c r="N11" i="6"/>
  <c r="N10" i="6"/>
  <c r="N9" i="6"/>
  <c r="N8" i="6"/>
  <c r="N7" i="6"/>
  <c r="N6" i="6"/>
  <c r="N5" i="6"/>
  <c r="N4" i="6"/>
  <c r="N3" i="6"/>
  <c r="V7" i="4"/>
  <c r="O7" i="4" s="1"/>
  <c r="V8" i="4"/>
  <c r="O8" i="4" s="1"/>
  <c r="V9" i="4"/>
  <c r="O9" i="4" s="1"/>
  <c r="V10" i="4"/>
  <c r="O10" i="4" s="1"/>
  <c r="V11" i="4"/>
  <c r="O11" i="4" s="1"/>
  <c r="V13" i="4"/>
  <c r="O13" i="4" s="1"/>
  <c r="R13" i="4" s="1"/>
  <c r="V14" i="4"/>
  <c r="O14" i="4" s="1"/>
  <c r="V15" i="4"/>
  <c r="V16" i="4"/>
  <c r="O16" i="4" s="1"/>
  <c r="V17" i="4"/>
  <c r="O17" i="4" s="1"/>
  <c r="V18" i="4"/>
  <c r="O18" i="4" s="1"/>
  <c r="V19" i="4"/>
  <c r="O19" i="4" s="1"/>
  <c r="V20" i="4"/>
  <c r="O20" i="4" s="1"/>
  <c r="V21" i="4"/>
  <c r="O21" i="4" s="1"/>
  <c r="R21" i="4" s="1"/>
  <c r="V22" i="4"/>
  <c r="O22" i="4" s="1"/>
  <c r="V23" i="4"/>
  <c r="V24" i="4"/>
  <c r="O24" i="4" s="1"/>
  <c r="V25" i="4"/>
  <c r="O25" i="4" s="1"/>
  <c r="V26" i="4"/>
  <c r="O26" i="4" s="1"/>
  <c r="V27" i="4"/>
  <c r="O27" i="4" s="1"/>
  <c r="V28" i="4"/>
  <c r="O28" i="4" s="1"/>
  <c r="V29" i="4"/>
  <c r="O29" i="4" s="1"/>
  <c r="V30" i="4"/>
  <c r="O30" i="4" s="1"/>
  <c r="V31" i="4"/>
  <c r="O31" i="4" s="1"/>
  <c r="V32" i="4"/>
  <c r="O32" i="4" s="1"/>
  <c r="V33" i="4"/>
  <c r="O33" i="4" s="1"/>
  <c r="R33" i="4" s="1"/>
  <c r="V34" i="4"/>
  <c r="O34" i="4" s="1"/>
  <c r="V35" i="4"/>
  <c r="O35" i="4" s="1"/>
  <c r="R35" i="4" s="1"/>
  <c r="V36" i="4"/>
  <c r="O36" i="4" s="1"/>
  <c r="V37" i="4"/>
  <c r="O37" i="4" s="1"/>
  <c r="V38" i="4"/>
  <c r="O38" i="4" s="1"/>
  <c r="V39" i="4"/>
  <c r="O39" i="4" s="1"/>
  <c r="V40" i="4"/>
  <c r="O40" i="4" s="1"/>
  <c r="V41" i="4"/>
  <c r="O41" i="4" s="1"/>
  <c r="R41" i="4" s="1"/>
  <c r="V42" i="4"/>
  <c r="O42" i="4" s="1"/>
  <c r="V43" i="4"/>
  <c r="O43" i="4" s="1"/>
  <c r="V44" i="4"/>
  <c r="O44" i="4" s="1"/>
  <c r="V45" i="4"/>
  <c r="O45" i="4" s="1"/>
  <c r="R45" i="4" s="1"/>
  <c r="V46" i="4"/>
  <c r="O46" i="4" s="1"/>
  <c r="V47" i="4"/>
  <c r="O47" i="4" s="1"/>
  <c r="V48" i="4"/>
  <c r="O48" i="4" s="1"/>
  <c r="V49" i="4"/>
  <c r="O49" i="4" s="1"/>
  <c r="R49" i="4" s="1"/>
  <c r="V50" i="4"/>
  <c r="O50" i="4" s="1"/>
  <c r="R50" i="4" s="1"/>
  <c r="V51" i="4"/>
  <c r="O51" i="4" s="1"/>
  <c r="V52" i="4"/>
  <c r="O52" i="4" s="1"/>
  <c r="V53" i="4"/>
  <c r="O53" i="4" s="1"/>
  <c r="V54" i="4"/>
  <c r="O54" i="4" s="1"/>
  <c r="V55" i="4"/>
  <c r="O55" i="4" s="1"/>
  <c r="R55" i="4" s="1"/>
  <c r="V56" i="4"/>
  <c r="O56" i="4" s="1"/>
  <c r="V57" i="4"/>
  <c r="O57" i="4" s="1"/>
  <c r="V58" i="4"/>
  <c r="O58" i="4" s="1"/>
  <c r="V59" i="4"/>
  <c r="O59" i="4" s="1"/>
  <c r="V60" i="4"/>
  <c r="O60" i="4" s="1"/>
  <c r="R60" i="4" s="1"/>
  <c r="V61" i="4"/>
  <c r="O61" i="4" s="1"/>
  <c r="V62" i="4"/>
  <c r="O62" i="4" s="1"/>
  <c r="V63" i="4"/>
  <c r="O63" i="4" s="1"/>
  <c r="V64" i="4"/>
  <c r="O64" i="4" s="1"/>
  <c r="V65" i="4"/>
  <c r="O65" i="4" s="1"/>
  <c r="R65" i="4" s="1"/>
  <c r="V66" i="4"/>
  <c r="O66" i="4" s="1"/>
  <c r="V67" i="4"/>
  <c r="O67" i="4" s="1"/>
  <c r="V68" i="4"/>
  <c r="O68" i="4" s="1"/>
  <c r="V69" i="4"/>
  <c r="O69" i="4" s="1"/>
  <c r="R69" i="4" s="1"/>
  <c r="V70" i="4"/>
  <c r="O70" i="4" s="1"/>
  <c r="V71" i="4"/>
  <c r="O71" i="4" s="1"/>
  <c r="V72" i="4"/>
  <c r="O72" i="4" s="1"/>
  <c r="V73" i="4"/>
  <c r="O73" i="4" s="1"/>
  <c r="V74" i="4"/>
  <c r="O74" i="4" s="1"/>
  <c r="V75" i="4"/>
  <c r="O75" i="4" s="1"/>
  <c r="V76" i="4"/>
  <c r="O76" i="4" s="1"/>
  <c r="V77" i="4"/>
  <c r="O77" i="4" s="1"/>
  <c r="V78" i="4"/>
  <c r="O78" i="4" s="1"/>
  <c r="R78" i="4" s="1"/>
  <c r="V79" i="4"/>
  <c r="O79" i="4" s="1"/>
  <c r="V80" i="4"/>
  <c r="O80" i="4" s="1"/>
  <c r="V81" i="4"/>
  <c r="O81" i="4" s="1"/>
  <c r="R81" i="4" s="1"/>
  <c r="V82" i="4"/>
  <c r="O82" i="4" s="1"/>
  <c r="V83" i="4"/>
  <c r="O83" i="4" s="1"/>
  <c r="V84" i="4"/>
  <c r="O84" i="4" s="1"/>
  <c r="V85" i="4"/>
  <c r="O85" i="4" s="1"/>
  <c r="V86" i="4"/>
  <c r="O86" i="4" s="1"/>
  <c r="V87" i="4"/>
  <c r="O87" i="4" s="1"/>
  <c r="V88" i="4"/>
  <c r="O88" i="4" s="1"/>
  <c r="V89" i="4"/>
  <c r="O89" i="4" s="1"/>
  <c r="V90" i="4"/>
  <c r="O90" i="4" s="1"/>
  <c r="V91" i="4"/>
  <c r="O91" i="4" s="1"/>
  <c r="V92" i="4"/>
  <c r="O92" i="4" s="1"/>
  <c r="V93" i="4"/>
  <c r="O93" i="4" s="1"/>
  <c r="V94" i="4"/>
  <c r="O94" i="4" s="1"/>
  <c r="V95" i="4"/>
  <c r="O95" i="4" s="1"/>
  <c r="V96" i="4"/>
  <c r="O96" i="4" s="1"/>
  <c r="V97" i="4"/>
  <c r="O97" i="4" s="1"/>
  <c r="V98" i="4"/>
  <c r="O98" i="4" s="1"/>
  <c r="V99" i="4"/>
  <c r="O99" i="4" s="1"/>
  <c r="V100" i="4"/>
  <c r="O100" i="4" s="1"/>
  <c r="V101" i="4"/>
  <c r="O101" i="4" s="1"/>
  <c r="V102" i="4"/>
  <c r="O102" i="4" s="1"/>
  <c r="V103" i="4"/>
  <c r="O103" i="4" s="1"/>
  <c r="V104" i="4"/>
  <c r="O104" i="4" s="1"/>
  <c r="V105" i="4"/>
  <c r="O105" i="4" s="1"/>
  <c r="V106" i="4"/>
  <c r="O106" i="4" s="1"/>
  <c r="R106" i="4" s="1"/>
  <c r="V107" i="4"/>
  <c r="O107" i="4" s="1"/>
  <c r="V108" i="4"/>
  <c r="O108" i="4" s="1"/>
  <c r="V109" i="4"/>
  <c r="O109" i="4" s="1"/>
  <c r="V110" i="4"/>
  <c r="O110" i="4" s="1"/>
  <c r="V111" i="4"/>
  <c r="O111" i="4" s="1"/>
  <c r="V112" i="4"/>
  <c r="O112" i="4" s="1"/>
  <c r="R112" i="4" s="1"/>
  <c r="V113" i="4"/>
  <c r="O113" i="4" s="1"/>
  <c r="R113" i="4" s="1"/>
  <c r="V114" i="4"/>
  <c r="O114" i="4" s="1"/>
  <c r="V115" i="4"/>
  <c r="O115" i="4" s="1"/>
  <c r="V116" i="4"/>
  <c r="O116" i="4" s="1"/>
  <c r="R116" i="4" s="1"/>
  <c r="V117" i="4"/>
  <c r="O117" i="4" s="1"/>
  <c r="V118" i="4"/>
  <c r="O118" i="4" s="1"/>
  <c r="V119" i="4"/>
  <c r="O119" i="4" s="1"/>
  <c r="V120" i="4"/>
  <c r="O120" i="4" s="1"/>
  <c r="R120" i="4" s="1"/>
  <c r="V121" i="4"/>
  <c r="O121" i="4" s="1"/>
  <c r="V122" i="4"/>
  <c r="O122" i="4" s="1"/>
  <c r="R122" i="4" s="1"/>
  <c r="V123" i="4"/>
  <c r="O123" i="4" s="1"/>
  <c r="V124" i="4"/>
  <c r="O124" i="4" s="1"/>
  <c r="V125" i="4"/>
  <c r="O125" i="4" s="1"/>
  <c r="V126" i="4"/>
  <c r="O126" i="4" s="1"/>
  <c r="V127" i="4"/>
  <c r="O127" i="4" s="1"/>
  <c r="V128" i="4"/>
  <c r="O128" i="4" s="1"/>
  <c r="V129" i="4"/>
  <c r="O129" i="4" s="1"/>
  <c r="V130" i="4"/>
  <c r="O130" i="4" s="1"/>
  <c r="V131" i="4"/>
  <c r="O131" i="4" s="1"/>
  <c r="V132" i="4"/>
  <c r="O132" i="4" s="1"/>
  <c r="V133" i="4"/>
  <c r="O133" i="4" s="1"/>
  <c r="V134" i="4"/>
  <c r="O134" i="4" s="1"/>
  <c r="V135" i="4"/>
  <c r="O135" i="4" s="1"/>
  <c r="V136" i="4"/>
  <c r="O136" i="4" s="1"/>
  <c r="V137" i="4"/>
  <c r="O137" i="4" s="1"/>
  <c r="V138" i="4"/>
  <c r="O138" i="4" s="1"/>
  <c r="R138" i="4" s="1"/>
  <c r="V139" i="4"/>
  <c r="O139" i="4" s="1"/>
  <c r="V140" i="4"/>
  <c r="O140" i="4" s="1"/>
  <c r="V141" i="4"/>
  <c r="O141" i="4" s="1"/>
  <c r="V142" i="4"/>
  <c r="O142" i="4" s="1"/>
  <c r="R142" i="4" s="1"/>
  <c r="V143" i="4"/>
  <c r="O143" i="4" s="1"/>
  <c r="V144" i="4"/>
  <c r="O144" i="4" s="1"/>
  <c r="V145" i="4"/>
  <c r="O145" i="4" s="1"/>
  <c r="R145" i="4" s="1"/>
  <c r="V146" i="4"/>
  <c r="O146" i="4" s="1"/>
  <c r="V147" i="4"/>
  <c r="O147" i="4" s="1"/>
  <c r="V148" i="4"/>
  <c r="O148" i="4" s="1"/>
  <c r="V149" i="4"/>
  <c r="O149" i="4" s="1"/>
  <c r="V150" i="4"/>
  <c r="O150" i="4" s="1"/>
  <c r="V151" i="4"/>
  <c r="O151" i="4" s="1"/>
  <c r="V152" i="4"/>
  <c r="O152" i="4" s="1"/>
  <c r="V153" i="4"/>
  <c r="O153" i="4" s="1"/>
  <c r="V154" i="4"/>
  <c r="O154" i="4" s="1"/>
  <c r="V155" i="4"/>
  <c r="O155" i="4" s="1"/>
  <c r="V156" i="4"/>
  <c r="O156" i="4" s="1"/>
  <c r="V158" i="4"/>
  <c r="O158" i="4" s="1"/>
  <c r="R158" i="4" s="1"/>
  <c r="V159" i="4"/>
  <c r="O159" i="4" s="1"/>
  <c r="R159" i="4" s="1"/>
  <c r="V160" i="4"/>
  <c r="O160" i="4" s="1"/>
  <c r="V161" i="4"/>
  <c r="O161" i="4" s="1"/>
  <c r="V162" i="4"/>
  <c r="O162" i="4" s="1"/>
  <c r="V163" i="4"/>
  <c r="O163" i="4" s="1"/>
  <c r="V164" i="4"/>
  <c r="O164" i="4" s="1"/>
  <c r="V165" i="4"/>
  <c r="O165" i="4" s="1"/>
  <c r="V166" i="4"/>
  <c r="O166" i="4" s="1"/>
  <c r="V167" i="4"/>
  <c r="O167" i="4" s="1"/>
  <c r="V168" i="4"/>
  <c r="O168" i="4" s="1"/>
  <c r="V169" i="4"/>
  <c r="O169" i="4" s="1"/>
  <c r="V170" i="4"/>
  <c r="O170" i="4" s="1"/>
  <c r="V171" i="4"/>
  <c r="O171" i="4" s="1"/>
  <c r="R171" i="4" s="1"/>
  <c r="V172" i="4"/>
  <c r="O172" i="4" s="1"/>
  <c r="V173" i="4"/>
  <c r="O173" i="4" s="1"/>
  <c r="V174" i="4"/>
  <c r="O174" i="4" s="1"/>
  <c r="R174" i="4" s="1"/>
  <c r="V175" i="4"/>
  <c r="O175" i="4" s="1"/>
  <c r="V176" i="4"/>
  <c r="O176" i="4" s="1"/>
  <c r="V177" i="4"/>
  <c r="O177" i="4" s="1"/>
  <c r="V178" i="4"/>
  <c r="O178" i="4" s="1"/>
  <c r="V179" i="4"/>
  <c r="O179" i="4" s="1"/>
  <c r="V180" i="4"/>
  <c r="O180" i="4" s="1"/>
  <c r="V181" i="4"/>
  <c r="O181" i="4" s="1"/>
  <c r="R181" i="4" s="1"/>
  <c r="V182" i="4"/>
  <c r="O182" i="4" s="1"/>
  <c r="V183" i="4"/>
  <c r="O183" i="4" s="1"/>
  <c r="V184" i="4"/>
  <c r="O184" i="4" s="1"/>
  <c r="V185" i="4"/>
  <c r="O185" i="4" s="1"/>
  <c r="V186" i="4"/>
  <c r="O186" i="4" s="1"/>
  <c r="R186" i="4" s="1"/>
  <c r="V187" i="4"/>
  <c r="O187" i="4" s="1"/>
  <c r="V188" i="4"/>
  <c r="O188" i="4" s="1"/>
  <c r="V189" i="4"/>
  <c r="O189" i="4" s="1"/>
  <c r="V190" i="4"/>
  <c r="O190" i="4" s="1"/>
  <c r="R190" i="4" s="1"/>
  <c r="V191" i="4"/>
  <c r="O191" i="4" s="1"/>
  <c r="R191" i="4" s="1"/>
  <c r="V192" i="4"/>
  <c r="O192" i="4" s="1"/>
  <c r="V193" i="4"/>
  <c r="O193" i="4" s="1"/>
  <c r="R193" i="4" s="1"/>
  <c r="V194" i="4"/>
  <c r="O194" i="4" s="1"/>
  <c r="V195" i="4"/>
  <c r="O195" i="4" s="1"/>
  <c r="V196" i="4"/>
  <c r="O196" i="4" s="1"/>
  <c r="R196" i="4" s="1"/>
  <c r="V197" i="4"/>
  <c r="O197" i="4" s="1"/>
  <c r="V198" i="4"/>
  <c r="O198" i="4" s="1"/>
  <c r="V199" i="4"/>
  <c r="O199" i="4" s="1"/>
  <c r="R199" i="4" s="1"/>
  <c r="V200" i="4"/>
  <c r="O200" i="4" s="1"/>
  <c r="V201" i="4"/>
  <c r="O201" i="4" s="1"/>
  <c r="V202" i="4"/>
  <c r="O202" i="4" s="1"/>
  <c r="R202" i="4" s="1"/>
  <c r="V203" i="4"/>
  <c r="O203" i="4" s="1"/>
  <c r="V204" i="4"/>
  <c r="O204" i="4" s="1"/>
  <c r="V205" i="4"/>
  <c r="O205" i="4" s="1"/>
  <c r="V206" i="4"/>
  <c r="O206" i="4" s="1"/>
  <c r="V207" i="4"/>
  <c r="O207" i="4" s="1"/>
  <c r="V208" i="4"/>
  <c r="O208" i="4" s="1"/>
  <c r="V209" i="4"/>
  <c r="O209" i="4" s="1"/>
  <c r="V210" i="4"/>
  <c r="O210" i="4" s="1"/>
  <c r="R210" i="4" s="1"/>
  <c r="V211" i="4"/>
  <c r="O211" i="4" s="1"/>
  <c r="V212" i="4"/>
  <c r="O212" i="4" s="1"/>
  <c r="R212" i="4" s="1"/>
  <c r="V213" i="4"/>
  <c r="O213" i="4" s="1"/>
  <c r="V214" i="4"/>
  <c r="O214" i="4" s="1"/>
  <c r="R214" i="4" s="1"/>
  <c r="V5" i="4"/>
  <c r="O5" i="4" s="1"/>
  <c r="V6" i="4"/>
  <c r="O6" i="4" s="1"/>
  <c r="R217" i="4" l="1"/>
  <c r="R209" i="4"/>
  <c r="R201" i="4"/>
  <c r="R136" i="4"/>
  <c r="R128" i="4"/>
  <c r="R56" i="4"/>
  <c r="R48" i="4"/>
  <c r="R36" i="4"/>
  <c r="R28" i="4"/>
  <c r="R20" i="4"/>
  <c r="W260" i="12"/>
  <c r="R147" i="4"/>
  <c r="R207" i="4"/>
  <c r="R154" i="4"/>
  <c r="R134" i="4"/>
  <c r="R94" i="4"/>
  <c r="R70" i="4"/>
  <c r="R42" i="4"/>
  <c r="R30" i="4"/>
  <c r="R26" i="4"/>
  <c r="R216" i="4"/>
  <c r="R240" i="4"/>
  <c r="W4" i="12"/>
  <c r="R179" i="4"/>
  <c r="R194" i="4"/>
  <c r="R178" i="4"/>
  <c r="R149" i="4"/>
  <c r="R141" i="4"/>
  <c r="R137" i="4"/>
  <c r="R117" i="4"/>
  <c r="R101" i="4"/>
  <c r="R189" i="4"/>
  <c r="R173" i="4"/>
  <c r="R148" i="4"/>
  <c r="R108" i="4"/>
  <c r="R80" i="4"/>
  <c r="R72" i="4"/>
  <c r="R64" i="4"/>
  <c r="R16" i="4"/>
  <c r="R234" i="4"/>
  <c r="R197" i="4"/>
  <c r="R185" i="4"/>
  <c r="R140" i="4"/>
  <c r="R132" i="4"/>
  <c r="R100" i="4"/>
  <c r="R96" i="4"/>
  <c r="R84" i="4"/>
  <c r="R76" i="4"/>
  <c r="R68" i="4"/>
  <c r="R52" i="4"/>
  <c r="R40" i="4"/>
  <c r="R32" i="4"/>
  <c r="R24" i="4"/>
  <c r="R129" i="4"/>
  <c r="R184" i="4"/>
  <c r="R123" i="4"/>
  <c r="R103" i="4"/>
  <c r="R95" i="4"/>
  <c r="R44" i="4"/>
  <c r="R88" i="4"/>
  <c r="R247" i="4"/>
  <c r="R204" i="4"/>
  <c r="R160" i="4"/>
  <c r="R115" i="4"/>
  <c r="R87" i="4"/>
  <c r="R75" i="4"/>
  <c r="R63" i="4"/>
  <c r="R43" i="4"/>
  <c r="R27" i="4"/>
  <c r="R19" i="4"/>
  <c r="R215" i="4"/>
  <c r="R239" i="4"/>
  <c r="R169" i="4"/>
  <c r="R156" i="4"/>
  <c r="R150" i="4"/>
  <c r="R146" i="4"/>
  <c r="R102" i="4"/>
  <c r="R46" i="4"/>
  <c r="R14" i="4"/>
  <c r="R244" i="4"/>
  <c r="R164" i="4"/>
  <c r="R151" i="4"/>
  <c r="R71" i="4"/>
  <c r="R39" i="4"/>
  <c r="R31" i="4"/>
  <c r="R208" i="4"/>
  <c r="R130" i="4"/>
  <c r="R114" i="4"/>
  <c r="R86" i="4"/>
  <c r="R38" i="4"/>
  <c r="R224" i="4"/>
  <c r="R170" i="4"/>
  <c r="R133" i="4"/>
  <c r="R109" i="4"/>
  <c r="R93" i="4"/>
  <c r="R77" i="4"/>
  <c r="R73" i="4"/>
  <c r="R225" i="4"/>
  <c r="R245" i="4"/>
  <c r="R112" i="10"/>
  <c r="R117" i="10"/>
  <c r="R103" i="10"/>
  <c r="R24" i="10"/>
  <c r="R56" i="10"/>
  <c r="R81" i="10"/>
  <c r="R97" i="10"/>
  <c r="R119" i="10"/>
  <c r="R124" i="10"/>
  <c r="R126" i="10"/>
  <c r="R155" i="4"/>
  <c r="R139" i="4"/>
  <c r="R127" i="4"/>
  <c r="R111" i="4"/>
  <c r="R107" i="4"/>
  <c r="R99" i="4"/>
  <c r="R83" i="4"/>
  <c r="R67" i="4"/>
  <c r="R230" i="4"/>
  <c r="R258" i="10"/>
  <c r="R211" i="4"/>
  <c r="R195" i="4"/>
  <c r="R187" i="4"/>
  <c r="R175" i="4"/>
  <c r="R167" i="4"/>
  <c r="R163" i="4"/>
  <c r="R34" i="4"/>
  <c r="R22" i="4"/>
  <c r="R219" i="4"/>
  <c r="R182" i="4"/>
  <c r="R166" i="4"/>
  <c r="R162" i="4"/>
  <c r="R153" i="4"/>
  <c r="R125" i="4"/>
  <c r="R53" i="4"/>
  <c r="R37" i="4"/>
  <c r="R220" i="4"/>
  <c r="R58" i="10"/>
  <c r="R213" i="4"/>
  <c r="R177" i="4"/>
  <c r="R144" i="4"/>
  <c r="R121" i="4"/>
  <c r="R118" i="4"/>
  <c r="R91" i="4"/>
  <c r="R18" i="4"/>
  <c r="R127" i="10"/>
  <c r="R32" i="10"/>
  <c r="R180" i="4"/>
  <c r="R172" i="4"/>
  <c r="R143" i="4"/>
  <c r="R131" i="4"/>
  <c r="R110" i="4"/>
  <c r="R104" i="4"/>
  <c r="R97" i="4"/>
  <c r="R90" i="4"/>
  <c r="R82" i="4"/>
  <c r="R74" i="4"/>
  <c r="R62" i="4"/>
  <c r="R54" i="4"/>
  <c r="R218" i="4"/>
  <c r="R226" i="4"/>
  <c r="R242" i="4"/>
  <c r="R157" i="4"/>
  <c r="R198" i="4"/>
  <c r="R183" i="4"/>
  <c r="R165" i="4"/>
  <c r="R119" i="4"/>
  <c r="R89" i="4"/>
  <c r="R85" i="4"/>
  <c r="R57" i="4"/>
  <c r="R47" i="4"/>
  <c r="R17" i="4"/>
  <c r="R227" i="4"/>
  <c r="R235" i="4"/>
  <c r="R243" i="4"/>
  <c r="R48" i="10"/>
  <c r="R203" i="4"/>
  <c r="R200" i="4"/>
  <c r="R152" i="4"/>
  <c r="R135" i="4"/>
  <c r="R124" i="4"/>
  <c r="R98" i="4"/>
  <c r="R79" i="4"/>
  <c r="R51" i="4"/>
  <c r="R29" i="4"/>
  <c r="R25" i="4"/>
  <c r="R229" i="4"/>
  <c r="R188" i="4"/>
  <c r="R168" i="4"/>
  <c r="R66" i="4"/>
  <c r="R58" i="4"/>
  <c r="R238" i="4"/>
  <c r="R28" i="10"/>
  <c r="R206" i="4"/>
  <c r="R192" i="4"/>
  <c r="R176" i="4"/>
  <c r="R205" i="4"/>
  <c r="R161" i="4"/>
  <c r="R126" i="4"/>
  <c r="R105" i="4"/>
  <c r="R92" i="4"/>
  <c r="R61" i="4"/>
  <c r="R59" i="4"/>
  <c r="R223" i="4"/>
  <c r="R231" i="4"/>
  <c r="R128" i="10"/>
  <c r="R17" i="10"/>
  <c r="R76" i="10"/>
  <c r="R57" i="10"/>
  <c r="R47" i="10"/>
  <c r="R77" i="10"/>
  <c r="R44" i="10"/>
  <c r="R115" i="10"/>
  <c r="R93" i="10"/>
  <c r="R20" i="10"/>
  <c r="R75" i="10"/>
  <c r="R91" i="10"/>
  <c r="R13" i="10"/>
  <c r="R31" i="10"/>
  <c r="R54" i="10"/>
  <c r="R99" i="10"/>
  <c r="R89" i="10"/>
  <c r="R12" i="10"/>
  <c r="R125" i="10"/>
  <c r="R40" i="10"/>
  <c r="R95" i="10"/>
  <c r="R107" i="10"/>
  <c r="R36" i="10"/>
  <c r="R69" i="10"/>
  <c r="R123" i="10"/>
  <c r="R39" i="10"/>
  <c r="R5" i="10"/>
  <c r="R243" i="10"/>
  <c r="R67" i="10"/>
  <c r="R45" i="10"/>
  <c r="R29" i="10"/>
  <c r="R59" i="10"/>
  <c r="R52" i="10"/>
  <c r="R6" i="10"/>
  <c r="R105" i="10"/>
  <c r="R60" i="10"/>
  <c r="R121" i="10"/>
  <c r="R80" i="10"/>
  <c r="R8" i="10"/>
  <c r="R18" i="10"/>
  <c r="R90" i="10"/>
  <c r="R70" i="10"/>
  <c r="R34" i="10"/>
  <c r="R116" i="10"/>
  <c r="R50" i="10"/>
  <c r="R269" i="10"/>
  <c r="R71" i="10"/>
  <c r="R35" i="10"/>
  <c r="R53" i="10"/>
  <c r="R19" i="10"/>
  <c r="R113" i="10"/>
  <c r="R72" i="10"/>
  <c r="R16" i="10"/>
  <c r="R98" i="10"/>
  <c r="R82" i="10"/>
  <c r="R68" i="10"/>
  <c r="R10" i="10"/>
  <c r="R7" i="10"/>
  <c r="R49" i="10"/>
  <c r="R9" i="10"/>
  <c r="R33" i="10"/>
  <c r="R23" i="10"/>
  <c r="R83" i="10"/>
  <c r="R43" i="10"/>
  <c r="R87" i="10"/>
  <c r="R30" i="10"/>
  <c r="R130" i="10"/>
  <c r="R46" i="10"/>
  <c r="R26" i="10"/>
  <c r="R42" i="10"/>
  <c r="R27" i="10"/>
  <c r="R118" i="10"/>
  <c r="R37" i="10"/>
  <c r="R55" i="10"/>
  <c r="R11" i="10"/>
  <c r="R15" i="10"/>
  <c r="R86" i="10"/>
  <c r="R106" i="10"/>
  <c r="R21" i="10"/>
  <c r="P4" i="10"/>
  <c r="R4" i="10" s="1"/>
  <c r="R38" i="10"/>
  <c r="R12" i="4"/>
  <c r="R85" i="10"/>
  <c r="R25" i="10"/>
  <c r="R41" i="10"/>
  <c r="R51" i="10"/>
  <c r="R22" i="10"/>
  <c r="R79" i="10"/>
  <c r="R120" i="10"/>
  <c r="R122" i="10"/>
  <c r="R224" i="10"/>
  <c r="R219" i="10"/>
  <c r="R88" i="10"/>
  <c r="R267" i="10"/>
  <c r="R254" i="10"/>
  <c r="R220" i="10"/>
  <c r="R92" i="10"/>
  <c r="R78" i="10"/>
  <c r="R96" i="10"/>
  <c r="R222" i="10"/>
  <c r="R129" i="10"/>
  <c r="R233" i="10"/>
  <c r="R14" i="10"/>
  <c r="R259" i="10"/>
  <c r="R265" i="10"/>
  <c r="R108" i="10"/>
  <c r="R247" i="10"/>
  <c r="R94" i="10"/>
  <c r="R149" i="10"/>
  <c r="R242" i="10"/>
  <c r="R256" i="10"/>
  <c r="R246" i="10"/>
  <c r="R114" i="10"/>
  <c r="R264" i="10"/>
  <c r="R225" i="10"/>
  <c r="R221" i="10"/>
  <c r="R241" i="10"/>
  <c r="R253" i="10"/>
  <c r="R239" i="10"/>
  <c r="R227" i="10"/>
  <c r="R104" i="10"/>
  <c r="R266" i="10"/>
  <c r="R257" i="10"/>
  <c r="R223" i="10"/>
  <c r="R84" i="10"/>
  <c r="R244" i="10"/>
  <c r="R248" i="10"/>
  <c r="R215" i="10"/>
  <c r="R226" i="10"/>
  <c r="R218" i="10"/>
  <c r="R255" i="10"/>
  <c r="R217" i="10"/>
  <c r="Q268" i="10"/>
  <c r="R268" i="10" s="1"/>
  <c r="Q63" i="10"/>
  <c r="R63" i="10" s="1"/>
  <c r="Q61" i="10"/>
  <c r="R61" i="10" s="1"/>
  <c r="Q74" i="10"/>
  <c r="R74" i="10" s="1"/>
  <c r="Q73" i="10"/>
  <c r="R73" i="10" s="1"/>
  <c r="Q102" i="10"/>
  <c r="R102" i="10" s="1"/>
  <c r="Q101" i="10"/>
  <c r="R101" i="10" s="1"/>
  <c r="Q100" i="10"/>
  <c r="R100" i="10" s="1"/>
  <c r="Q228" i="10"/>
  <c r="R228" i="10" s="1"/>
  <c r="Q110" i="10"/>
  <c r="R110" i="10" s="1"/>
  <c r="Q109" i="10"/>
  <c r="R109" i="10" s="1"/>
  <c r="Q111" i="10"/>
  <c r="R111" i="10" s="1"/>
  <c r="Q261" i="10"/>
  <c r="R261" i="10" s="1"/>
  <c r="Q260" i="10"/>
  <c r="R260" i="10" s="1"/>
  <c r="Q252" i="10"/>
  <c r="R252" i="10" s="1"/>
  <c r="Q245" i="10"/>
  <c r="R245" i="10" s="1"/>
  <c r="Q229" i="10"/>
  <c r="R229" i="10" s="1"/>
  <c r="Q148" i="10"/>
  <c r="R148" i="10" s="1"/>
  <c r="Q147" i="10"/>
  <c r="R147" i="10" s="1"/>
  <c r="Q146" i="10"/>
  <c r="R146" i="10" s="1"/>
  <c r="Q145" i="10"/>
  <c r="R145" i="10" s="1"/>
  <c r="Q144" i="10"/>
  <c r="R144" i="10" s="1"/>
  <c r="Q143" i="10"/>
  <c r="R143" i="10" s="1"/>
  <c r="Q142" i="10"/>
  <c r="R142" i="10" s="1"/>
  <c r="Q141" i="10"/>
  <c r="R141" i="10" s="1"/>
  <c r="Q140" i="10"/>
  <c r="R140" i="10" s="1"/>
  <c r="Q139" i="10"/>
  <c r="R139" i="10" s="1"/>
  <c r="Q138" i="10"/>
  <c r="R138" i="10" s="1"/>
  <c r="Q137" i="10"/>
  <c r="R137" i="10" s="1"/>
  <c r="Q136" i="10"/>
  <c r="R136" i="10" s="1"/>
  <c r="Q135" i="10"/>
  <c r="R135" i="10" s="1"/>
  <c r="Q134" i="10"/>
  <c r="R134" i="10" s="1"/>
  <c r="Q133" i="10"/>
  <c r="R133" i="10" s="1"/>
  <c r="Q132" i="10"/>
  <c r="R132" i="10" s="1"/>
  <c r="Q131" i="10"/>
  <c r="R131" i="10" s="1"/>
  <c r="Q270" i="10"/>
  <c r="R270" i="10" s="1"/>
  <c r="Q263" i="10"/>
  <c r="R263" i="10" s="1"/>
  <c r="Q251" i="10"/>
  <c r="R251" i="10" s="1"/>
  <c r="Q250" i="10"/>
  <c r="R250" i="10" s="1"/>
  <c r="Q249" i="10"/>
  <c r="R249" i="10" s="1"/>
  <c r="Q240" i="10"/>
  <c r="R240" i="10" s="1"/>
  <c r="Q231" i="10"/>
  <c r="R231" i="10" s="1"/>
  <c r="Q230" i="10"/>
  <c r="R230" i="10" s="1"/>
  <c r="Q175" i="10"/>
  <c r="R175" i="10" s="1"/>
  <c r="Q174" i="10"/>
  <c r="R174" i="10" s="1"/>
  <c r="Q173" i="10"/>
  <c r="R173" i="10" s="1"/>
  <c r="Q172" i="10"/>
  <c r="R172" i="10" s="1"/>
  <c r="Q171" i="10"/>
  <c r="R171" i="10" s="1"/>
  <c r="Q170" i="10"/>
  <c r="R170" i="10" s="1"/>
  <c r="Q169" i="10"/>
  <c r="R169" i="10" s="1"/>
  <c r="Q168" i="10"/>
  <c r="R168" i="10" s="1"/>
  <c r="Q167" i="10"/>
  <c r="R167" i="10" s="1"/>
  <c r="Q166" i="10"/>
  <c r="R166" i="10" s="1"/>
  <c r="Q164" i="10"/>
  <c r="R164" i="10" s="1"/>
  <c r="Q163" i="10"/>
  <c r="R163" i="10" s="1"/>
  <c r="Q162" i="10"/>
  <c r="R162" i="10" s="1"/>
  <c r="Q161" i="10"/>
  <c r="R161" i="10" s="1"/>
  <c r="Q160" i="10"/>
  <c r="R160" i="10" s="1"/>
  <c r="Q159" i="10"/>
  <c r="R159" i="10" s="1"/>
  <c r="Q158" i="10"/>
  <c r="R158" i="10" s="1"/>
  <c r="Q157" i="10"/>
  <c r="R157" i="10" s="1"/>
  <c r="Q156" i="10"/>
  <c r="R156" i="10" s="1"/>
  <c r="Q155" i="10"/>
  <c r="R155" i="10" s="1"/>
  <c r="Q154" i="10"/>
  <c r="R154" i="10" s="1"/>
  <c r="Q153" i="10"/>
  <c r="R153" i="10" s="1"/>
  <c r="Q152" i="10"/>
  <c r="R152" i="10" s="1"/>
  <c r="Q151" i="10"/>
  <c r="R151" i="10" s="1"/>
  <c r="Q150" i="10"/>
  <c r="R150" i="10" s="1"/>
  <c r="Q262" i="10"/>
  <c r="R262" i="10" s="1"/>
  <c r="Q238" i="10"/>
  <c r="R238" i="10" s="1"/>
  <c r="Q237" i="10"/>
  <c r="R237" i="10" s="1"/>
  <c r="Q236" i="10"/>
  <c r="R236" i="10" s="1"/>
  <c r="Q235" i="10"/>
  <c r="R235" i="10" s="1"/>
  <c r="Q234" i="10"/>
  <c r="R234" i="10" s="1"/>
  <c r="Q216" i="10"/>
  <c r="R216" i="10" s="1"/>
  <c r="Q214" i="10"/>
  <c r="R214" i="10" s="1"/>
  <c r="Q213" i="10"/>
  <c r="R213" i="10" s="1"/>
  <c r="Q212" i="10"/>
  <c r="R212" i="10" s="1"/>
  <c r="Q211" i="10"/>
  <c r="R211" i="10" s="1"/>
  <c r="Q210" i="10"/>
  <c r="R210" i="10" s="1"/>
  <c r="Q209" i="10"/>
  <c r="R209" i="10" s="1"/>
  <c r="Q208" i="10"/>
  <c r="R208" i="10" s="1"/>
  <c r="Q207" i="10"/>
  <c r="R207" i="10" s="1"/>
  <c r="Q206" i="10"/>
  <c r="R206" i="10" s="1"/>
  <c r="Q205" i="10"/>
  <c r="R205" i="10" s="1"/>
  <c r="Q204" i="10"/>
  <c r="R204" i="10" s="1"/>
  <c r="Q203" i="10"/>
  <c r="R203" i="10" s="1"/>
  <c r="Q202" i="10"/>
  <c r="R202" i="10" s="1"/>
  <c r="Q201" i="10"/>
  <c r="R201" i="10" s="1"/>
  <c r="Q200" i="10"/>
  <c r="R200" i="10" s="1"/>
  <c r="Q199" i="10"/>
  <c r="R199" i="10" s="1"/>
  <c r="Q198" i="10"/>
  <c r="R198" i="10" s="1"/>
  <c r="Q197" i="10"/>
  <c r="R197" i="10" s="1"/>
  <c r="Q196" i="10"/>
  <c r="R196" i="10" s="1"/>
  <c r="Q195" i="10"/>
  <c r="R195" i="10" s="1"/>
  <c r="Q194" i="10"/>
  <c r="R194" i="10" s="1"/>
  <c r="Q193" i="10"/>
  <c r="R193" i="10" s="1"/>
  <c r="Q192" i="10"/>
  <c r="R192" i="10" s="1"/>
  <c r="Q191" i="10"/>
  <c r="R191" i="10" s="1"/>
  <c r="Q190" i="10"/>
  <c r="R190" i="10" s="1"/>
  <c r="Q189" i="10"/>
  <c r="R189" i="10" s="1"/>
  <c r="Q188" i="10"/>
  <c r="R188" i="10" s="1"/>
  <c r="Q187" i="10"/>
  <c r="R187" i="10" s="1"/>
  <c r="Q186" i="10"/>
  <c r="R186" i="10" s="1"/>
  <c r="Q185" i="10"/>
  <c r="R185" i="10" s="1"/>
  <c r="Q184" i="10"/>
  <c r="R184" i="10" s="1"/>
  <c r="Q183" i="10"/>
  <c r="R183" i="10" s="1"/>
  <c r="Q182" i="10"/>
  <c r="R182" i="10" s="1"/>
  <c r="Q181" i="10"/>
  <c r="R181" i="10" s="1"/>
  <c r="Q180" i="10"/>
  <c r="R180" i="10" s="1"/>
  <c r="Q179" i="10"/>
  <c r="R179" i="10" s="1"/>
  <c r="Q178" i="10"/>
  <c r="R178" i="10" s="1"/>
  <c r="Q177" i="10"/>
  <c r="R177" i="10" s="1"/>
  <c r="Q176" i="10"/>
  <c r="R176" i="10" s="1"/>
  <c r="Q165" i="10"/>
  <c r="R165" i="10" s="1"/>
  <c r="O15" i="4"/>
  <c r="R15" i="4" s="1"/>
  <c r="O23" i="4"/>
  <c r="R23" i="4" s="1"/>
  <c r="W192" i="12"/>
  <c r="U192" i="12" s="1"/>
  <c r="V192" i="12" s="1"/>
  <c r="W100" i="12"/>
  <c r="U100" i="12" s="1"/>
  <c r="V100" i="12" s="1"/>
  <c r="W73" i="12"/>
  <c r="U73" i="12" s="1"/>
  <c r="V73" i="12" s="1"/>
  <c r="W109" i="12"/>
  <c r="U109" i="12" s="1"/>
  <c r="V109" i="12" s="1"/>
  <c r="W148" i="12"/>
  <c r="U148" i="12" s="1"/>
  <c r="V148" i="12" s="1"/>
  <c r="W76" i="12"/>
  <c r="U76" i="12" s="1"/>
  <c r="V76" i="12" s="1"/>
  <c r="W77" i="12"/>
  <c r="U77" i="12" s="1"/>
  <c r="V77" i="12" s="1"/>
  <c r="W194" i="12"/>
  <c r="U194" i="12" s="1"/>
  <c r="V194" i="12" s="1"/>
  <c r="W228" i="12"/>
  <c r="U228" i="12" s="1"/>
  <c r="V228" i="12" s="1"/>
  <c r="W176" i="12"/>
  <c r="U176" i="12" s="1"/>
  <c r="V176" i="12" s="1"/>
  <c r="W179" i="12"/>
  <c r="U179" i="12" s="1"/>
  <c r="V179" i="12" s="1"/>
  <c r="W79" i="12"/>
  <c r="U79" i="12" s="1"/>
  <c r="V79" i="12" s="1"/>
  <c r="W78" i="12"/>
  <c r="U78" i="12" s="1"/>
  <c r="V78" i="12" s="1"/>
  <c r="W62" i="12"/>
  <c r="U62" i="12" s="1"/>
  <c r="V62" i="12" s="1"/>
  <c r="W64" i="12"/>
  <c r="U64" i="12" s="1"/>
  <c r="V64" i="12" s="1"/>
  <c r="W134" i="12"/>
  <c r="U134" i="12" s="1"/>
  <c r="V134" i="12" s="1"/>
  <c r="W160" i="12"/>
  <c r="U160" i="12" s="1"/>
  <c r="V160" i="12" s="1"/>
  <c r="W193" i="12"/>
  <c r="U193" i="12" s="1"/>
  <c r="V193" i="12" s="1"/>
  <c r="W184" i="12"/>
  <c r="U184" i="12" s="1"/>
  <c r="V184" i="12" s="1"/>
  <c r="W200" i="12"/>
  <c r="U200" i="12" s="1"/>
  <c r="V200" i="12" s="1"/>
  <c r="W24" i="12"/>
  <c r="U24" i="12" s="1"/>
  <c r="V24" i="12" s="1"/>
  <c r="W11" i="12"/>
  <c r="U11" i="12" s="1"/>
  <c r="V11" i="12" s="1"/>
  <c r="W161" i="12"/>
  <c r="U161" i="12" s="1"/>
  <c r="V161" i="12" s="1"/>
  <c r="W151" i="12"/>
  <c r="U151" i="12" s="1"/>
  <c r="V151" i="12" s="1"/>
  <c r="W50" i="12"/>
  <c r="U50" i="12" s="1"/>
  <c r="V50" i="12" s="1"/>
  <c r="W27" i="12"/>
  <c r="U27" i="12" s="1"/>
  <c r="V27" i="12" s="1"/>
  <c r="W153" i="12"/>
  <c r="U153" i="12" s="1"/>
  <c r="V153" i="12" s="1"/>
  <c r="W191" i="12"/>
  <c r="U191" i="12" s="1"/>
  <c r="V191" i="12" s="1"/>
  <c r="W145" i="12"/>
  <c r="U145" i="12" s="1"/>
  <c r="V145" i="12" s="1"/>
  <c r="W246" i="12"/>
  <c r="U246" i="12" s="1"/>
  <c r="V246" i="12" s="1"/>
  <c r="W245" i="12"/>
  <c r="U245" i="12" s="1"/>
  <c r="V245" i="12" s="1"/>
  <c r="W243" i="12"/>
  <c r="U243" i="12" s="1"/>
  <c r="V243" i="12" s="1"/>
  <c r="W236" i="12"/>
  <c r="U236" i="12" s="1"/>
  <c r="V236" i="12" s="1"/>
  <c r="W215" i="12"/>
  <c r="U215" i="12" s="1"/>
  <c r="V215" i="12" s="1"/>
  <c r="W80" i="12"/>
  <c r="U80" i="12" s="1"/>
  <c r="V80" i="12" s="1"/>
  <c r="W199" i="12"/>
  <c r="U199" i="12" s="1"/>
  <c r="V199" i="12" s="1"/>
  <c r="W182" i="12"/>
  <c r="U182" i="12" s="1"/>
  <c r="V182" i="12" s="1"/>
  <c r="W159" i="12"/>
  <c r="U159" i="12" s="1"/>
  <c r="V159" i="12" s="1"/>
  <c r="W130" i="12"/>
  <c r="U130" i="12" s="1"/>
  <c r="V130" i="12" s="1"/>
  <c r="W115" i="12"/>
  <c r="U115" i="12" s="1"/>
  <c r="V115" i="12" s="1"/>
  <c r="W110" i="12"/>
  <c r="U110" i="12" s="1"/>
  <c r="V110" i="12" s="1"/>
  <c r="W106" i="12"/>
  <c r="U106" i="12" s="1"/>
  <c r="V106" i="12" s="1"/>
  <c r="W75" i="12"/>
  <c r="U75" i="12" s="1"/>
  <c r="V75" i="12" s="1"/>
  <c r="W63" i="12"/>
  <c r="U63" i="12" s="1"/>
  <c r="V63" i="12" s="1"/>
  <c r="W59" i="12"/>
  <c r="U59" i="12" s="1"/>
  <c r="V59" i="12" s="1"/>
  <c r="W54" i="12"/>
  <c r="U54" i="12" s="1"/>
  <c r="V54" i="12" s="1"/>
  <c r="W53" i="12"/>
  <c r="U53" i="12" s="1"/>
  <c r="V53" i="12" s="1"/>
  <c r="W52" i="12"/>
  <c r="U52" i="12" s="1"/>
  <c r="V52" i="12" s="1"/>
  <c r="W47" i="12"/>
  <c r="U47" i="12" s="1"/>
  <c r="V47" i="12" s="1"/>
  <c r="W45" i="12"/>
  <c r="U45" i="12" s="1"/>
  <c r="V45" i="12" s="1"/>
  <c r="W259" i="12"/>
  <c r="U259" i="12" s="1"/>
  <c r="V259" i="12" s="1"/>
  <c r="W143" i="12"/>
  <c r="U143" i="12" s="1"/>
  <c r="V143" i="12" s="1"/>
  <c r="W258" i="12"/>
  <c r="U258" i="12" s="1"/>
  <c r="V258" i="12" s="1"/>
  <c r="W257" i="12"/>
  <c r="U257" i="12" s="1"/>
  <c r="V257" i="12" s="1"/>
  <c r="W256" i="12"/>
  <c r="U256" i="12" s="1"/>
  <c r="V256" i="12" s="1"/>
  <c r="W255" i="12"/>
  <c r="U255" i="12" s="1"/>
  <c r="V255" i="12" s="1"/>
  <c r="W254" i="12"/>
  <c r="U254" i="12" s="1"/>
  <c r="V254" i="12" s="1"/>
  <c r="W253" i="12"/>
  <c r="U253" i="12" s="1"/>
  <c r="V253" i="12" s="1"/>
  <c r="W252" i="12"/>
  <c r="U252" i="12" s="1"/>
  <c r="V252" i="12" s="1"/>
  <c r="W251" i="12"/>
  <c r="U251" i="12" s="1"/>
  <c r="V251" i="12" s="1"/>
  <c r="W250" i="12"/>
  <c r="U250" i="12" s="1"/>
  <c r="V250" i="12" s="1"/>
  <c r="W249" i="12"/>
  <c r="U249" i="12" s="1"/>
  <c r="V249" i="12" s="1"/>
  <c r="W248" i="12"/>
  <c r="U248" i="12" s="1"/>
  <c r="V248" i="12" s="1"/>
  <c r="W247" i="12"/>
  <c r="U247" i="12" s="1"/>
  <c r="V247" i="12" s="1"/>
  <c r="W244" i="12"/>
  <c r="U244" i="12" s="1"/>
  <c r="V244" i="12" s="1"/>
  <c r="W242" i="12"/>
  <c r="U242" i="12" s="1"/>
  <c r="V242" i="12" s="1"/>
  <c r="W241" i="12"/>
  <c r="U241" i="12" s="1"/>
  <c r="V241" i="12" s="1"/>
  <c r="W240" i="12"/>
  <c r="U240" i="12" s="1"/>
  <c r="V240" i="12" s="1"/>
  <c r="W239" i="12"/>
  <c r="U239" i="12" s="1"/>
  <c r="V239" i="12" s="1"/>
  <c r="W238" i="12"/>
  <c r="U238" i="12" s="1"/>
  <c r="V238" i="12" s="1"/>
  <c r="W237" i="12"/>
  <c r="U237" i="12" s="1"/>
  <c r="V237" i="12" s="1"/>
  <c r="W235" i="12"/>
  <c r="U235" i="12" s="1"/>
  <c r="V235" i="12" s="1"/>
  <c r="W234" i="12"/>
  <c r="U234" i="12" s="1"/>
  <c r="V234" i="12" s="1"/>
  <c r="W233" i="12"/>
  <c r="U233" i="12" s="1"/>
  <c r="V233" i="12" s="1"/>
  <c r="W232" i="12"/>
  <c r="U232" i="12" s="1"/>
  <c r="V232" i="12" s="1"/>
  <c r="W231" i="12"/>
  <c r="U231" i="12" s="1"/>
  <c r="V231" i="12" s="1"/>
  <c r="W230" i="12"/>
  <c r="U230" i="12" s="1"/>
  <c r="V230" i="12" s="1"/>
  <c r="W229" i="12"/>
  <c r="U229" i="12" s="1"/>
  <c r="V229" i="12" s="1"/>
  <c r="W227" i="12"/>
  <c r="U227" i="12" s="1"/>
  <c r="V227" i="12" s="1"/>
  <c r="W226" i="12"/>
  <c r="U226" i="12" s="1"/>
  <c r="V226" i="12" s="1"/>
  <c r="W225" i="12"/>
  <c r="U225" i="12" s="1"/>
  <c r="V225" i="12" s="1"/>
  <c r="W224" i="12"/>
  <c r="U224" i="12" s="1"/>
  <c r="V224" i="12" s="1"/>
  <c r="W223" i="12"/>
  <c r="U223" i="12" s="1"/>
  <c r="V223" i="12" s="1"/>
  <c r="W222" i="12"/>
  <c r="U222" i="12" s="1"/>
  <c r="V222" i="12" s="1"/>
  <c r="W221" i="12"/>
  <c r="U221" i="12" s="1"/>
  <c r="V221" i="12" s="1"/>
  <c r="W220" i="12"/>
  <c r="U220" i="12" s="1"/>
  <c r="V220" i="12" s="1"/>
  <c r="W219" i="12"/>
  <c r="U219" i="12" s="1"/>
  <c r="V219" i="12" s="1"/>
  <c r="W218" i="12"/>
  <c r="U218" i="12" s="1"/>
  <c r="V218" i="12" s="1"/>
  <c r="W217" i="12"/>
  <c r="U217" i="12" s="1"/>
  <c r="V217" i="12" s="1"/>
  <c r="W216" i="12"/>
  <c r="U216" i="12" s="1"/>
  <c r="V216" i="12" s="1"/>
  <c r="W214" i="12"/>
  <c r="U214" i="12" s="1"/>
  <c r="V214" i="12" s="1"/>
  <c r="W213" i="12"/>
  <c r="U213" i="12" s="1"/>
  <c r="V213" i="12" s="1"/>
  <c r="W212" i="12"/>
  <c r="U212" i="12" s="1"/>
  <c r="V212" i="12" s="1"/>
  <c r="W211" i="12"/>
  <c r="U211" i="12" s="1"/>
  <c r="V211" i="12" s="1"/>
  <c r="W210" i="12"/>
  <c r="U210" i="12" s="1"/>
  <c r="V210" i="12" s="1"/>
  <c r="W209" i="12"/>
  <c r="U209" i="12" s="1"/>
  <c r="V209" i="12" s="1"/>
  <c r="W208" i="12"/>
  <c r="U208" i="12" s="1"/>
  <c r="V208" i="12" s="1"/>
  <c r="W207" i="12"/>
  <c r="U207" i="12" s="1"/>
  <c r="V207" i="12" s="1"/>
  <c r="W206" i="12"/>
  <c r="U206" i="12" s="1"/>
  <c r="V206" i="12" s="1"/>
  <c r="W205" i="12"/>
  <c r="U205" i="12" s="1"/>
  <c r="V205" i="12" s="1"/>
  <c r="W204" i="12"/>
  <c r="U204" i="12" s="1"/>
  <c r="V204" i="12" s="1"/>
  <c r="W203" i="12"/>
  <c r="U203" i="12" s="1"/>
  <c r="V203" i="12" s="1"/>
  <c r="W202" i="12"/>
  <c r="U202" i="12" s="1"/>
  <c r="V202" i="12" s="1"/>
  <c r="W201" i="12"/>
  <c r="U201" i="12" s="1"/>
  <c r="V201" i="12" s="1"/>
  <c r="W198" i="12"/>
  <c r="U198" i="12" s="1"/>
  <c r="V198" i="12" s="1"/>
  <c r="W197" i="12"/>
  <c r="U197" i="12" s="1"/>
  <c r="V197" i="12" s="1"/>
  <c r="W196" i="12"/>
  <c r="U196" i="12" s="1"/>
  <c r="V196" i="12" s="1"/>
  <c r="W195" i="12"/>
  <c r="U195" i="12" s="1"/>
  <c r="V195" i="12" s="1"/>
  <c r="W190" i="12"/>
  <c r="U190" i="12" s="1"/>
  <c r="V190" i="12" s="1"/>
  <c r="W189" i="12"/>
  <c r="U189" i="12" s="1"/>
  <c r="V189" i="12" s="1"/>
  <c r="W188" i="12"/>
  <c r="U188" i="12" s="1"/>
  <c r="V188" i="12" s="1"/>
  <c r="W187" i="12"/>
  <c r="U187" i="12" s="1"/>
  <c r="V187" i="12" s="1"/>
  <c r="W186" i="12"/>
  <c r="U186" i="12" s="1"/>
  <c r="V186" i="12" s="1"/>
  <c r="W185" i="12"/>
  <c r="U185" i="12" s="1"/>
  <c r="V185" i="12" s="1"/>
  <c r="W183" i="12"/>
  <c r="U183" i="12" s="1"/>
  <c r="V183" i="12" s="1"/>
  <c r="W181" i="12"/>
  <c r="U181" i="12" s="1"/>
  <c r="V181" i="12" s="1"/>
  <c r="W180" i="12"/>
  <c r="U180" i="12" s="1"/>
  <c r="V180" i="12" s="1"/>
  <c r="W178" i="12"/>
  <c r="U178" i="12" s="1"/>
  <c r="V178" i="12" s="1"/>
  <c r="W177" i="12"/>
  <c r="U177" i="12" s="1"/>
  <c r="V177" i="12" s="1"/>
  <c r="W175" i="12"/>
  <c r="U175" i="12" s="1"/>
  <c r="V175" i="12" s="1"/>
  <c r="W174" i="12"/>
  <c r="U174" i="12" s="1"/>
  <c r="V174" i="12" s="1"/>
  <c r="W173" i="12"/>
  <c r="U173" i="12" s="1"/>
  <c r="V173" i="12" s="1"/>
  <c r="W172" i="12"/>
  <c r="U172" i="12" s="1"/>
  <c r="V172" i="12" s="1"/>
  <c r="W171" i="12"/>
  <c r="U171" i="12" s="1"/>
  <c r="V171" i="12" s="1"/>
  <c r="W170" i="12"/>
  <c r="U170" i="12" s="1"/>
  <c r="V170" i="12" s="1"/>
  <c r="W169" i="12"/>
  <c r="U169" i="12" s="1"/>
  <c r="V169" i="12" s="1"/>
  <c r="W168" i="12"/>
  <c r="U168" i="12" s="1"/>
  <c r="V168" i="12" s="1"/>
  <c r="W167" i="12"/>
  <c r="U167" i="12" s="1"/>
  <c r="V167" i="12" s="1"/>
  <c r="W166" i="12"/>
  <c r="U166" i="12" s="1"/>
  <c r="V166" i="12" s="1"/>
  <c r="W165" i="12"/>
  <c r="U165" i="12" s="1"/>
  <c r="V165" i="12" s="1"/>
  <c r="W164" i="12"/>
  <c r="U164" i="12" s="1"/>
  <c r="V164" i="12" s="1"/>
  <c r="W163" i="12"/>
  <c r="U163" i="12" s="1"/>
  <c r="V163" i="12" s="1"/>
  <c r="W162" i="12"/>
  <c r="U162" i="12" s="1"/>
  <c r="V162" i="12" s="1"/>
  <c r="W158" i="12"/>
  <c r="U158" i="12" s="1"/>
  <c r="V158" i="12" s="1"/>
  <c r="W157" i="12"/>
  <c r="U157" i="12" s="1"/>
  <c r="V157" i="12" s="1"/>
  <c r="W156" i="12"/>
  <c r="U156" i="12" s="1"/>
  <c r="V156" i="12" s="1"/>
  <c r="W155" i="12"/>
  <c r="U155" i="12" s="1"/>
  <c r="V155" i="12" s="1"/>
  <c r="W154" i="12"/>
  <c r="U154" i="12" s="1"/>
  <c r="V154" i="12" s="1"/>
  <c r="W152" i="12"/>
  <c r="U152" i="12" s="1"/>
  <c r="V152" i="12" s="1"/>
  <c r="W150" i="12"/>
  <c r="U150" i="12" s="1"/>
  <c r="V150" i="12" s="1"/>
  <c r="W149" i="12"/>
  <c r="U149" i="12" s="1"/>
  <c r="V149" i="12" s="1"/>
  <c r="W147" i="12"/>
  <c r="U147" i="12" s="1"/>
  <c r="V147" i="12" s="1"/>
  <c r="W146" i="12"/>
  <c r="U146" i="12" s="1"/>
  <c r="V146" i="12" s="1"/>
  <c r="W144" i="12"/>
  <c r="U144" i="12" s="1"/>
  <c r="V144" i="12" s="1"/>
  <c r="W142" i="12"/>
  <c r="U142" i="12" s="1"/>
  <c r="V142" i="12" s="1"/>
  <c r="W141" i="12"/>
  <c r="U141" i="12" s="1"/>
  <c r="V141" i="12" s="1"/>
  <c r="W140" i="12"/>
  <c r="U140" i="12" s="1"/>
  <c r="V140" i="12" s="1"/>
  <c r="W139" i="12"/>
  <c r="U139" i="12" s="1"/>
  <c r="V139" i="12" s="1"/>
  <c r="W138" i="12"/>
  <c r="U138" i="12" s="1"/>
  <c r="V138" i="12" s="1"/>
  <c r="W137" i="12"/>
  <c r="U137" i="12" s="1"/>
  <c r="V137" i="12" s="1"/>
  <c r="W136" i="12"/>
  <c r="U136" i="12" s="1"/>
  <c r="V136" i="12" s="1"/>
  <c r="W135" i="12"/>
  <c r="U135" i="12" s="1"/>
  <c r="V135" i="12" s="1"/>
  <c r="W133" i="12"/>
  <c r="U133" i="12" s="1"/>
  <c r="V133" i="12" s="1"/>
  <c r="W132" i="12"/>
  <c r="U132" i="12" s="1"/>
  <c r="V132" i="12" s="1"/>
  <c r="W131" i="12"/>
  <c r="U131" i="12" s="1"/>
  <c r="V131" i="12" s="1"/>
  <c r="W129" i="12"/>
  <c r="U129" i="12" s="1"/>
  <c r="V129" i="12" s="1"/>
  <c r="W128" i="12"/>
  <c r="U128" i="12" s="1"/>
  <c r="V128" i="12" s="1"/>
  <c r="W127" i="12"/>
  <c r="U127" i="12" s="1"/>
  <c r="V127" i="12" s="1"/>
  <c r="W126" i="12"/>
  <c r="U126" i="12" s="1"/>
  <c r="V126" i="12" s="1"/>
  <c r="W125" i="12"/>
  <c r="U125" i="12" s="1"/>
  <c r="V125" i="12" s="1"/>
  <c r="W124" i="12"/>
  <c r="U124" i="12" s="1"/>
  <c r="V124" i="12" s="1"/>
  <c r="W123" i="12"/>
  <c r="U123" i="12" s="1"/>
  <c r="V123" i="12" s="1"/>
  <c r="W122" i="12"/>
  <c r="U122" i="12" s="1"/>
  <c r="V122" i="12" s="1"/>
  <c r="W121" i="12"/>
  <c r="U121" i="12" s="1"/>
  <c r="V121" i="12" s="1"/>
  <c r="W120" i="12"/>
  <c r="U120" i="12" s="1"/>
  <c r="V120" i="12" s="1"/>
  <c r="W119" i="12"/>
  <c r="U119" i="12" s="1"/>
  <c r="V119" i="12" s="1"/>
  <c r="W118" i="12"/>
  <c r="U118" i="12" s="1"/>
  <c r="V118" i="12" s="1"/>
  <c r="W117" i="12"/>
  <c r="U117" i="12" s="1"/>
  <c r="V117" i="12" s="1"/>
  <c r="W116" i="12"/>
  <c r="U116" i="12" s="1"/>
  <c r="V116" i="12" s="1"/>
  <c r="W114" i="12"/>
  <c r="U114" i="12" s="1"/>
  <c r="V114" i="12" s="1"/>
  <c r="W113" i="12"/>
  <c r="U113" i="12" s="1"/>
  <c r="V113" i="12" s="1"/>
  <c r="W112" i="12"/>
  <c r="U112" i="12" s="1"/>
  <c r="V112" i="12" s="1"/>
  <c r="W111" i="12"/>
  <c r="U111" i="12" s="1"/>
  <c r="V111" i="12" s="1"/>
  <c r="W108" i="12"/>
  <c r="U108" i="12" s="1"/>
  <c r="V108" i="12" s="1"/>
  <c r="W107" i="12"/>
  <c r="U107" i="12" s="1"/>
  <c r="V107" i="12" s="1"/>
  <c r="W105" i="12"/>
  <c r="U105" i="12" s="1"/>
  <c r="V105" i="12" s="1"/>
  <c r="W104" i="12"/>
  <c r="U104" i="12" s="1"/>
  <c r="V104" i="12" s="1"/>
  <c r="W103" i="12"/>
  <c r="U103" i="12" s="1"/>
  <c r="V103" i="12" s="1"/>
  <c r="W102" i="12"/>
  <c r="U102" i="12" s="1"/>
  <c r="V102" i="12" s="1"/>
  <c r="W101" i="12"/>
  <c r="U101" i="12" s="1"/>
  <c r="V101" i="12" s="1"/>
  <c r="W99" i="12"/>
  <c r="U99" i="12" s="1"/>
  <c r="V99" i="12" s="1"/>
  <c r="W98" i="12"/>
  <c r="U98" i="12" s="1"/>
  <c r="V98" i="12" s="1"/>
  <c r="W97" i="12"/>
  <c r="U97" i="12" s="1"/>
  <c r="V97" i="12" s="1"/>
  <c r="W96" i="12"/>
  <c r="U96" i="12" s="1"/>
  <c r="V96" i="12" s="1"/>
  <c r="W95" i="12"/>
  <c r="U95" i="12" s="1"/>
  <c r="V95" i="12" s="1"/>
  <c r="W94" i="12"/>
  <c r="U94" i="12" s="1"/>
  <c r="V94" i="12" s="1"/>
  <c r="W93" i="12"/>
  <c r="U93" i="12" s="1"/>
  <c r="V93" i="12" s="1"/>
  <c r="W92" i="12"/>
  <c r="U92" i="12" s="1"/>
  <c r="V92" i="12" s="1"/>
  <c r="W91" i="12"/>
  <c r="U91" i="12" s="1"/>
  <c r="V91" i="12" s="1"/>
  <c r="W90" i="12"/>
  <c r="U90" i="12" s="1"/>
  <c r="V90" i="12" s="1"/>
  <c r="W89" i="12"/>
  <c r="U89" i="12" s="1"/>
  <c r="V89" i="12" s="1"/>
  <c r="W88" i="12"/>
  <c r="U88" i="12" s="1"/>
  <c r="V88" i="12" s="1"/>
  <c r="W87" i="12"/>
  <c r="U87" i="12" s="1"/>
  <c r="V87" i="12" s="1"/>
  <c r="W86" i="12"/>
  <c r="U86" i="12" s="1"/>
  <c r="V86" i="12" s="1"/>
  <c r="W85" i="12"/>
  <c r="U85" i="12" s="1"/>
  <c r="V85" i="12" s="1"/>
  <c r="W84" i="12"/>
  <c r="U84" i="12" s="1"/>
  <c r="V84" i="12" s="1"/>
  <c r="W83" i="12"/>
  <c r="U83" i="12" s="1"/>
  <c r="V83" i="12" s="1"/>
  <c r="W82" i="12"/>
  <c r="U82" i="12" s="1"/>
  <c r="V82" i="12" s="1"/>
  <c r="W81" i="12"/>
  <c r="U81" i="12" s="1"/>
  <c r="V81" i="12" s="1"/>
  <c r="W74" i="12"/>
  <c r="U74" i="12" s="1"/>
  <c r="V74" i="12" s="1"/>
  <c r="W72" i="12"/>
  <c r="U72" i="12" s="1"/>
  <c r="V72" i="12" s="1"/>
  <c r="W71" i="12"/>
  <c r="U71" i="12" s="1"/>
  <c r="V71" i="12" s="1"/>
  <c r="W70" i="12"/>
  <c r="U70" i="12" s="1"/>
  <c r="V70" i="12" s="1"/>
  <c r="W69" i="12"/>
  <c r="U69" i="12" s="1"/>
  <c r="V69" i="12" s="1"/>
  <c r="W68" i="12"/>
  <c r="U68" i="12" s="1"/>
  <c r="V68" i="12" s="1"/>
  <c r="W67" i="12"/>
  <c r="U67" i="12" s="1"/>
  <c r="V67" i="12" s="1"/>
  <c r="W66" i="12"/>
  <c r="U66" i="12" s="1"/>
  <c r="V66" i="12" s="1"/>
  <c r="W65" i="12"/>
  <c r="U65" i="12" s="1"/>
  <c r="V65" i="12" s="1"/>
  <c r="W61" i="12"/>
  <c r="U61" i="12" s="1"/>
  <c r="V61" i="12" s="1"/>
  <c r="W60" i="12"/>
  <c r="U60" i="12" s="1"/>
  <c r="V60" i="12" s="1"/>
  <c r="W58" i="12"/>
  <c r="U58" i="12" s="1"/>
  <c r="V58" i="12" s="1"/>
  <c r="W57" i="12"/>
  <c r="U57" i="12" s="1"/>
  <c r="V57" i="12" s="1"/>
  <c r="W56" i="12"/>
  <c r="U56" i="12" s="1"/>
  <c r="V56" i="12" s="1"/>
  <c r="W55" i="12"/>
  <c r="U55" i="12" s="1"/>
  <c r="V55" i="12" s="1"/>
  <c r="W51" i="12"/>
  <c r="U51" i="12" s="1"/>
  <c r="V51" i="12" s="1"/>
  <c r="W49" i="12"/>
  <c r="U49" i="12" s="1"/>
  <c r="V49" i="12" s="1"/>
  <c r="W48" i="12"/>
  <c r="U48" i="12" s="1"/>
  <c r="V48" i="12" s="1"/>
  <c r="W46" i="12"/>
  <c r="U46" i="12" s="1"/>
  <c r="V46" i="12" s="1"/>
  <c r="W44" i="12"/>
  <c r="U44" i="12" s="1"/>
  <c r="V44" i="12" s="1"/>
  <c r="W43" i="12"/>
  <c r="U43" i="12" s="1"/>
  <c r="V43" i="12" s="1"/>
  <c r="W42" i="12"/>
  <c r="U42" i="12" s="1"/>
  <c r="V42" i="12" s="1"/>
  <c r="W41" i="12"/>
  <c r="U41" i="12" s="1"/>
  <c r="V41" i="12" s="1"/>
  <c r="W40" i="12"/>
  <c r="U40" i="12" s="1"/>
  <c r="V40" i="12" s="1"/>
  <c r="W39" i="12"/>
  <c r="U39" i="12" s="1"/>
  <c r="V39" i="12" s="1"/>
  <c r="W38" i="12"/>
  <c r="U38" i="12" s="1"/>
  <c r="V38" i="12" s="1"/>
  <c r="W37" i="12"/>
  <c r="U37" i="12" s="1"/>
  <c r="V37" i="12" s="1"/>
  <c r="W36" i="12"/>
  <c r="U36" i="12" s="1"/>
  <c r="V36" i="12" s="1"/>
  <c r="W35" i="12"/>
  <c r="U35" i="12" s="1"/>
  <c r="V35" i="12" s="1"/>
  <c r="W34" i="12"/>
  <c r="U34" i="12" s="1"/>
  <c r="V34" i="12" s="1"/>
  <c r="W33" i="12"/>
  <c r="U33" i="12" s="1"/>
  <c r="V33" i="12" s="1"/>
  <c r="W32" i="12"/>
  <c r="U32" i="12" s="1"/>
  <c r="V32" i="12" s="1"/>
  <c r="W31" i="12"/>
  <c r="U31" i="12" s="1"/>
  <c r="V31" i="12" s="1"/>
  <c r="W30" i="12"/>
  <c r="U30" i="12" s="1"/>
  <c r="V30" i="12" s="1"/>
  <c r="W29" i="12"/>
  <c r="U29" i="12" s="1"/>
  <c r="V29" i="12" s="1"/>
  <c r="W28" i="12"/>
  <c r="U28" i="12" s="1"/>
  <c r="V28" i="12" s="1"/>
  <c r="W26" i="12"/>
  <c r="U26" i="12" s="1"/>
  <c r="V26" i="12" s="1"/>
  <c r="W25" i="12"/>
  <c r="U25" i="12" s="1"/>
  <c r="V25" i="12" s="1"/>
  <c r="W23" i="12"/>
  <c r="U23" i="12" s="1"/>
  <c r="V23" i="12" s="1"/>
  <c r="W22" i="12"/>
  <c r="U22" i="12" s="1"/>
  <c r="V22" i="12" s="1"/>
  <c r="W21" i="12"/>
  <c r="U21" i="12" s="1"/>
  <c r="V21" i="12" s="1"/>
  <c r="W20" i="12"/>
  <c r="U20" i="12" s="1"/>
  <c r="V20" i="12" s="1"/>
  <c r="W19" i="12"/>
  <c r="U19" i="12" s="1"/>
  <c r="V19" i="12" s="1"/>
  <c r="W18" i="12"/>
  <c r="U18" i="12" s="1"/>
  <c r="V18" i="12" s="1"/>
  <c r="W17" i="12"/>
  <c r="U17" i="12" s="1"/>
  <c r="V17" i="12" s="1"/>
  <c r="W16" i="12"/>
  <c r="U16" i="12" s="1"/>
  <c r="V16" i="12" s="1"/>
  <c r="W12" i="12"/>
  <c r="U12" i="12" s="1"/>
  <c r="V12" i="12" s="1"/>
  <c r="W15" i="12"/>
  <c r="U15" i="12" s="1"/>
  <c r="V15" i="12" s="1"/>
  <c r="W14" i="12"/>
  <c r="U14" i="12" s="1"/>
  <c r="V14" i="12" s="1"/>
  <c r="W13" i="12"/>
  <c r="U13" i="12" s="1"/>
  <c r="V13" i="12" s="1"/>
  <c r="W10" i="12"/>
  <c r="U10" i="12" s="1"/>
  <c r="V10" i="12" s="1"/>
  <c r="W9" i="12"/>
  <c r="W8" i="12"/>
  <c r="W7" i="12"/>
  <c r="W6" i="12"/>
  <c r="W5" i="12"/>
  <c r="W157" i="4"/>
  <c r="R232" i="10"/>
  <c r="T157" i="4"/>
  <c r="U157" i="4" s="1"/>
  <c r="T209" i="4"/>
  <c r="U209" i="4" s="1"/>
  <c r="T192" i="4"/>
  <c r="U192" i="4" s="1"/>
  <c r="U222" i="4"/>
  <c r="T223" i="4"/>
  <c r="U223" i="4" s="1"/>
  <c r="T224" i="4"/>
  <c r="U224" i="4" s="1"/>
  <c r="W222" i="4"/>
  <c r="W223" i="4"/>
  <c r="W224" i="4"/>
  <c r="W236" i="4"/>
  <c r="W237" i="4"/>
  <c r="T193" i="4"/>
  <c r="U193" i="4" s="1"/>
  <c r="T194" i="4"/>
  <c r="U194" i="4" s="1"/>
  <c r="T195" i="4"/>
  <c r="U195" i="4" s="1"/>
  <c r="T196" i="4"/>
  <c r="U196" i="4" s="1"/>
  <c r="T197" i="4"/>
  <c r="U197" i="4" s="1"/>
  <c r="T198" i="4"/>
  <c r="U198" i="4" s="1"/>
  <c r="T199" i="4"/>
  <c r="U199" i="4" s="1"/>
  <c r="T200" i="4"/>
  <c r="U200" i="4" s="1"/>
  <c r="T201" i="4"/>
  <c r="U201" i="4" s="1"/>
  <c r="T202" i="4"/>
  <c r="U202" i="4" s="1"/>
  <c r="T203" i="4"/>
  <c r="U203" i="4" s="1"/>
  <c r="T204" i="4"/>
  <c r="U204" i="4" s="1"/>
  <c r="T205" i="4"/>
  <c r="U205" i="4" s="1"/>
  <c r="T206" i="4"/>
  <c r="U206" i="4" s="1"/>
  <c r="T207" i="4"/>
  <c r="U207" i="4" s="1"/>
  <c r="T208" i="4"/>
  <c r="U208" i="4" s="1"/>
  <c r="T210" i="4"/>
  <c r="U210" i="4" s="1"/>
  <c r="T211" i="4"/>
  <c r="U211" i="4" s="1"/>
  <c r="T212" i="4"/>
  <c r="U212" i="4" s="1"/>
  <c r="T213" i="4"/>
  <c r="U213" i="4" s="1"/>
  <c r="T214" i="4"/>
  <c r="U214" i="4" s="1"/>
  <c r="T215" i="4"/>
  <c r="U215" i="4" s="1"/>
  <c r="T216" i="4"/>
  <c r="U216" i="4" s="1"/>
  <c r="T217" i="4"/>
  <c r="U217" i="4" s="1"/>
  <c r="T218" i="4"/>
  <c r="U218" i="4" s="1"/>
  <c r="T219" i="4"/>
  <c r="U219" i="4" s="1"/>
  <c r="T220" i="4"/>
  <c r="U220" i="4" s="1"/>
  <c r="T221" i="4"/>
  <c r="U221" i="4" s="1"/>
  <c r="T225" i="4"/>
  <c r="U225" i="4" s="1"/>
  <c r="T226" i="4"/>
  <c r="U226" i="4" s="1"/>
  <c r="T227" i="4"/>
  <c r="U227" i="4" s="1"/>
  <c r="T228" i="4"/>
  <c r="U228" i="4" s="1"/>
  <c r="T229" i="4"/>
  <c r="U229" i="4" s="1"/>
  <c r="T230" i="4"/>
  <c r="U230" i="4" s="1"/>
  <c r="T231" i="4"/>
  <c r="U231" i="4" s="1"/>
  <c r="T232" i="4"/>
  <c r="U232" i="4" s="1"/>
  <c r="T233" i="4"/>
  <c r="U233" i="4" s="1"/>
  <c r="T234" i="4"/>
  <c r="U234" i="4" s="1"/>
  <c r="T235" i="4"/>
  <c r="U235" i="4" s="1"/>
  <c r="T238" i="4"/>
  <c r="U238" i="4" s="1"/>
  <c r="T239" i="4"/>
  <c r="U239" i="4" s="1"/>
  <c r="T240" i="4"/>
  <c r="U240" i="4" s="1"/>
  <c r="T241" i="4"/>
  <c r="U241" i="4" s="1"/>
  <c r="T242" i="4"/>
  <c r="U242" i="4" s="1"/>
  <c r="T243" i="4"/>
  <c r="U243" i="4" s="1"/>
  <c r="T244" i="4"/>
  <c r="U244" i="4" s="1"/>
  <c r="T245" i="4"/>
  <c r="U245" i="4" s="1"/>
  <c r="T247" i="4"/>
  <c r="U247" i="4" s="1"/>
  <c r="W195" i="4"/>
  <c r="W209" i="4"/>
  <c r="W212" i="4"/>
  <c r="W13" i="4"/>
  <c r="W14" i="4"/>
  <c r="T13" i="4"/>
  <c r="U13" i="4" s="1"/>
  <c r="T14" i="4"/>
  <c r="U14" i="4" s="1"/>
  <c r="W247" i="4" l="1"/>
  <c r="W245" i="4"/>
  <c r="W244" i="4"/>
  <c r="W243" i="4"/>
  <c r="W242" i="4"/>
  <c r="W241" i="4"/>
  <c r="W240" i="4"/>
  <c r="W239" i="4"/>
  <c r="W238" i="4"/>
  <c r="W235" i="4"/>
  <c r="W234" i="4"/>
  <c r="W233" i="4"/>
  <c r="W232" i="4"/>
  <c r="W231" i="4"/>
  <c r="W230" i="4"/>
  <c r="W229" i="4"/>
  <c r="W228" i="4"/>
  <c r="W227" i="4"/>
  <c r="W226" i="4"/>
  <c r="W225" i="4"/>
  <c r="W221" i="4"/>
  <c r="W220" i="4"/>
  <c r="W219" i="4"/>
  <c r="W218" i="4"/>
  <c r="W217" i="4"/>
  <c r="W216" i="4"/>
  <c r="W215" i="4"/>
  <c r="W214" i="4"/>
  <c r="W213" i="4"/>
  <c r="W211" i="4"/>
  <c r="W210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4" i="4"/>
  <c r="W193" i="4"/>
  <c r="T173" i="4"/>
  <c r="U173" i="4" s="1"/>
  <c r="T152" i="4"/>
  <c r="U152" i="4" s="1"/>
  <c r="T174" i="4"/>
  <c r="U174" i="4" s="1"/>
  <c r="T161" i="4"/>
  <c r="U161" i="4" s="1"/>
  <c r="T153" i="4"/>
  <c r="U153" i="4" s="1"/>
  <c r="T19" i="4"/>
  <c r="U19" i="4" s="1"/>
  <c r="W19" i="4" l="1"/>
  <c r="W173" i="4"/>
  <c r="W161" i="4"/>
  <c r="W153" i="4"/>
  <c r="W152" i="4"/>
  <c r="W174" i="4"/>
  <c r="Q10" i="4"/>
  <c r="T172" i="4"/>
  <c r="U172" i="4" s="1"/>
  <c r="T182" i="4"/>
  <c r="U182" i="4" s="1"/>
  <c r="T10" i="4"/>
  <c r="U10" i="4" s="1"/>
  <c r="T180" i="4"/>
  <c r="U180" i="4" s="1"/>
  <c r="T162" i="4"/>
  <c r="U162" i="4" s="1"/>
  <c r="T181" i="4"/>
  <c r="U181" i="4" s="1"/>
  <c r="W181" i="4" l="1"/>
  <c r="W10" i="4"/>
  <c r="R10" i="4"/>
  <c r="W182" i="4"/>
  <c r="W180" i="4"/>
  <c r="W172" i="4"/>
  <c r="W162" i="4"/>
  <c r="T179" i="4" l="1"/>
  <c r="U179" i="4" s="1"/>
  <c r="T133" i="4"/>
  <c r="U133" i="4" s="1"/>
  <c r="T107" i="4"/>
  <c r="U107" i="4" s="1"/>
  <c r="T99" i="4"/>
  <c r="U99" i="4" s="1"/>
  <c r="T24" i="4"/>
  <c r="U24" i="4" s="1"/>
  <c r="T22" i="4"/>
  <c r="U22" i="4" s="1"/>
  <c r="T169" i="4"/>
  <c r="U169" i="4" s="1"/>
  <c r="T26" i="4"/>
  <c r="U26" i="4" s="1"/>
  <c r="W192" i="4"/>
  <c r="W26" i="4" l="1"/>
  <c r="W169" i="4"/>
  <c r="W22" i="4"/>
  <c r="W24" i="4"/>
  <c r="W99" i="4"/>
  <c r="W107" i="4"/>
  <c r="W133" i="4"/>
  <c r="W179" i="4"/>
  <c r="T32" i="4"/>
  <c r="U32" i="4" s="1"/>
  <c r="T109" i="4"/>
  <c r="U109" i="4" s="1"/>
  <c r="T115" i="4"/>
  <c r="U115" i="4" s="1"/>
  <c r="T33" i="4"/>
  <c r="U33" i="4" s="1"/>
  <c r="T144" i="4"/>
  <c r="U144" i="4" s="1"/>
  <c r="T34" i="4"/>
  <c r="U34" i="4" s="1"/>
  <c r="T21" i="4"/>
  <c r="U21" i="4" s="1"/>
  <c r="T110" i="4"/>
  <c r="U110" i="4" s="1"/>
  <c r="T111" i="4"/>
  <c r="U111" i="4" s="1"/>
  <c r="W111" i="4" l="1"/>
  <c r="W110" i="4"/>
  <c r="W21" i="4"/>
  <c r="W34" i="4"/>
  <c r="W144" i="4"/>
  <c r="W33" i="4"/>
  <c r="W115" i="4"/>
  <c r="W109" i="4"/>
  <c r="W32" i="4"/>
  <c r="U4" i="4"/>
  <c r="T84" i="4"/>
  <c r="U84" i="4" s="1"/>
  <c r="T100" i="4"/>
  <c r="U100" i="4" s="1"/>
  <c r="T80" i="4"/>
  <c r="U80" i="4" s="1"/>
  <c r="T66" i="4"/>
  <c r="U66" i="4" s="1"/>
  <c r="Q5" i="4"/>
  <c r="T5" i="4"/>
  <c r="U5" i="4" s="1"/>
  <c r="T113" i="4"/>
  <c r="U113" i="4" s="1"/>
  <c r="T20" i="4"/>
  <c r="U20" i="4" s="1"/>
  <c r="T130" i="4"/>
  <c r="U130" i="4" s="1"/>
  <c r="T15" i="4"/>
  <c r="U15" i="4" s="1"/>
  <c r="T102" i="4"/>
  <c r="U102" i="4" s="1"/>
  <c r="T142" i="4"/>
  <c r="U142" i="4" s="1"/>
  <c r="T166" i="4"/>
  <c r="U166" i="4" s="1"/>
  <c r="W166" i="4" l="1"/>
  <c r="W142" i="4"/>
  <c r="W102" i="4"/>
  <c r="W15" i="4"/>
  <c r="W130" i="4"/>
  <c r="W20" i="4"/>
  <c r="W113" i="4"/>
  <c r="W5" i="4"/>
  <c r="R5" i="4"/>
  <c r="W66" i="4"/>
  <c r="W80" i="4"/>
  <c r="W100" i="4"/>
  <c r="W84" i="4"/>
  <c r="W4" i="4"/>
  <c r="R4" i="4"/>
  <c r="T160" i="4" l="1"/>
  <c r="U160" i="4" s="1"/>
  <c r="T124" i="4"/>
  <c r="U124" i="4" s="1"/>
  <c r="T190" i="4"/>
  <c r="U190" i="4" s="1"/>
  <c r="T141" i="4"/>
  <c r="U141" i="4" s="1"/>
  <c r="T97" i="4"/>
  <c r="U97" i="4" s="1"/>
  <c r="T189" i="4"/>
  <c r="U189" i="4" s="1"/>
  <c r="T114" i="4"/>
  <c r="U114" i="4" s="1"/>
  <c r="T121" i="4"/>
  <c r="U121" i="4" s="1"/>
  <c r="T55" i="4"/>
  <c r="U55" i="4" s="1"/>
  <c r="T58" i="4"/>
  <c r="U58" i="4" s="1"/>
  <c r="T175" i="4"/>
  <c r="U175" i="4" s="1"/>
  <c r="T139" i="4"/>
  <c r="U139" i="4" s="1"/>
  <c r="T95" i="4"/>
  <c r="U95" i="4" s="1"/>
  <c r="T81" i="4"/>
  <c r="U81" i="4" s="1"/>
  <c r="T71" i="4"/>
  <c r="U71" i="4" s="1"/>
  <c r="T36" i="4"/>
  <c r="U36" i="4" s="1"/>
  <c r="T28" i="4"/>
  <c r="U28" i="4" s="1"/>
  <c r="T171" i="4"/>
  <c r="U171" i="4" s="1"/>
  <c r="T70" i="4"/>
  <c r="U70" i="4" s="1"/>
  <c r="T184" i="4"/>
  <c r="U184" i="4" s="1"/>
  <c r="T86" i="4"/>
  <c r="U86" i="4" s="1"/>
  <c r="T132" i="4"/>
  <c r="U132" i="4" s="1"/>
  <c r="T178" i="4"/>
  <c r="U178" i="4" s="1"/>
  <c r="T147" i="4"/>
  <c r="U147" i="4" s="1"/>
  <c r="T88" i="4"/>
  <c r="U88" i="4" s="1"/>
  <c r="T75" i="4"/>
  <c r="U75" i="4" s="1"/>
  <c r="T64" i="4"/>
  <c r="U64" i="4" s="1"/>
  <c r="T52" i="4"/>
  <c r="U52" i="4" s="1"/>
  <c r="T48" i="4"/>
  <c r="U48" i="4" s="1"/>
  <c r="T43" i="4"/>
  <c r="U43" i="4" s="1"/>
  <c r="T35" i="4"/>
  <c r="U35" i="4" s="1"/>
  <c r="T164" i="4"/>
  <c r="U164" i="4" s="1"/>
  <c r="T126" i="4"/>
  <c r="U126" i="4" s="1"/>
  <c r="T27" i="4"/>
  <c r="U27" i="4" s="1"/>
  <c r="T170" i="4"/>
  <c r="U170" i="4" s="1"/>
  <c r="T72" i="4"/>
  <c r="U72" i="4" s="1"/>
  <c r="T25" i="4"/>
  <c r="U25" i="4" s="1"/>
  <c r="Q7" i="4"/>
  <c r="T7" i="4"/>
  <c r="U7" i="4" s="1"/>
  <c r="T183" i="4"/>
  <c r="U183" i="4" s="1"/>
  <c r="T134" i="4"/>
  <c r="U134" i="4" s="1"/>
  <c r="T96" i="4"/>
  <c r="U96" i="4" s="1"/>
  <c r="T85" i="4"/>
  <c r="U85" i="4" s="1"/>
  <c r="T61" i="4"/>
  <c r="U61" i="4" s="1"/>
  <c r="Q8" i="4"/>
  <c r="T8" i="4"/>
  <c r="U8" i="4" s="1"/>
  <c r="T56" i="4"/>
  <c r="U56" i="4" s="1"/>
  <c r="T165" i="4"/>
  <c r="U165" i="4" s="1"/>
  <c r="T108" i="4"/>
  <c r="U108" i="4" s="1"/>
  <c r="T120" i="4"/>
  <c r="U120" i="4" s="1"/>
  <c r="T39" i="4"/>
  <c r="U39" i="4" s="1"/>
  <c r="T177" i="4"/>
  <c r="U177" i="4" s="1"/>
  <c r="T167" i="4"/>
  <c r="U167" i="4" s="1"/>
  <c r="T148" i="4"/>
  <c r="U148" i="4" s="1"/>
  <c r="T129" i="4"/>
  <c r="U129" i="4" s="1"/>
  <c r="T119" i="4"/>
  <c r="U119" i="4" s="1"/>
  <c r="T106" i="4"/>
  <c r="U106" i="4" s="1"/>
  <c r="T101" i="4"/>
  <c r="U101" i="4" s="1"/>
  <c r="T91" i="4"/>
  <c r="U91" i="4" s="1"/>
  <c r="T87" i="4"/>
  <c r="U87" i="4" s="1"/>
  <c r="T78" i="4"/>
  <c r="U78" i="4" s="1"/>
  <c r="T74" i="4"/>
  <c r="U74" i="4" s="1"/>
  <c r="T68" i="4"/>
  <c r="U68" i="4" s="1"/>
  <c r="T60" i="4"/>
  <c r="U60" i="4" s="1"/>
  <c r="T57" i="4"/>
  <c r="U57" i="4" s="1"/>
  <c r="T51" i="4"/>
  <c r="U51" i="4" s="1"/>
  <c r="T47" i="4"/>
  <c r="U47" i="4" s="1"/>
  <c r="T40" i="4"/>
  <c r="U40" i="4" s="1"/>
  <c r="T29" i="4"/>
  <c r="U29" i="4" s="1"/>
  <c r="T17" i="4"/>
  <c r="U17" i="4" s="1"/>
  <c r="T138" i="4"/>
  <c r="U138" i="4" s="1"/>
  <c r="T30" i="4"/>
  <c r="U30" i="4" s="1"/>
  <c r="T185" i="4"/>
  <c r="U185" i="4" s="1"/>
  <c r="Q11" i="4"/>
  <c r="T11" i="4"/>
  <c r="U11" i="4" s="1"/>
  <c r="T150" i="4"/>
  <c r="U150" i="4" s="1"/>
  <c r="T92" i="4"/>
  <c r="U92" i="4" s="1"/>
  <c r="T63" i="4"/>
  <c r="U63" i="4" s="1"/>
  <c r="T155" i="4"/>
  <c r="U155" i="4" s="1"/>
  <c r="T154" i="4"/>
  <c r="U154" i="4" s="1"/>
  <c r="T140" i="4"/>
  <c r="U140" i="4" s="1"/>
  <c r="T151" i="4"/>
  <c r="U151" i="4" s="1"/>
  <c r="T135" i="4"/>
  <c r="U135" i="4" s="1"/>
  <c r="T118" i="4"/>
  <c r="U118" i="4" s="1"/>
  <c r="T104" i="4"/>
  <c r="U104" i="4" s="1"/>
  <c r="T89" i="4"/>
  <c r="U89" i="4" s="1"/>
  <c r="T76" i="4"/>
  <c r="U76" i="4" s="1"/>
  <c r="T65" i="4"/>
  <c r="U65" i="4" s="1"/>
  <c r="T53" i="4"/>
  <c r="U53" i="4" s="1"/>
  <c r="T49" i="4"/>
  <c r="U49" i="4" s="1"/>
  <c r="T45" i="4"/>
  <c r="U45" i="4" s="1"/>
  <c r="T42" i="4"/>
  <c r="U42" i="4" s="1"/>
  <c r="T188" i="4"/>
  <c r="U188" i="4" s="1"/>
  <c r="Q9" i="4"/>
  <c r="T9" i="4"/>
  <c r="U9" i="4" s="1"/>
  <c r="T149" i="4"/>
  <c r="U149" i="4" s="1"/>
  <c r="T112" i="4"/>
  <c r="U112" i="4" s="1"/>
  <c r="T62" i="4"/>
  <c r="U62" i="4" s="1"/>
  <c r="T44" i="4"/>
  <c r="U44" i="4" s="1"/>
  <c r="T159" i="4"/>
  <c r="U159" i="4" s="1"/>
  <c r="T145" i="4"/>
  <c r="U145" i="4" s="1"/>
  <c r="T38" i="4"/>
  <c r="U38" i="4" s="1"/>
  <c r="T137" i="4"/>
  <c r="U137" i="4" s="1"/>
  <c r="T123" i="4"/>
  <c r="U123" i="4" s="1"/>
  <c r="T94" i="4"/>
  <c r="U94" i="4" s="1"/>
  <c r="T79" i="4"/>
  <c r="U79" i="4" s="1"/>
  <c r="T69" i="4"/>
  <c r="U69" i="4" s="1"/>
  <c r="T59" i="4"/>
  <c r="U59" i="4" s="1"/>
  <c r="T50" i="4"/>
  <c r="U50" i="4" s="1"/>
  <c r="T18" i="4"/>
  <c r="U18" i="4" s="1"/>
  <c r="T158" i="4"/>
  <c r="U158" i="4" s="1"/>
  <c r="T41" i="4"/>
  <c r="U41" i="4" s="1"/>
  <c r="T187" i="4"/>
  <c r="U187" i="4" s="1"/>
  <c r="T163" i="4"/>
  <c r="U163" i="4" s="1"/>
  <c r="T125" i="4"/>
  <c r="U125" i="4" s="1"/>
  <c r="T31" i="4"/>
  <c r="U31" i="4" s="1"/>
  <c r="T191" i="4"/>
  <c r="U191" i="4" s="1"/>
  <c r="T186" i="4"/>
  <c r="U186" i="4" s="1"/>
  <c r="T143" i="4"/>
  <c r="U143" i="4" s="1"/>
  <c r="T127" i="4"/>
  <c r="U127" i="4" s="1"/>
  <c r="T23" i="4"/>
  <c r="U23" i="4" s="1"/>
  <c r="Q6" i="4"/>
  <c r="T6" i="4"/>
  <c r="U6" i="4" s="1"/>
  <c r="T168" i="4"/>
  <c r="U168" i="4" s="1"/>
  <c r="T116" i="4"/>
  <c r="U116" i="4" s="1"/>
  <c r="T93" i="4"/>
  <c r="U93" i="4" s="1"/>
  <c r="T83" i="4"/>
  <c r="U83" i="4" s="1"/>
  <c r="T117" i="4"/>
  <c r="U117" i="4" s="1"/>
  <c r="T131" i="4"/>
  <c r="U131" i="4" s="1"/>
  <c r="T122" i="4"/>
  <c r="U122" i="4" s="1"/>
  <c r="T103" i="4"/>
  <c r="U103" i="4" s="1"/>
  <c r="T146" i="4"/>
  <c r="U146" i="4" s="1"/>
  <c r="T176" i="4"/>
  <c r="U176" i="4" s="1"/>
  <c r="T156" i="4"/>
  <c r="U156" i="4" s="1"/>
  <c r="T136" i="4"/>
  <c r="U136" i="4" s="1"/>
  <c r="T128" i="4"/>
  <c r="U128" i="4" s="1"/>
  <c r="T105" i="4"/>
  <c r="U105" i="4" s="1"/>
  <c r="T98" i="4"/>
  <c r="U98" i="4" s="1"/>
  <c r="T90" i="4"/>
  <c r="U90" i="4" s="1"/>
  <c r="T82" i="4"/>
  <c r="U82" i="4" s="1"/>
  <c r="T77" i="4"/>
  <c r="U77" i="4" s="1"/>
  <c r="T73" i="4"/>
  <c r="U73" i="4" s="1"/>
  <c r="T67" i="4"/>
  <c r="U67" i="4" s="1"/>
  <c r="T54" i="4"/>
  <c r="U54" i="4" s="1"/>
  <c r="T46" i="4"/>
  <c r="U46" i="4" s="1"/>
  <c r="T37" i="4"/>
  <c r="U37" i="4" s="1"/>
  <c r="W37" i="4" l="1"/>
  <c r="W46" i="4"/>
  <c r="W54" i="4"/>
  <c r="W67" i="4"/>
  <c r="W73" i="4"/>
  <c r="W77" i="4"/>
  <c r="W82" i="4"/>
  <c r="W90" i="4"/>
  <c r="W98" i="4"/>
  <c r="W105" i="4"/>
  <c r="W128" i="4"/>
  <c r="W136" i="4"/>
  <c r="W156" i="4"/>
  <c r="W176" i="4"/>
  <c r="W146" i="4"/>
  <c r="W103" i="4"/>
  <c r="W122" i="4"/>
  <c r="W131" i="4"/>
  <c r="W117" i="4"/>
  <c r="W83" i="4"/>
  <c r="W93" i="4"/>
  <c r="W116" i="4"/>
  <c r="W168" i="4"/>
  <c r="W6" i="4"/>
  <c r="R6" i="4"/>
  <c r="W23" i="4"/>
  <c r="W127" i="4"/>
  <c r="W143" i="4"/>
  <c r="W186" i="4"/>
  <c r="W191" i="4"/>
  <c r="W31" i="4"/>
  <c r="W125" i="4"/>
  <c r="W163" i="4"/>
  <c r="W187" i="4"/>
  <c r="W41" i="4"/>
  <c r="W158" i="4"/>
  <c r="W18" i="4"/>
  <c r="W50" i="4"/>
  <c r="W59" i="4"/>
  <c r="W69" i="4"/>
  <c r="W79" i="4"/>
  <c r="W94" i="4"/>
  <c r="W123" i="4"/>
  <c r="W137" i="4"/>
  <c r="W38" i="4"/>
  <c r="W145" i="4"/>
  <c r="W159" i="4"/>
  <c r="W44" i="4"/>
  <c r="W62" i="4"/>
  <c r="W112" i="4"/>
  <c r="W149" i="4"/>
  <c r="W9" i="4"/>
  <c r="R9" i="4"/>
  <c r="W188" i="4"/>
  <c r="W42" i="4"/>
  <c r="W45" i="4"/>
  <c r="W49" i="4"/>
  <c r="W53" i="4"/>
  <c r="W65" i="4"/>
  <c r="W76" i="4"/>
  <c r="W89" i="4"/>
  <c r="W104" i="4"/>
  <c r="W118" i="4"/>
  <c r="W135" i="4"/>
  <c r="W151" i="4"/>
  <c r="W140" i="4"/>
  <c r="W154" i="4"/>
  <c r="W155" i="4"/>
  <c r="W63" i="4"/>
  <c r="W92" i="4"/>
  <c r="W150" i="4"/>
  <c r="W11" i="4"/>
  <c r="R11" i="4"/>
  <c r="W185" i="4"/>
  <c r="W30" i="4"/>
  <c r="W138" i="4"/>
  <c r="W17" i="4"/>
  <c r="W29" i="4"/>
  <c r="W40" i="4"/>
  <c r="W47" i="4"/>
  <c r="W51" i="4"/>
  <c r="W57" i="4"/>
  <c r="W60" i="4"/>
  <c r="W68" i="4"/>
  <c r="W74" i="4"/>
  <c r="W78" i="4"/>
  <c r="W87" i="4"/>
  <c r="W91" i="4"/>
  <c r="W101" i="4"/>
  <c r="W106" i="4"/>
  <c r="W119" i="4"/>
  <c r="W129" i="4"/>
  <c r="W148" i="4"/>
  <c r="W167" i="4"/>
  <c r="W177" i="4"/>
  <c r="W39" i="4"/>
  <c r="W120" i="4"/>
  <c r="W108" i="4"/>
  <c r="W165" i="4"/>
  <c r="W56" i="4"/>
  <c r="W8" i="4"/>
  <c r="R8" i="4"/>
  <c r="W61" i="4"/>
  <c r="W85" i="4"/>
  <c r="W96" i="4"/>
  <c r="W134" i="4"/>
  <c r="W183" i="4"/>
  <c r="W7" i="4"/>
  <c r="R7" i="4"/>
  <c r="W25" i="4"/>
  <c r="W72" i="4"/>
  <c r="W170" i="4"/>
  <c r="W27" i="4"/>
  <c r="W126" i="4"/>
  <c r="W164" i="4"/>
  <c r="W35" i="4"/>
  <c r="W43" i="4"/>
  <c r="W48" i="4"/>
  <c r="W52" i="4"/>
  <c r="W64" i="4"/>
  <c r="W75" i="4"/>
  <c r="W88" i="4"/>
  <c r="W147" i="4"/>
  <c r="W178" i="4"/>
  <c r="W132" i="4"/>
  <c r="W86" i="4"/>
  <c r="W184" i="4"/>
  <c r="W70" i="4"/>
  <c r="W171" i="4"/>
  <c r="W28" i="4"/>
  <c r="W36" i="4"/>
  <c r="W71" i="4"/>
  <c r="W81" i="4"/>
  <c r="W95" i="4"/>
  <c r="W139" i="4"/>
  <c r="W175" i="4"/>
  <c r="W58" i="4"/>
  <c r="W55" i="4"/>
  <c r="W121" i="4"/>
  <c r="W114" i="4"/>
  <c r="W189" i="4"/>
  <c r="W97" i="4"/>
  <c r="W141" i="4"/>
  <c r="W190" i="4"/>
  <c r="W124" i="4"/>
  <c r="W160" i="4"/>
  <c r="T16" i="4" l="1"/>
  <c r="U16" i="4" s="1"/>
  <c r="W16" i="4" l="1"/>
  <c r="G273" i="10" l="1"/>
  <c r="H273" i="10"/>
  <c r="I273" i="10"/>
  <c r="J273" i="10"/>
  <c r="K273" i="10"/>
  <c r="L273" i="10"/>
  <c r="M273" i="10"/>
  <c r="N273" i="10"/>
  <c r="Q273" i="10" l="1"/>
  <c r="O273" i="10"/>
  <c r="P273" i="10" s="1"/>
  <c r="Q268" i="12"/>
  <c r="Q269" i="12"/>
  <c r="R269" i="12" s="1"/>
  <c r="S269" i="12" s="1"/>
  <c r="T269" i="12" s="1"/>
  <c r="R268" i="12" l="1"/>
  <c r="S268" i="12" s="1"/>
  <c r="T268" i="12" s="1"/>
  <c r="U268" i="12" s="1"/>
  <c r="V268" i="12" s="1"/>
  <c r="R273" i="10"/>
  <c r="W269" i="12"/>
  <c r="U269" i="12"/>
  <c r="V269" i="12" s="1"/>
  <c r="K274" i="10"/>
  <c r="J274" i="10"/>
  <c r="N275" i="10"/>
  <c r="M275" i="10"/>
  <c r="L275" i="10"/>
  <c r="K275" i="10"/>
  <c r="I275" i="10"/>
  <c r="H275" i="10"/>
  <c r="N274" i="10"/>
  <c r="M274" i="10"/>
  <c r="L274" i="10"/>
  <c r="I274" i="10"/>
  <c r="H274" i="10"/>
  <c r="G274" i="10"/>
  <c r="G275" i="10"/>
  <c r="P256" i="4"/>
  <c r="Q256" i="4" s="1"/>
  <c r="P257" i="4"/>
  <c r="O275" i="10" s="1"/>
  <c r="P275" i="10" s="1"/>
  <c r="J275" i="10"/>
  <c r="W268" i="12" l="1"/>
  <c r="Q257" i="4"/>
  <c r="O274" i="10"/>
  <c r="P274" i="10" s="1"/>
  <c r="Q275" i="10"/>
  <c r="R275" i="10" s="1"/>
  <c r="Q274" i="10"/>
  <c r="R274" i="10" l="1"/>
  <c r="B5" i="8"/>
  <c r="B4" i="8"/>
  <c r="B7" i="8"/>
  <c r="B6" i="8"/>
  <c r="R302" i="12"/>
  <c r="S302" i="12" s="1"/>
  <c r="T302" i="12" s="1"/>
  <c r="U302" i="12" s="1"/>
  <c r="V302" i="12" s="1"/>
  <c r="W302" i="12" s="1"/>
  <c r="R303" i="12"/>
  <c r="S303" i="12" s="1"/>
  <c r="T303" i="12" s="1"/>
  <c r="U303" i="12" s="1"/>
  <c r="V303" i="12" s="1"/>
  <c r="W303" i="12" s="1"/>
  <c r="O283" i="4"/>
  <c r="R283" i="4"/>
  <c r="S283" i="4"/>
  <c r="T283" i="4"/>
  <c r="U283" i="4"/>
  <c r="V283" i="4"/>
  <c r="W283" i="4"/>
  <c r="O258" i="4"/>
  <c r="R258" i="4"/>
  <c r="S258" i="4"/>
  <c r="T258" i="4"/>
  <c r="U258" i="4"/>
  <c r="V258" i="4"/>
  <c r="W258" i="4"/>
  <c r="O262" i="4"/>
  <c r="R262" i="4"/>
  <c r="S262" i="4"/>
  <c r="T262" i="4"/>
  <c r="U262" i="4"/>
  <c r="V262" i="4"/>
  <c r="W262" i="4"/>
  <c r="O282" i="4"/>
  <c r="R282" i="4"/>
  <c r="S282" i="4"/>
  <c r="T282" i="4"/>
  <c r="U282" i="4"/>
  <c r="V282" i="4"/>
  <c r="W282" i="4"/>
  <c r="O257" i="4"/>
  <c r="R257" i="4"/>
  <c r="S257" i="4"/>
  <c r="T257" i="4"/>
  <c r="U257" i="4"/>
  <c r="V257" i="4"/>
  <c r="W257" i="4"/>
  <c r="O259" i="4"/>
  <c r="R259" i="4"/>
  <c r="S259" i="4"/>
  <c r="T259" i="4"/>
  <c r="U259" i="4"/>
  <c r="V259" i="4"/>
  <c r="W259" i="4"/>
  <c r="O266" i="4"/>
  <c r="R266" i="4"/>
  <c r="S266" i="4"/>
  <c r="T266" i="4"/>
  <c r="U266" i="4"/>
  <c r="V266" i="4"/>
  <c r="W266" i="4"/>
  <c r="O287" i="4"/>
  <c r="R287" i="4"/>
  <c r="S287" i="4"/>
  <c r="T287" i="4"/>
  <c r="U287" i="4"/>
  <c r="V287" i="4"/>
  <c r="W287" i="4"/>
  <c r="O269" i="4"/>
  <c r="R269" i="4"/>
  <c r="S269" i="4"/>
  <c r="T269" i="4"/>
  <c r="U269" i="4"/>
  <c r="V269" i="4"/>
  <c r="W269" i="4"/>
  <c r="O281" i="4"/>
  <c r="R281" i="4"/>
  <c r="S281" i="4"/>
  <c r="T281" i="4"/>
  <c r="U281" i="4"/>
  <c r="V281" i="4"/>
  <c r="W281" i="4"/>
  <c r="O265" i="4"/>
  <c r="R265" i="4"/>
  <c r="S265" i="4"/>
  <c r="T265" i="4"/>
  <c r="U265" i="4"/>
  <c r="V265" i="4"/>
  <c r="W265" i="4"/>
  <c r="O275" i="4"/>
  <c r="R275" i="4"/>
  <c r="S275" i="4"/>
  <c r="T275" i="4"/>
  <c r="U275" i="4"/>
  <c r="V275" i="4"/>
  <c r="W275" i="4"/>
  <c r="O276" i="4"/>
  <c r="R276" i="4"/>
  <c r="S276" i="4"/>
  <c r="T276" i="4"/>
  <c r="U276" i="4"/>
  <c r="V276" i="4"/>
  <c r="W276" i="4"/>
  <c r="O256" i="4"/>
  <c r="R256" i="4"/>
  <c r="S256" i="4"/>
  <c r="T256" i="4"/>
  <c r="U256" i="4"/>
  <c r="V256" i="4"/>
  <c r="W256" i="4"/>
  <c r="O286" i="4"/>
  <c r="R286" i="4"/>
  <c r="S286" i="4"/>
  <c r="T286" i="4"/>
  <c r="U286" i="4"/>
  <c r="V286" i="4"/>
  <c r="W286" i="4"/>
  <c r="O285" i="4"/>
  <c r="R285" i="4"/>
  <c r="S285" i="4"/>
  <c r="T285" i="4"/>
  <c r="U285" i="4"/>
  <c r="V285" i="4"/>
  <c r="W285" i="4"/>
  <c r="O264" i="4"/>
  <c r="R264" i="4"/>
  <c r="S264" i="4"/>
  <c r="T264" i="4"/>
  <c r="U264" i="4"/>
  <c r="V264" i="4"/>
  <c r="W264" i="4"/>
  <c r="O274" i="4"/>
  <c r="R274" i="4"/>
  <c r="S274" i="4"/>
  <c r="T274" i="4"/>
  <c r="U274" i="4"/>
  <c r="V274" i="4"/>
  <c r="W274" i="4"/>
  <c r="O268" i="4"/>
  <c r="R268" i="4"/>
  <c r="S268" i="4"/>
  <c r="T268" i="4"/>
  <c r="U268" i="4"/>
  <c r="V268" i="4"/>
  <c r="W268" i="4"/>
  <c r="O260" i="4"/>
  <c r="R260" i="4"/>
  <c r="S260" i="4"/>
  <c r="T260" i="4"/>
  <c r="U260" i="4"/>
  <c r="V260" i="4"/>
  <c r="W260" i="4"/>
  <c r="O263" i="4"/>
  <c r="R263" i="4"/>
  <c r="S263" i="4"/>
  <c r="T263" i="4"/>
  <c r="U263" i="4"/>
  <c r="V263" i="4"/>
  <c r="W263" i="4"/>
  <c r="O261" i="4"/>
  <c r="R261" i="4"/>
  <c r="S261" i="4"/>
  <c r="T261" i="4"/>
  <c r="U261" i="4"/>
  <c r="V261" i="4"/>
  <c r="W261" i="4"/>
  <c r="O277" i="4"/>
  <c r="R277" i="4"/>
  <c r="S277" i="4"/>
  <c r="T277" i="4"/>
  <c r="U277" i="4"/>
  <c r="V277" i="4"/>
  <c r="W277" i="4"/>
  <c r="O267" i="4"/>
  <c r="R267" i="4"/>
  <c r="S267" i="4"/>
  <c r="T267" i="4"/>
  <c r="U267" i="4"/>
  <c r="V267" i="4"/>
  <c r="W267" i="4"/>
  <c r="O279" i="4"/>
  <c r="R279" i="4"/>
  <c r="S279" i="4"/>
  <c r="T279" i="4"/>
  <c r="U279" i="4"/>
  <c r="V279" i="4"/>
  <c r="W279" i="4"/>
  <c r="O272" i="4"/>
  <c r="R272" i="4"/>
  <c r="S272" i="4"/>
  <c r="T272" i="4"/>
  <c r="U272" i="4"/>
  <c r="V272" i="4"/>
  <c r="W272" i="4"/>
  <c r="O271" i="4"/>
  <c r="R271" i="4"/>
  <c r="S271" i="4"/>
  <c r="T271" i="4"/>
  <c r="U271" i="4"/>
  <c r="V271" i="4"/>
  <c r="W271" i="4"/>
  <c r="O273" i="4"/>
  <c r="R273" i="4"/>
  <c r="S273" i="4"/>
  <c r="T273" i="4"/>
  <c r="U273" i="4"/>
  <c r="V273" i="4"/>
  <c r="W273" i="4"/>
  <c r="O280" i="4"/>
  <c r="R280" i="4"/>
  <c r="S280" i="4"/>
  <c r="T280" i="4"/>
  <c r="U280" i="4"/>
  <c r="V280" i="4"/>
  <c r="W280" i="4"/>
  <c r="O278" i="4"/>
  <c r="R278" i="4"/>
  <c r="S278" i="4"/>
  <c r="T278" i="4"/>
  <c r="U278" i="4"/>
  <c r="V278" i="4"/>
  <c r="W278" i="4"/>
  <c r="O284" i="4"/>
  <c r="R284" i="4"/>
  <c r="S284" i="4"/>
  <c r="T284" i="4"/>
  <c r="U284" i="4"/>
  <c r="V284" i="4"/>
  <c r="W284" i="4"/>
  <c r="O288" i="4"/>
  <c r="R288" i="4"/>
  <c r="S288" i="4"/>
  <c r="T288" i="4"/>
  <c r="U288" i="4"/>
  <c r="V288" i="4"/>
  <c r="W288" i="4"/>
  <c r="O255" i="4"/>
  <c r="R255" i="4"/>
  <c r="S255" i="4"/>
  <c r="T255" i="4"/>
  <c r="U255" i="4"/>
  <c r="V255" i="4"/>
  <c r="W255" i="4"/>
  <c r="O270" i="4"/>
  <c r="R270" i="4"/>
  <c r="S270" i="4"/>
  <c r="T270" i="4"/>
  <c r="U270" i="4"/>
  <c r="V270" i="4"/>
  <c r="W27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tc={1BA32E9B-D0DE-4E3A-99EA-699DBDFAC3C2}</author>
  </authors>
  <commentList>
    <comment ref="F2" authorId="0" shapeId="0" xr:uid="{1BA32E9B-D0DE-4E3A-99EA-699DBDFAC3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tc={0B04E303-E462-4D1A-B753-0273328B7E36}</author>
  </authors>
  <commentList>
    <comment ref="F2" authorId="0" shapeId="0" xr:uid="{0B04E303-E462-4D1A-B753-0273328B7E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tc={5B76CBE9-0D33-4A4D-A9AB-DFC6216122A7}</author>
  </authors>
  <commentList>
    <comment ref="F2" authorId="0" shapeId="0" xr:uid="{5B76CBE9-0D33-4A4D-A9AB-DFC6216122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tc={424D909C-EB74-419B-96B9-71DDDD1E5381}</author>
    <author>tc={477B20A6-48E1-4EB1-ACE8-CB5BFE4D1746}</author>
    <author>Author</author>
  </authors>
  <commentList>
    <comment ref="F2" authorId="0" shapeId="0" xr:uid="{424D909C-EB74-419B-96B9-71DDDD1E53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  <comment ref="G2" authorId="1" shapeId="0" xr:uid="{477B20A6-48E1-4EB1-ACE8-CB5BFE4D17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System Loading Weight (fixed)
</t>
      </text>
    </comment>
    <comment ref="G11" authorId="2" shapeId="0" xr:uid="{CFEC2B25-CF05-4CF9-96F4-BE5C87C9EC4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Volumetric weight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tc={758FCBBB-46CD-4A2C-A50B-42798231690C}</author>
  </authors>
  <commentList>
    <comment ref="F2" authorId="0" shapeId="0" xr:uid="{758FCBBB-46CD-4A2C-A50B-4279823169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sharedStrings.xml><?xml version="1.0" encoding="utf-8"?>
<sst xmlns="http://schemas.openxmlformats.org/spreadsheetml/2006/main" count="3601" uniqueCount="793">
  <si>
    <t>MANUAL ENTRIES HERE</t>
  </si>
  <si>
    <t>Box 1 Dimension Details</t>
  </si>
  <si>
    <t>Box 2 Dimension Details</t>
  </si>
  <si>
    <t>Box 3 Dimension Details</t>
  </si>
  <si>
    <t>Vol.Wht</t>
  </si>
  <si>
    <t>Total Weight</t>
  </si>
  <si>
    <t>Chg.Wht</t>
  </si>
  <si>
    <t xml:space="preserve">Theoretical Weight </t>
  </si>
  <si>
    <t>Long</t>
  </si>
  <si>
    <t>Med</t>
  </si>
  <si>
    <t>Smal</t>
  </si>
  <si>
    <t>Actual.Wht</t>
  </si>
  <si>
    <t>CBF</t>
  </si>
  <si>
    <t>Phys.Wht</t>
  </si>
  <si>
    <t>Wht(Kgs)</t>
  </si>
  <si>
    <t>Difference</t>
  </si>
  <si>
    <t>Diff %</t>
  </si>
  <si>
    <t>KG/CBF</t>
  </si>
  <si>
    <t>Remark</t>
  </si>
  <si>
    <t>MTP SKU Code</t>
  </si>
  <si>
    <t>SB/MB</t>
  </si>
  <si>
    <t>Lcm</t>
  </si>
  <si>
    <t>Bcm</t>
  </si>
  <si>
    <t>Hcm</t>
  </si>
  <si>
    <t>PW(gm)</t>
  </si>
  <si>
    <t>Lcm2</t>
  </si>
  <si>
    <t>Bcm3</t>
  </si>
  <si>
    <t>Hcm4</t>
  </si>
  <si>
    <t>PW(gm)5</t>
  </si>
  <si>
    <t>Lcm6</t>
  </si>
  <si>
    <t>Bcm7</t>
  </si>
  <si>
    <t>Hcm8</t>
  </si>
  <si>
    <t>PW(gm)9</t>
  </si>
  <si>
    <t>Column15</t>
  </si>
  <si>
    <t>Kgs</t>
  </si>
  <si>
    <t>Gms</t>
  </si>
  <si>
    <t>Kgs10</t>
  </si>
  <si>
    <t>Column11</t>
  </si>
  <si>
    <t>Column12</t>
  </si>
  <si>
    <t>Column13</t>
  </si>
  <si>
    <t>Column14</t>
  </si>
  <si>
    <t>Column16</t>
  </si>
  <si>
    <t>x</t>
  </si>
  <si>
    <t>B-MLT-KT</t>
  </si>
  <si>
    <t>MB</t>
  </si>
  <si>
    <t>phy. not avilable</t>
  </si>
  <si>
    <t>B-MLT-QT</t>
  </si>
  <si>
    <t>ok</t>
  </si>
  <si>
    <t>B-POL-KN</t>
  </si>
  <si>
    <t>B-POL-KT</t>
  </si>
  <si>
    <t>B-POL-QN</t>
  </si>
  <si>
    <t>B-POL-QT</t>
  </si>
  <si>
    <t>B-POL-SN</t>
  </si>
  <si>
    <t>B-RVB-D30N</t>
  </si>
  <si>
    <t> </t>
  </si>
  <si>
    <t>B-RVB-D36N</t>
  </si>
  <si>
    <t>SB</t>
  </si>
  <si>
    <t>B-RVB-KN</t>
  </si>
  <si>
    <t>B-RVB-QN</t>
  </si>
  <si>
    <t>B-RVB-SN</t>
  </si>
  <si>
    <t>BT-CO</t>
  </si>
  <si>
    <t>BT-HE</t>
  </si>
  <si>
    <t>BT-LE-B</t>
  </si>
  <si>
    <t>`</t>
  </si>
  <si>
    <t>BT-LE-S</t>
  </si>
  <si>
    <t>BT-OL</t>
  </si>
  <si>
    <t>BT-OL-D</t>
  </si>
  <si>
    <t>CMB-RELO</t>
  </si>
  <si>
    <t>CT-ATD-LA</t>
  </si>
  <si>
    <t>CT-ATD</t>
  </si>
  <si>
    <t>CT-ATD-ST</t>
  </si>
  <si>
    <t>CT-DOV</t>
  </si>
  <si>
    <t>CT-ETE</t>
  </si>
  <si>
    <t>CT-GSE-RT</t>
  </si>
  <si>
    <t>CT-GSE-RT2</t>
  </si>
  <si>
    <t>CT-GSE-SQ</t>
  </si>
  <si>
    <t>CT-GSE-SQ2</t>
  </si>
  <si>
    <t>CT-KV-RT</t>
  </si>
  <si>
    <t>CT-KV-SQ</t>
  </si>
  <si>
    <t>CT-LE</t>
  </si>
  <si>
    <t>CT-MD-RT</t>
  </si>
  <si>
    <t>CT-MD-SQ</t>
  </si>
  <si>
    <t>CT-MT-RO</t>
  </si>
  <si>
    <t>CT-MT-RT</t>
  </si>
  <si>
    <t>CT-MT-SQ</t>
  </si>
  <si>
    <t>CT-NO-RT</t>
  </si>
  <si>
    <t>CT-NO-SQ</t>
  </si>
  <si>
    <t>CT-OL</t>
  </si>
  <si>
    <t>CT-OSN-OV</t>
  </si>
  <si>
    <t>CT-OSN-RT</t>
  </si>
  <si>
    <t>CT-SH</t>
  </si>
  <si>
    <t>CT-SY</t>
  </si>
  <si>
    <t>CT-TLY</t>
  </si>
  <si>
    <t>CT-TR-RT</t>
  </si>
  <si>
    <t>CT-TR-RTS</t>
  </si>
  <si>
    <t>CT-TYU</t>
  </si>
  <si>
    <t>CT-VC</t>
  </si>
  <si>
    <t>DC-CLV</t>
  </si>
  <si>
    <t>DC-MYN-LA</t>
  </si>
  <si>
    <t>DC-MYN-ST</t>
  </si>
  <si>
    <t>DT-GRA</t>
  </si>
  <si>
    <t>DT-HE-3</t>
  </si>
  <si>
    <t>DT-HE-4</t>
  </si>
  <si>
    <t>DT-MR</t>
  </si>
  <si>
    <t>FT-EDR</t>
  </si>
  <si>
    <t>GH-CE</t>
  </si>
  <si>
    <t>GH-IS</t>
  </si>
  <si>
    <t>KH-EDL</t>
  </si>
  <si>
    <t>KH-LKN-6</t>
  </si>
  <si>
    <t>KH-RMT</t>
  </si>
  <si>
    <t>KH-RZ</t>
  </si>
  <si>
    <t>KHS-SW-W1</t>
  </si>
  <si>
    <t>KH-SW-W10</t>
  </si>
  <si>
    <t>KH-SW-W21</t>
  </si>
  <si>
    <t>KH-SW-WB</t>
  </si>
  <si>
    <t>KH-TO-18</t>
  </si>
  <si>
    <t>KH-TO-40</t>
  </si>
  <si>
    <t>KH-VD</t>
  </si>
  <si>
    <t>KH-WLR</t>
  </si>
  <si>
    <t>KR-JSD</t>
  </si>
  <si>
    <t>LT-FN</t>
  </si>
  <si>
    <t>MD-TNO-L</t>
  </si>
  <si>
    <t>MD-TNO-S</t>
  </si>
  <si>
    <t>PF-MIS-RT</t>
  </si>
  <si>
    <t>PF-NAH-RO</t>
  </si>
  <si>
    <t>PU-SDI-ST</t>
  </si>
  <si>
    <t>RH-OT</t>
  </si>
  <si>
    <t>RH-RL</t>
  </si>
  <si>
    <t>RH-SU-2-2</t>
  </si>
  <si>
    <t>RH-SU-4</t>
  </si>
  <si>
    <t>RT-ALY</t>
  </si>
  <si>
    <t>RT-AT</t>
  </si>
  <si>
    <t>RT-DR</t>
  </si>
  <si>
    <t>RT-FR</t>
  </si>
  <si>
    <t>RT-RI</t>
  </si>
  <si>
    <t>RT-RI-M</t>
  </si>
  <si>
    <t>RT-T</t>
  </si>
  <si>
    <t>S-AB</t>
  </si>
  <si>
    <t>S-AE</t>
  </si>
  <si>
    <t>S-AI</t>
  </si>
  <si>
    <t>S-AO</t>
  </si>
  <si>
    <t>S-ATL</t>
  </si>
  <si>
    <t>SB-AA</t>
  </si>
  <si>
    <t>SB-AL-2</t>
  </si>
  <si>
    <t>SB-AL-4</t>
  </si>
  <si>
    <t>SB-ASG</t>
  </si>
  <si>
    <t>SB-AXA-4</t>
  </si>
  <si>
    <t>SB-AXA-51</t>
  </si>
  <si>
    <t>SB-AXA-52</t>
  </si>
  <si>
    <t>SB-CA</t>
  </si>
  <si>
    <t>SB-CB</t>
  </si>
  <si>
    <t>SB-CB.P-T</t>
  </si>
  <si>
    <t>SB-CS-LA</t>
  </si>
  <si>
    <t>SB-CS-ST</t>
  </si>
  <si>
    <t>SB-JMY</t>
  </si>
  <si>
    <t>SB-LGN</t>
  </si>
  <si>
    <t>SB-MOL</t>
  </si>
  <si>
    <t>SB-MPL</t>
  </si>
  <si>
    <t>SB-MXL-LA</t>
  </si>
  <si>
    <t>SB-MXL-ST</t>
  </si>
  <si>
    <t>SB-NBK</t>
  </si>
  <si>
    <t>SB-OS</t>
  </si>
  <si>
    <t>SB-PH</t>
  </si>
  <si>
    <t>S-BR-4</t>
  </si>
  <si>
    <t>S-BR-6</t>
  </si>
  <si>
    <t>S-BR-F6</t>
  </si>
  <si>
    <t>SB-SML</t>
  </si>
  <si>
    <t>SB-SN-D</t>
  </si>
  <si>
    <t>SB-SN-N</t>
  </si>
  <si>
    <t>SB-WA</t>
  </si>
  <si>
    <t>SB-WA-WM</t>
  </si>
  <si>
    <t>SB-WLB</t>
  </si>
  <si>
    <t>S-CC</t>
  </si>
  <si>
    <t>S-CK-2</t>
  </si>
  <si>
    <t>S-CRF</t>
  </si>
  <si>
    <t>S-ERA</t>
  </si>
  <si>
    <t>S-ETN</t>
  </si>
  <si>
    <t>S-FE-W2</t>
  </si>
  <si>
    <t>S-GRB</t>
  </si>
  <si>
    <t>SH-CHR</t>
  </si>
  <si>
    <t>S-JVS</t>
  </si>
  <si>
    <t>S-LC</t>
  </si>
  <si>
    <t>S-LO</t>
  </si>
  <si>
    <t>SL-VE-18</t>
  </si>
  <si>
    <t>SL-VE-P</t>
  </si>
  <si>
    <t>S-MO-3</t>
  </si>
  <si>
    <t>S-MO-5</t>
  </si>
  <si>
    <t>S-PTE</t>
  </si>
  <si>
    <t>S-PTE-W</t>
  </si>
  <si>
    <t>SR-BKN-2</t>
  </si>
  <si>
    <t>SR-CLE</t>
  </si>
  <si>
    <t>SR-CLM-2</t>
  </si>
  <si>
    <t>SR-CLM-3</t>
  </si>
  <si>
    <t>SR-CLM-T</t>
  </si>
  <si>
    <t>SR-KPN</t>
  </si>
  <si>
    <t>SR-LRL</t>
  </si>
  <si>
    <t>SR-MVS</t>
  </si>
  <si>
    <t>SR-OLY</t>
  </si>
  <si>
    <t>SR-PRG</t>
  </si>
  <si>
    <t>SR-WHTO</t>
  </si>
  <si>
    <t>S-RY</t>
  </si>
  <si>
    <t>S-SB-S3</t>
  </si>
  <si>
    <t>S-T-16S4</t>
  </si>
  <si>
    <t>ST-AML</t>
  </si>
  <si>
    <t>ST-CBN</t>
  </si>
  <si>
    <t>ST-CBN-LS</t>
  </si>
  <si>
    <t>ST-CBN-S</t>
  </si>
  <si>
    <t>ST-CND-LA</t>
  </si>
  <si>
    <t>ST-CND-ST</t>
  </si>
  <si>
    <t>S-TCW-10P2</t>
  </si>
  <si>
    <t>S-TCW-8P2</t>
  </si>
  <si>
    <t>ST-EFI-LA</t>
  </si>
  <si>
    <t>ST-EFI-ST</t>
  </si>
  <si>
    <t>ST-GSE-LA</t>
  </si>
  <si>
    <t>ST-GSE-ST</t>
  </si>
  <si>
    <t>ST-GSE-WMN</t>
  </si>
  <si>
    <t>ST-GSE-WMS</t>
  </si>
  <si>
    <t>ST-GSE-WMSF</t>
  </si>
  <si>
    <t>ST-GSE-WMSW</t>
  </si>
  <si>
    <t>ST-HE</t>
  </si>
  <si>
    <t>ST-HES</t>
  </si>
  <si>
    <t>ST-KYA</t>
  </si>
  <si>
    <t>ST-MLM-L</t>
  </si>
  <si>
    <t>ST-MLM-N</t>
  </si>
  <si>
    <t>ST-RDO</t>
  </si>
  <si>
    <t>ST-RE</t>
  </si>
  <si>
    <t>S-TW12-S4</t>
  </si>
  <si>
    <t>ST-WLD</t>
  </si>
  <si>
    <t>S-XD</t>
  </si>
  <si>
    <t>TP-MTA</t>
  </si>
  <si>
    <t>TS-FV</t>
  </si>
  <si>
    <t>TS-NL</t>
  </si>
  <si>
    <t>TS-NL-A</t>
  </si>
  <si>
    <t>TU-ARO-LA</t>
  </si>
  <si>
    <t>TU-ARO-ST</t>
  </si>
  <si>
    <t>TU-ATD</t>
  </si>
  <si>
    <t>TU-AYL</t>
  </si>
  <si>
    <t>TU-BKMT</t>
  </si>
  <si>
    <t>TU-BKY</t>
  </si>
  <si>
    <t>TU-BVN</t>
  </si>
  <si>
    <t>TU-CBR-LA</t>
  </si>
  <si>
    <t>TU-CBR-ST</t>
  </si>
  <si>
    <t>TU-CRL</t>
  </si>
  <si>
    <t>TU-DAR</t>
  </si>
  <si>
    <t>TU-DRN</t>
  </si>
  <si>
    <t>TU-DSK</t>
  </si>
  <si>
    <t>TU-ETY-LA</t>
  </si>
  <si>
    <t>TU-ETY-M</t>
  </si>
  <si>
    <t>TU-ETY-ST</t>
  </si>
  <si>
    <t>TU-FL</t>
  </si>
  <si>
    <t>TU-GAU</t>
  </si>
  <si>
    <t>TU-HMD</t>
  </si>
  <si>
    <t>TU-KU-LA</t>
  </si>
  <si>
    <t>TU-KU-ST</t>
  </si>
  <si>
    <t>TU-KVD-LA</t>
  </si>
  <si>
    <t>TU-KVD-ST</t>
  </si>
  <si>
    <t>TU-LE</t>
  </si>
  <si>
    <t>TU-MA-LA</t>
  </si>
  <si>
    <t>TU-MA-ST</t>
  </si>
  <si>
    <t>TU-MLE</t>
  </si>
  <si>
    <t>TU-MYN</t>
  </si>
  <si>
    <t>TU-NVH-M</t>
  </si>
  <si>
    <t>TU-NVH-ST</t>
  </si>
  <si>
    <t>TU-OL</t>
  </si>
  <si>
    <t>TU-PMG-LA</t>
  </si>
  <si>
    <t>TU-PMG-ST</t>
  </si>
  <si>
    <t>TU-PM-LA</t>
  </si>
  <si>
    <t>TU-PMP-L</t>
  </si>
  <si>
    <t>TU-PMP-S</t>
  </si>
  <si>
    <t>TU-PMS-LA</t>
  </si>
  <si>
    <t>TU-PMS-ST</t>
  </si>
  <si>
    <t>TU-PM-ST</t>
  </si>
  <si>
    <t>TU-PR</t>
  </si>
  <si>
    <t>TU-PTL</t>
  </si>
  <si>
    <t>TU-RE-LA</t>
  </si>
  <si>
    <t>TU-RE-ST</t>
  </si>
  <si>
    <t>TU-RWT-LA</t>
  </si>
  <si>
    <t>TU-RWT-M</t>
  </si>
  <si>
    <t>TU-RYE-LA</t>
  </si>
  <si>
    <t>TU-RYE-ST</t>
  </si>
  <si>
    <t>TU-SKD</t>
  </si>
  <si>
    <t>TU-SNQ-LA</t>
  </si>
  <si>
    <t>TU-TK-LA</t>
  </si>
  <si>
    <t>TU-TK-ST</t>
  </si>
  <si>
    <t>TU-TP</t>
  </si>
  <si>
    <t>TU-TT-L</t>
  </si>
  <si>
    <t>TU-TT-S</t>
  </si>
  <si>
    <t>TU-VC</t>
  </si>
  <si>
    <t>TU-WBM</t>
  </si>
  <si>
    <t>WA-BLS</t>
  </si>
  <si>
    <t>WA-CCI.P-DW</t>
  </si>
  <si>
    <t>WA-FBA.P-DW</t>
  </si>
  <si>
    <t>W-AND-10N</t>
  </si>
  <si>
    <t>W-AND-11N</t>
  </si>
  <si>
    <t>W-AND-12N</t>
  </si>
  <si>
    <t>W-AND-2M</t>
  </si>
  <si>
    <t>W-AND-2N</t>
  </si>
  <si>
    <t>W-AND-3M</t>
  </si>
  <si>
    <t>W-AND-3N</t>
  </si>
  <si>
    <t>W-AND-4M</t>
  </si>
  <si>
    <t>W-AND-4N</t>
  </si>
  <si>
    <t>W-MLT-2N</t>
  </si>
  <si>
    <t>W-MLT-3N</t>
  </si>
  <si>
    <t>W-MLT-4N</t>
  </si>
  <si>
    <t>WT-EA</t>
  </si>
  <si>
    <t>KH-SUT-5</t>
  </si>
  <si>
    <t>KH-SUT-10</t>
  </si>
  <si>
    <t>KH-SUT-21</t>
  </si>
  <si>
    <t>TU-BKY-ST</t>
  </si>
  <si>
    <t>TU-WBM-ST</t>
  </si>
  <si>
    <t>KH-TOC-18</t>
  </si>
  <si>
    <t>KH-TOC-40</t>
  </si>
  <si>
    <t>SR-BKN-T</t>
  </si>
  <si>
    <t>TS-NL-ST</t>
  </si>
  <si>
    <t>TS-NL-LA</t>
  </si>
  <si>
    <t>WA-PYS-S</t>
  </si>
  <si>
    <t>WA-PYS-N</t>
  </si>
  <si>
    <t>SH-YBO</t>
  </si>
  <si>
    <t>SH-DVN</t>
  </si>
  <si>
    <t>ST-CBN-P</t>
  </si>
  <si>
    <t>BT-NHE</t>
  </si>
  <si>
    <t>KC-OPT-1N</t>
  </si>
  <si>
    <t>KC-OPT-1S</t>
  </si>
  <si>
    <t>KC-SRN</t>
  </si>
  <si>
    <t>SR-BKN-H</t>
  </si>
  <si>
    <t>SR-MVS-IT</t>
  </si>
  <si>
    <t>W-BNO</t>
  </si>
  <si>
    <t>W-CLO-345</t>
  </si>
  <si>
    <t>W-CLO-3</t>
  </si>
  <si>
    <t>W-CLO-4</t>
  </si>
  <si>
    <t>W-CLO-5</t>
  </si>
  <si>
    <t>W-MLT-M</t>
  </si>
  <si>
    <t>KC-OPT-2N</t>
  </si>
  <si>
    <t>KC-OPT-2S</t>
  </si>
  <si>
    <t>SR-MVS-I</t>
  </si>
  <si>
    <t>SR-MVS-T</t>
  </si>
  <si>
    <t>B-MLT-D30T</t>
  </si>
  <si>
    <t>PU-SNM</t>
  </si>
  <si>
    <t>SB-BNA</t>
  </si>
  <si>
    <t>SR-FYN</t>
  </si>
  <si>
    <t>TU-SKDL</t>
  </si>
  <si>
    <t>SB-VNO</t>
  </si>
  <si>
    <t>SF-WBR-4LI</t>
  </si>
  <si>
    <t>SH-GTA</t>
  </si>
  <si>
    <t>PU-SUB</t>
  </si>
  <si>
    <t>SR-WMO</t>
  </si>
  <si>
    <t>ST-RDO-ST</t>
  </si>
  <si>
    <t>PU-SUB-ST</t>
  </si>
  <si>
    <t>PU-DRV</t>
  </si>
  <si>
    <t>SH-DVN-ST</t>
  </si>
  <si>
    <t>Sys.Wht</t>
  </si>
  <si>
    <t>Wht (Kgs)</t>
  </si>
  <si>
    <t>Ok</t>
  </si>
  <si>
    <t>ok.</t>
  </si>
  <si>
    <t>Chack</t>
  </si>
  <si>
    <t>RT-NR</t>
  </si>
  <si>
    <t>S-BR-N6</t>
  </si>
  <si>
    <t>S-CRN</t>
  </si>
  <si>
    <t>S-NE-W2</t>
  </si>
  <si>
    <t>Pending</t>
  </si>
  <si>
    <t>SR-KPN-3</t>
  </si>
  <si>
    <t>NF</t>
  </si>
  <si>
    <t>SR-KPN-FW</t>
  </si>
  <si>
    <t>SR-OLY-2</t>
  </si>
  <si>
    <t>ST-ENI-LA</t>
  </si>
  <si>
    <t>ST-ENI-ST</t>
  </si>
  <si>
    <t>TS-NV</t>
  </si>
  <si>
    <t>TU-PMN-ST</t>
  </si>
  <si>
    <t>CT-CTA.P-LN</t>
  </si>
  <si>
    <t>NT-EDR</t>
  </si>
  <si>
    <t>LT-NN</t>
  </si>
  <si>
    <t>ok ( PU-SDI-STMF )</t>
  </si>
  <si>
    <t>TU-HMD.O</t>
  </si>
  <si>
    <t>ok ( TU-HMD )</t>
  </si>
  <si>
    <t>TU-SNQ-ST</t>
  </si>
  <si>
    <t>CT-ATD-M</t>
  </si>
  <si>
    <t>PN-MIS-RT</t>
  </si>
  <si>
    <t>PN-NAH-RO</t>
  </si>
  <si>
    <t>PF-NAH-RTN</t>
  </si>
  <si>
    <t>PF-NAH-RTF</t>
  </si>
  <si>
    <t>ok ( SB-ASG-H )</t>
  </si>
  <si>
    <t>TU-SKD-L</t>
  </si>
  <si>
    <t>CBN</t>
  </si>
  <si>
    <t>KG/CBN</t>
  </si>
  <si>
    <t>CT-TR-RTL</t>
  </si>
  <si>
    <t>KH-AM</t>
  </si>
  <si>
    <t>LT-NN-WN</t>
  </si>
  <si>
    <t>LT-GRA</t>
  </si>
  <si>
    <t>M-AK-B</t>
  </si>
  <si>
    <t>PC-SM-L</t>
  </si>
  <si>
    <t>PC-SM-S</t>
  </si>
  <si>
    <t>ST-GSE-WMSN</t>
  </si>
  <si>
    <t>TU-NL</t>
  </si>
  <si>
    <t>WA-NBA.P-DW</t>
  </si>
  <si>
    <t>CT-TYU.E-MI</t>
  </si>
  <si>
    <t>SR-CLM-T  </t>
  </si>
  <si>
    <t>Guidelines</t>
  </si>
  <si>
    <t>Put actual physical dimensions and weights only on 'Dimensions Audit' Sheet</t>
  </si>
  <si>
    <t>Do not make any change in 'Dimension Master' Shee</t>
  </si>
  <si>
    <t>Only changes to manage weights and dimensions to be done in 'dimension master' manually. Mark all such changes in RED TEXT</t>
  </si>
  <si>
    <t xml:space="preserve">Connect all logistics order dispatches and billing  data from Dimensions Master sheet </t>
  </si>
  <si>
    <t>ACTUALS - Feb.19</t>
  </si>
  <si>
    <t>ACTUALS</t>
  </si>
  <si>
    <t>BOM Audit</t>
  </si>
  <si>
    <t>Dec-18 Data</t>
  </si>
  <si>
    <t>Audit</t>
  </si>
  <si>
    <t>seller-sku</t>
  </si>
  <si>
    <t>30S</t>
  </si>
  <si>
    <t>B/T</t>
  </si>
  <si>
    <t>Chk</t>
  </si>
  <si>
    <t>CBM</t>
  </si>
  <si>
    <t>L( in)</t>
  </si>
  <si>
    <t>B(in)</t>
  </si>
  <si>
    <t>H(in)</t>
  </si>
  <si>
    <t>PW(Kg)</t>
  </si>
  <si>
    <t>BOM WT</t>
  </si>
  <si>
    <t>Diff</t>
  </si>
  <si>
    <t>CFT</t>
  </si>
  <si>
    <t>CFT-Aud</t>
  </si>
  <si>
    <t>CS-VW-4</t>
  </si>
  <si>
    <t>CS-VW-6</t>
  </si>
  <si>
    <t>KH-ND-12</t>
  </si>
  <si>
    <t>KH-ND-6</t>
  </si>
  <si>
    <t>KH-SP-W5</t>
  </si>
  <si>
    <t>KH-SP-W9</t>
  </si>
  <si>
    <t>KH-SW-WS</t>
  </si>
  <si>
    <t>LT-MR</t>
  </si>
  <si>
    <t>LT-RD-AW</t>
  </si>
  <si>
    <t>M-AK-S</t>
  </si>
  <si>
    <t>MH-EA-4</t>
  </si>
  <si>
    <t>MH-WSB-2</t>
  </si>
  <si>
    <t>MH-WSB-3</t>
  </si>
  <si>
    <t>PC-AY-L</t>
  </si>
  <si>
    <t>PC-AY-S</t>
  </si>
  <si>
    <t>RG-SN-C1</t>
  </si>
  <si>
    <t>RG-SN-NR-P2</t>
  </si>
  <si>
    <t>RG-SN-TH</t>
  </si>
  <si>
    <t>RG-WH-SW-W4</t>
  </si>
  <si>
    <t>RG-WH-SW-W6</t>
  </si>
  <si>
    <t>RG-WSC-SW-W12</t>
  </si>
  <si>
    <t>RG-WS-SW-W18</t>
  </si>
  <si>
    <t>RG-WS-SW-W24</t>
  </si>
  <si>
    <t>RG-WS-SW-W30</t>
  </si>
  <si>
    <t>S-AX</t>
  </si>
  <si>
    <t>SB-AXA-2</t>
  </si>
  <si>
    <t>SB-AXA-31</t>
  </si>
  <si>
    <t>SB-AXA-32</t>
  </si>
  <si>
    <t>Y</t>
  </si>
  <si>
    <t>S-ED</t>
  </si>
  <si>
    <t>SL-TY-3</t>
  </si>
  <si>
    <t>SL-TY-B</t>
  </si>
  <si>
    <t>SL-TY-S</t>
  </si>
  <si>
    <t>SL-VE-24</t>
  </si>
  <si>
    <t>SR-DI-2</t>
  </si>
  <si>
    <t>SR-DI-4</t>
  </si>
  <si>
    <t>S-RG-2</t>
  </si>
  <si>
    <t>S-T-16S2</t>
  </si>
  <si>
    <t>S-TW12-12S2</t>
  </si>
  <si>
    <t>S-TW12-16S2</t>
  </si>
  <si>
    <t>S-TW12-20S2</t>
  </si>
  <si>
    <t>S-TW12-8S3</t>
  </si>
  <si>
    <t>TU-RG-S</t>
  </si>
  <si>
    <t>S-TCW-8P4</t>
  </si>
  <si>
    <t>SR-BKN-3</t>
  </si>
  <si>
    <t>SR-OLY-3</t>
  </si>
  <si>
    <t>B-POL</t>
  </si>
  <si>
    <t>SR-WHT-2</t>
  </si>
  <si>
    <t>SR-WHT-3</t>
  </si>
  <si>
    <t>B-RVB</t>
  </si>
  <si>
    <t>SB-GRS</t>
  </si>
  <si>
    <t>ST-CND</t>
  </si>
  <si>
    <t>ST-MLM</t>
  </si>
  <si>
    <t>TU-ADL</t>
  </si>
  <si>
    <t>TU-NVH-LA</t>
  </si>
  <si>
    <t>ST-MLM-WS</t>
  </si>
  <si>
    <t>BT-ML</t>
  </si>
  <si>
    <t>CT-BR-RT</t>
  </si>
  <si>
    <t>CT-BR-SQ</t>
  </si>
  <si>
    <t>CT-ML-RT</t>
  </si>
  <si>
    <t>CT-ML-SQ</t>
  </si>
  <si>
    <t>LT-ML</t>
  </si>
  <si>
    <t>S-CL</t>
  </si>
  <si>
    <t>TU-ML</t>
  </si>
  <si>
    <t>TU-RG-L</t>
  </si>
  <si>
    <t>TU-RG-LP</t>
  </si>
  <si>
    <t>LT-AD</t>
  </si>
  <si>
    <t>LT-CND</t>
  </si>
  <si>
    <t>KH-BR-S5</t>
  </si>
  <si>
    <t>Audit Remarks</t>
  </si>
  <si>
    <t>Comp</t>
  </si>
  <si>
    <t>AV-IP-01</t>
  </si>
  <si>
    <t/>
  </si>
  <si>
    <t>AV-MF-01C3</t>
  </si>
  <si>
    <t>BT-BR</t>
  </si>
  <si>
    <t>BTS-LG-12x2</t>
  </si>
  <si>
    <t>BTS-LG-18x2</t>
  </si>
  <si>
    <t>BTS-LGC-8x2</t>
  </si>
  <si>
    <t>MH-A2</t>
  </si>
  <si>
    <t>MH-A4L</t>
  </si>
  <si>
    <t>MH-A4S</t>
  </si>
  <si>
    <t>MH-A5L</t>
  </si>
  <si>
    <t>MH-A5S</t>
  </si>
  <si>
    <t>MH-A6L</t>
  </si>
  <si>
    <t>MH-A6S</t>
  </si>
  <si>
    <t>MH-A7L</t>
  </si>
  <si>
    <t>MH-A7S</t>
  </si>
  <si>
    <t>SB-CS</t>
  </si>
  <si>
    <t>SR-BR-3</t>
  </si>
  <si>
    <t>SR-BR-4</t>
  </si>
  <si>
    <t>S-TCW-S3</t>
  </si>
  <si>
    <t>S-TW15-12S2</t>
  </si>
  <si>
    <t>S-TW15-16S2</t>
  </si>
  <si>
    <t>S-TW15-20S2</t>
  </si>
  <si>
    <t>S-TW15-S3</t>
  </si>
  <si>
    <t>TU-AD</t>
  </si>
  <si>
    <t>TU-BR</t>
  </si>
  <si>
    <t>WA-AC-DAW</t>
  </si>
  <si>
    <t>WA-AC-FBW</t>
  </si>
  <si>
    <t>WA-DA-22</t>
  </si>
  <si>
    <t>WA-DA-23</t>
  </si>
  <si>
    <t>WC-MI</t>
  </si>
  <si>
    <t>WC-NI</t>
  </si>
  <si>
    <t>WC-NIA</t>
  </si>
  <si>
    <t>WP-JS-3</t>
  </si>
  <si>
    <t>WP-JS-3S</t>
  </si>
  <si>
    <t>BT-CLM</t>
  </si>
  <si>
    <t>Box 01</t>
  </si>
  <si>
    <t>Box 02</t>
  </si>
  <si>
    <t>Box 03</t>
  </si>
  <si>
    <t>Seller-sku</t>
  </si>
  <si>
    <t>L</t>
  </si>
  <si>
    <t>B</t>
  </si>
  <si>
    <t>H</t>
  </si>
  <si>
    <t>Weight kg</t>
  </si>
  <si>
    <t>B-MLT-KTFW</t>
  </si>
  <si>
    <t>B-MLT-QTFW</t>
  </si>
  <si>
    <t>B-POL-KTFW</t>
  </si>
  <si>
    <t>B-POL-QTFW</t>
  </si>
  <si>
    <t>B-POL-SNLF</t>
  </si>
  <si>
    <t>B-RVB.P-LF</t>
  </si>
  <si>
    <t>B-RVB-KNLF</t>
  </si>
  <si>
    <t>B-RVB-KNM</t>
  </si>
  <si>
    <t>B-RVB-KNW</t>
  </si>
  <si>
    <t>B-RVB-KNWF</t>
  </si>
  <si>
    <t>B-RVBL.E-M</t>
  </si>
  <si>
    <t>B-RVB-QNLF</t>
  </si>
  <si>
    <t>B-RVB-QNM</t>
  </si>
  <si>
    <t>B-RVB-QNW</t>
  </si>
  <si>
    <t>B-RVB-QNWF</t>
  </si>
  <si>
    <t>B-RVB-SNM</t>
  </si>
  <si>
    <t>BT-CO-WF</t>
  </si>
  <si>
    <t>BT-HE-W</t>
  </si>
  <si>
    <t>BT-LE-WB</t>
  </si>
  <si>
    <t>BT-LE-WS</t>
  </si>
  <si>
    <t>BT-OL-DWF</t>
  </si>
  <si>
    <t>BT-OL-W</t>
  </si>
  <si>
    <t>CMB-RELO-W</t>
  </si>
  <si>
    <t>CS-VW-CF4</t>
  </si>
  <si>
    <t>CS-VW-CF6</t>
  </si>
  <si>
    <t>CT-ATD-LAWF</t>
  </si>
  <si>
    <t>CT-ATD-SWF</t>
  </si>
  <si>
    <t>CT-CTA.P-LF</t>
  </si>
  <si>
    <t>CT-DOV-WF</t>
  </si>
  <si>
    <t>CT-GSE-RTF</t>
  </si>
  <si>
    <t>CT-GSE-RTF2</t>
  </si>
  <si>
    <t>CT-GSE-SQF</t>
  </si>
  <si>
    <t>CT-GSE-SQF2</t>
  </si>
  <si>
    <t>CT-KV-RTW</t>
  </si>
  <si>
    <t>CT-KV-SQW</t>
  </si>
  <si>
    <t>CT-LE-W</t>
  </si>
  <si>
    <t>CT-MD-RTW</t>
  </si>
  <si>
    <t>CT-MD-SQW</t>
  </si>
  <si>
    <t>CT-MT-ROW</t>
  </si>
  <si>
    <t>CT-MT-RTW</t>
  </si>
  <si>
    <t>CT-MT-SQWF</t>
  </si>
  <si>
    <t>CT-NO-RTW</t>
  </si>
  <si>
    <t>CT-NO-SQW</t>
  </si>
  <si>
    <t>CT-OL-W</t>
  </si>
  <si>
    <t>CT-OSN-OVW</t>
  </si>
  <si>
    <t>CT-OSN-RTW</t>
  </si>
  <si>
    <t>CT-SH.E-MI</t>
  </si>
  <si>
    <t>CT-SY-M</t>
  </si>
  <si>
    <t>CT-SY-W</t>
  </si>
  <si>
    <t>CT-TLY.E-MI</t>
  </si>
  <si>
    <t>CT-TR-RTWL</t>
  </si>
  <si>
    <t>CT-TR-RTWS</t>
  </si>
  <si>
    <t>CT-VC-W</t>
  </si>
  <si>
    <t>DC-CLV-MF</t>
  </si>
  <si>
    <t>DC-MYN-LAMF</t>
  </si>
  <si>
    <t>DC-MYN-STMF</t>
  </si>
  <si>
    <t>DT-GRA-W</t>
  </si>
  <si>
    <t>DT-HE-4W</t>
  </si>
  <si>
    <t>DT-HE-W</t>
  </si>
  <si>
    <t>DT-MR-W</t>
  </si>
  <si>
    <t>FT-EDR.P-WF</t>
  </si>
  <si>
    <t>GH-CE-W</t>
  </si>
  <si>
    <t>GH-IS-W</t>
  </si>
  <si>
    <t>KH-AM-W</t>
  </si>
  <si>
    <t>KH-RZ-W</t>
  </si>
  <si>
    <t>KH-TO-18W</t>
  </si>
  <si>
    <t>KH-TO-40W</t>
  </si>
  <si>
    <t>KH-VD-YF</t>
  </si>
  <si>
    <t>KR-JSD-W</t>
  </si>
  <si>
    <t>LT-FN-W</t>
  </si>
  <si>
    <t>LT-GRA-W</t>
  </si>
  <si>
    <t>LT-MR-W</t>
  </si>
  <si>
    <t>M-AK-BW</t>
  </si>
  <si>
    <t>PC-AY-LW</t>
  </si>
  <si>
    <t>PU-SDI-STMF</t>
  </si>
  <si>
    <t>RD-AW-TM</t>
  </si>
  <si>
    <t>RG-KHS-SW-W1</t>
  </si>
  <si>
    <t>RG-KH-SW-W10</t>
  </si>
  <si>
    <t>RG-KH-SW-W21</t>
  </si>
  <si>
    <t>RG-KH-SW-WB</t>
  </si>
  <si>
    <t>RH-OT-WW</t>
  </si>
  <si>
    <t>RH-RL-W</t>
  </si>
  <si>
    <t>RH-SU-B4</t>
  </si>
  <si>
    <t>RH-SU-W2-P2</t>
  </si>
  <si>
    <t>RT-ALY-W</t>
  </si>
  <si>
    <t>RT-AT-W</t>
  </si>
  <si>
    <t>RT-DR-W</t>
  </si>
  <si>
    <t>RT-FR-W</t>
  </si>
  <si>
    <t>RT-RI-MW</t>
  </si>
  <si>
    <t>RT-RI-W</t>
  </si>
  <si>
    <t>RT-T1-W</t>
  </si>
  <si>
    <t>S-AB-W4</t>
  </si>
  <si>
    <t>S-AE-W6</t>
  </si>
  <si>
    <t>S-AI-W</t>
  </si>
  <si>
    <t>S-AO-W5</t>
  </si>
  <si>
    <t>S-ATL-W</t>
  </si>
  <si>
    <t>SB-AA-WB</t>
  </si>
  <si>
    <t>SB-AA-WD</t>
  </si>
  <si>
    <t>SB-AL-2W</t>
  </si>
  <si>
    <t>SB-AL-4W</t>
  </si>
  <si>
    <t>SB-AXA-L51</t>
  </si>
  <si>
    <t>SB-AXA-W4</t>
  </si>
  <si>
    <t>SB-AXA-W52</t>
  </si>
  <si>
    <t>SB-CA-W</t>
  </si>
  <si>
    <t>SB-CB-W</t>
  </si>
  <si>
    <t>SB-CS-LAW</t>
  </si>
  <si>
    <t>SB-CS-STW</t>
  </si>
  <si>
    <t>SB-GRB-W</t>
  </si>
  <si>
    <t>SB-LGN.P-WF</t>
  </si>
  <si>
    <t>SB-MOL-W</t>
  </si>
  <si>
    <t>SB-MPL-W</t>
  </si>
  <si>
    <t>SB-MXL-LAWF</t>
  </si>
  <si>
    <t>SB-MXL-STWF</t>
  </si>
  <si>
    <t>SB-NBK.P-LF</t>
  </si>
  <si>
    <t>SB-OS-W</t>
  </si>
  <si>
    <t>SB-PH-W</t>
  </si>
  <si>
    <t>S-BR-4W</t>
  </si>
  <si>
    <t>S-BR-6W</t>
  </si>
  <si>
    <t>S-BR-F6W</t>
  </si>
  <si>
    <t>SB-SN-DW</t>
  </si>
  <si>
    <t>SB-SN-NW</t>
  </si>
  <si>
    <t>SB-WA-W</t>
  </si>
  <si>
    <t>SB-WA-WMW</t>
  </si>
  <si>
    <t>SB-WLB-MF</t>
  </si>
  <si>
    <t>SB-WLB-WF</t>
  </si>
  <si>
    <t>S-CC-WF</t>
  </si>
  <si>
    <t>S-CK-B2</t>
  </si>
  <si>
    <t>S-CRF-W</t>
  </si>
  <si>
    <t>S-ERA.P-WF</t>
  </si>
  <si>
    <t>S-ETN-WF</t>
  </si>
  <si>
    <t>S-GRB-W</t>
  </si>
  <si>
    <t>S-JVS-W</t>
  </si>
  <si>
    <t>S-LC-W</t>
  </si>
  <si>
    <t>S-LO-W5</t>
  </si>
  <si>
    <t>SL-TY-LB</t>
  </si>
  <si>
    <t>SL-TY-WB</t>
  </si>
  <si>
    <t>SL-TY-WS</t>
  </si>
  <si>
    <t>SL-VE-PW</t>
  </si>
  <si>
    <t>SL-VE-W18</t>
  </si>
  <si>
    <t>S-MO-W3</t>
  </si>
  <si>
    <t>S-MO-W5</t>
  </si>
  <si>
    <t>SR-BKN-MF</t>
  </si>
  <si>
    <t>SR-CLM-2W</t>
  </si>
  <si>
    <t>SR-CLM-3W</t>
  </si>
  <si>
    <t>SR-LRL-W</t>
  </si>
  <si>
    <t>SR-OLY-FW</t>
  </si>
  <si>
    <t>SR-WHTO-W</t>
  </si>
  <si>
    <t>S-RY-W</t>
  </si>
  <si>
    <t>S-SBW-S3</t>
  </si>
  <si>
    <t>ST-AML-MI</t>
  </si>
  <si>
    <t>ST-CBN-MF</t>
  </si>
  <si>
    <t>ST-CND-LAW</t>
  </si>
  <si>
    <t>ST-CND-STW</t>
  </si>
  <si>
    <t>ST-EFI-LAWF</t>
  </si>
  <si>
    <t>ST-EFI-STWF</t>
  </si>
  <si>
    <t>ST-GSE-LAW</t>
  </si>
  <si>
    <t>ST-GSE-STW</t>
  </si>
  <si>
    <t>ST-GSE-WMNW</t>
  </si>
  <si>
    <t>ST-HES-W</t>
  </si>
  <si>
    <t>ST-HE-W</t>
  </si>
  <si>
    <t>S-TL-16S2</t>
  </si>
  <si>
    <t>S-TL-16S4</t>
  </si>
  <si>
    <t>ST-MLM-W</t>
  </si>
  <si>
    <t>ST-RE-W</t>
  </si>
  <si>
    <t>S-TW-16S2</t>
  </si>
  <si>
    <t>S-TW-16S4</t>
  </si>
  <si>
    <t>ST-WLD.P-LF</t>
  </si>
  <si>
    <t>ST-WLD-MF</t>
  </si>
  <si>
    <t>S-XD-W</t>
  </si>
  <si>
    <t>TS-FV-W</t>
  </si>
  <si>
    <t>TS-NL-AL</t>
  </si>
  <si>
    <t>TS-NL-AW</t>
  </si>
  <si>
    <t>TS-NL-LAM</t>
  </si>
  <si>
    <t>TS-NL-STM</t>
  </si>
  <si>
    <t>TS-NL-W</t>
  </si>
  <si>
    <t>TU-ARO-LAW</t>
  </si>
  <si>
    <t>TU-ARO-W</t>
  </si>
  <si>
    <t>TU-ATD-M</t>
  </si>
  <si>
    <t>TU-ATD-WF</t>
  </si>
  <si>
    <t>TU-CBR-LAW</t>
  </si>
  <si>
    <t>TU-CBR-STW</t>
  </si>
  <si>
    <t>TU-CRL.E-MI</t>
  </si>
  <si>
    <t>TU-CRL.P-LF</t>
  </si>
  <si>
    <t>TU-CRL-W</t>
  </si>
  <si>
    <t>TU-DAR-FW</t>
  </si>
  <si>
    <t>TU-DRN-MF</t>
  </si>
  <si>
    <t>TU-ETY-LAW</t>
  </si>
  <si>
    <t>TU-ETY-MW</t>
  </si>
  <si>
    <t>TU-ETY-STWF</t>
  </si>
  <si>
    <t>TU-FL-FW</t>
  </si>
  <si>
    <t>TU-GAU-W</t>
  </si>
  <si>
    <t>TU-HMD-W</t>
  </si>
  <si>
    <t>TU-KU-LAW</t>
  </si>
  <si>
    <t>TU-KU-W</t>
  </si>
  <si>
    <t>TU-KVD-LAW</t>
  </si>
  <si>
    <t>TU-KVD-STW</t>
  </si>
  <si>
    <t>TU-LE-W</t>
  </si>
  <si>
    <t>TU-MA-LAWF</t>
  </si>
  <si>
    <t>TU-MA-STWF</t>
  </si>
  <si>
    <t>TU-MLE-W</t>
  </si>
  <si>
    <t>TU-MYN-MF</t>
  </si>
  <si>
    <t>TU-NVH-MW</t>
  </si>
  <si>
    <t>TU-NVH-W</t>
  </si>
  <si>
    <t>TU-OL-W</t>
  </si>
  <si>
    <t>TU-PMG-LAW</t>
  </si>
  <si>
    <t>TU-PMG-STW</t>
  </si>
  <si>
    <t>TU-PM-LAW</t>
  </si>
  <si>
    <t>TU-PMN-LAW</t>
  </si>
  <si>
    <t>TU-PMN-STW</t>
  </si>
  <si>
    <t>TU-PMP-LWF</t>
  </si>
  <si>
    <t>TU-PMP-SWF</t>
  </si>
  <si>
    <t>TU-PMS-LAW</t>
  </si>
  <si>
    <t>TU-PMS-STW</t>
  </si>
  <si>
    <t>TU-PM-STW</t>
  </si>
  <si>
    <t>TU-PR-W</t>
  </si>
  <si>
    <t>TU-RE-LAW</t>
  </si>
  <si>
    <t>TU-RE-STW</t>
  </si>
  <si>
    <t>TU-RWT-LAWF</t>
  </si>
  <si>
    <t>TU-RWT-MWF</t>
  </si>
  <si>
    <t>TU-RYE-LAWF</t>
  </si>
  <si>
    <t>TU-RYE-STWF</t>
  </si>
  <si>
    <t>TU-SKD-WF</t>
  </si>
  <si>
    <t>TU-SNQ.P-LAWF</t>
  </si>
  <si>
    <t>TU-SNQ.P-STWF</t>
  </si>
  <si>
    <t>TU-TK-LAWF</t>
  </si>
  <si>
    <t>TU-TK-STWF</t>
  </si>
  <si>
    <t>TU-TP-W</t>
  </si>
  <si>
    <t>TU-TT-LW</t>
  </si>
  <si>
    <t>TU-TT-SW</t>
  </si>
  <si>
    <t>TU-VC-W</t>
  </si>
  <si>
    <t>TU-WBM-MF</t>
  </si>
  <si>
    <t>WA-BLS-DW</t>
  </si>
  <si>
    <t>W-AND-10NWF</t>
  </si>
  <si>
    <t>W-AND-11NWF</t>
  </si>
  <si>
    <t>W-AND-12NWF</t>
  </si>
  <si>
    <t>W-AND-2MFW</t>
  </si>
  <si>
    <t>W-AND-2NFW</t>
  </si>
  <si>
    <t>W-AND-3MFW</t>
  </si>
  <si>
    <t>W-AND-3NFW</t>
  </si>
  <si>
    <t>W-AND-4MFW</t>
  </si>
  <si>
    <t>W-AND-4NFW</t>
  </si>
  <si>
    <t xml:space="preserve">Audit </t>
  </si>
  <si>
    <t>B1 Wt</t>
  </si>
  <si>
    <t>B2 Wt</t>
  </si>
  <si>
    <t>B3 Wt</t>
  </si>
  <si>
    <t>Tot Wt</t>
  </si>
  <si>
    <t>TU-PMN-LA</t>
  </si>
  <si>
    <t>TU-OL-CL</t>
  </si>
  <si>
    <t>TU-SKD.O</t>
  </si>
  <si>
    <t>TU-CRL.O</t>
  </si>
  <si>
    <t>W-AND-2M(O)</t>
  </si>
  <si>
    <t>W-AND-2N(O)</t>
  </si>
  <si>
    <t>W-AND-3M(O)</t>
  </si>
  <si>
    <t>W-AND-3N(O)</t>
  </si>
  <si>
    <t>W-AND-4M(O)</t>
  </si>
  <si>
    <t>W-AND-4N(O)</t>
  </si>
  <si>
    <t>TU-PM-STWDB</t>
  </si>
  <si>
    <t>BT-HE-S</t>
  </si>
  <si>
    <t>LT-FN-WF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</si>
</sst>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0.0000"/>
    <numFmt numFmtId="167" formatCode="_(* #,##0_);_(* \(#,##0\);_(* &quot;-&quot;??_);_(@_)"/>
    <numFmt numFmtId="168" formatCode="_ * #,##0_ ;_ * \-#,##0_ ;_ * &quot;-&quot;??_ ;_ @_ "/>
    <numFmt numFmtId="169" formatCode="[$-4009]General"/>
    <numFmt numFmtId="170" formatCode="_-* #,##0_-;\-* #,##0_-;_-* &quot;-&quot;??_-;_-@_-"/>
    <numFmt numFmtId="171" formatCode="0.0%"/>
    <numFmt numFmtId="172" formatCode="0.000"/>
    <numFmt numFmtId="173" formatCode="_ * #,##0.00000_ ;_ * \-#,##0.00000_ ;_ * &quot;-&quot;??_ ;_ @_ "/>
    <numFmt numFmtId="174" formatCode="_ * #,##0.00000000_ ;_ * \-#,##0.00000000_ ;_ * &quot;-&quot;??_ ;_ @_ "/>
    <numFmt numFmtId="175" formatCode="0.0"/>
    <numFmt numFmtId="176" formatCode="_(* #,##0.0_);_(* \(#,##0.0\);_(* &quot;-&quot;??_);_(@_)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u/>
      <sz val="7"/>
      <color theme="10"/>
      <name val="Arial"/>
      <family val="2"/>
    </font>
    <font>
      <u/>
      <sz val="11"/>
      <color theme="10"/>
      <name val="Calibri"/>
      <family val="2"/>
      <scheme val="minor"/>
    </font>
    <font>
      <u/>
      <sz val="7.7"/>
      <color theme="10"/>
      <name val="Calibr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0"/>
      <color rgb="FF111111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sz val="12"/>
      <color indexed="8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0"/>
      <color rgb="FF000000"/>
      <name val="Cambria"/>
      <family val="1"/>
      <scheme val="maj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Calibri"/>
      <family val="2"/>
    </font>
    <font>
      <sz val="11"/>
      <color rgb="FF000000"/>
      <name val="Calibri Light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E699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13">
    <xf numFmtId="0" fontId="0" fillId="0" borderId="0"/>
    <xf numFmtId="0" fontId="2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2" fillId="0" borderId="0"/>
    <xf numFmtId="9" fontId="6" fillId="0" borderId="0" applyFont="0" applyFill="0" applyBorder="0" applyAlignment="0" applyProtection="0"/>
    <xf numFmtId="0" fontId="17" fillId="0" borderId="0"/>
    <xf numFmtId="165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9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164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36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2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1" xfId="0" applyFont="1" applyBorder="1"/>
    <xf numFmtId="0" fontId="7" fillId="0" borderId="1" xfId="0" applyFont="1" applyBorder="1"/>
    <xf numFmtId="0" fontId="12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7" fontId="1" fillId="3" borderId="1" xfId="0" applyNumberFormat="1" applyFont="1" applyFill="1" applyBorder="1"/>
    <xf numFmtId="1" fontId="0" fillId="0" borderId="1" xfId="0" applyNumberFormat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1" fillId="4" borderId="1" xfId="0" applyFont="1" applyFill="1" applyBorder="1" applyAlignment="1">
      <alignment horizontal="left"/>
    </xf>
    <xf numFmtId="9" fontId="1" fillId="0" borderId="1" xfId="18" applyFont="1" applyBorder="1" applyAlignment="1">
      <alignment horizontal="center"/>
    </xf>
    <xf numFmtId="9" fontId="0" fillId="0" borderId="1" xfId="18" applyFont="1" applyBorder="1" applyAlignment="1">
      <alignment horizontal="center"/>
    </xf>
    <xf numFmtId="9" fontId="0" fillId="0" borderId="0" xfId="18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0" xfId="0" applyFill="1"/>
    <xf numFmtId="0" fontId="5" fillId="0" borderId="1" xfId="0" applyFont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6" fontId="0" fillId="0" borderId="1" xfId="0" applyNumberForma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1" xfId="0" applyFont="1" applyBorder="1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6" borderId="1" xfId="0" applyFill="1" applyBorder="1"/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0" xfId="0" applyFont="1"/>
    <xf numFmtId="167" fontId="23" fillId="8" borderId="1" xfId="20" applyNumberFormat="1" applyFont="1" applyFill="1" applyBorder="1" applyAlignment="1">
      <alignment horizontal="center" vertical="center"/>
    </xf>
    <xf numFmtId="43" fontId="24" fillId="8" borderId="1" xfId="20" applyNumberFormat="1" applyFont="1" applyFill="1" applyBorder="1" applyAlignment="1">
      <alignment horizontal="center" vertical="center"/>
    </xf>
    <xf numFmtId="164" fontId="23" fillId="0" borderId="0" xfId="0" applyNumberFormat="1" applyFont="1"/>
    <xf numFmtId="174" fontId="23" fillId="0" borderId="0" xfId="0" applyNumberFormat="1" applyFont="1"/>
    <xf numFmtId="173" fontId="23" fillId="0" borderId="0" xfId="0" applyNumberFormat="1" applyFont="1"/>
    <xf numFmtId="0" fontId="23" fillId="0" borderId="0" xfId="0" applyFont="1" applyAlignment="1">
      <alignment horizontal="center"/>
    </xf>
    <xf numFmtId="0" fontId="23" fillId="8" borderId="1" xfId="0" applyFont="1" applyFill="1" applyBorder="1" applyAlignment="1">
      <alignment horizontal="right" vertical="center"/>
    </xf>
    <xf numFmtId="0" fontId="23" fillId="8" borderId="0" xfId="0" applyFont="1" applyFill="1" applyAlignment="1">
      <alignment horizontal="right" vertical="center"/>
    </xf>
    <xf numFmtId="170" fontId="23" fillId="11" borderId="2" xfId="20" applyNumberFormat="1" applyFont="1" applyFill="1" applyBorder="1" applyAlignment="1">
      <alignment horizontal="right"/>
    </xf>
    <xf numFmtId="170" fontId="23" fillId="6" borderId="3" xfId="20" applyNumberFormat="1" applyFont="1" applyFill="1" applyBorder="1" applyAlignment="1">
      <alignment horizontal="right"/>
    </xf>
    <xf numFmtId="2" fontId="23" fillId="6" borderId="3" xfId="20" applyNumberFormat="1" applyFont="1" applyFill="1" applyBorder="1" applyAlignment="1">
      <alignment horizontal="right"/>
    </xf>
    <xf numFmtId="0" fontId="23" fillId="12" borderId="1" xfId="0" applyFont="1" applyFill="1" applyBorder="1" applyAlignment="1">
      <alignment horizontal="right"/>
    </xf>
    <xf numFmtId="175" fontId="23" fillId="7" borderId="1" xfId="20" applyNumberFormat="1" applyFont="1" applyFill="1" applyBorder="1" applyAlignment="1">
      <alignment horizontal="right" vertical="center"/>
    </xf>
    <xf numFmtId="1" fontId="23" fillId="7" borderId="1" xfId="20" applyNumberFormat="1" applyFont="1" applyFill="1" applyBorder="1" applyAlignment="1">
      <alignment horizontal="right" vertical="center"/>
    </xf>
    <xf numFmtId="167" fontId="23" fillId="9" borderId="1" xfId="20" applyNumberFormat="1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right"/>
    </xf>
    <xf numFmtId="0" fontId="23" fillId="6" borderId="1" xfId="0" applyFont="1" applyFill="1" applyBorder="1" applyAlignment="1">
      <alignment horizontal="right"/>
    </xf>
    <xf numFmtId="2" fontId="23" fillId="6" borderId="1" xfId="0" applyNumberFormat="1" applyFont="1" applyFill="1" applyBorder="1" applyAlignment="1">
      <alignment horizontal="right"/>
    </xf>
    <xf numFmtId="175" fontId="23" fillId="7" borderId="1" xfId="0" applyNumberFormat="1" applyFont="1" applyFill="1" applyBorder="1" applyAlignment="1">
      <alignment horizontal="right" vertical="center"/>
    </xf>
    <xf numFmtId="0" fontId="23" fillId="9" borderId="1" xfId="0" applyFont="1" applyFill="1" applyBorder="1" applyAlignment="1">
      <alignment horizontal="right" vertical="center"/>
    </xf>
    <xf numFmtId="167" fontId="23" fillId="7" borderId="1" xfId="20" applyNumberFormat="1" applyFont="1" applyFill="1" applyBorder="1" applyAlignment="1">
      <alignment horizontal="right" vertical="center"/>
    </xf>
    <xf numFmtId="167" fontId="24" fillId="10" borderId="1" xfId="20" applyNumberFormat="1" applyFont="1" applyFill="1" applyBorder="1" applyAlignment="1">
      <alignment horizontal="right" vertical="center"/>
    </xf>
    <xf numFmtId="43" fontId="24" fillId="10" borderId="1" xfId="20" applyNumberFormat="1" applyFont="1" applyFill="1" applyBorder="1" applyAlignment="1">
      <alignment horizontal="right" vertical="center"/>
    </xf>
    <xf numFmtId="167" fontId="23" fillId="11" borderId="1" xfId="0" applyNumberFormat="1" applyFont="1" applyFill="1" applyBorder="1" applyAlignment="1">
      <alignment horizontal="right"/>
    </xf>
    <xf numFmtId="171" fontId="23" fillId="11" borderId="1" xfId="18" applyNumberFormat="1" applyFont="1" applyFill="1" applyBorder="1" applyAlignment="1">
      <alignment horizontal="right"/>
    </xf>
    <xf numFmtId="172" fontId="23" fillId="6" borderId="1" xfId="18" applyNumberFormat="1" applyFont="1" applyFill="1" applyBorder="1" applyAlignment="1">
      <alignment horizontal="right"/>
    </xf>
    <xf numFmtId="2" fontId="23" fillId="6" borderId="1" xfId="18" applyNumberFormat="1" applyFont="1" applyFill="1" applyBorder="1" applyAlignment="1">
      <alignment horizontal="right"/>
    </xf>
    <xf numFmtId="175" fontId="24" fillId="7" borderId="1" xfId="20" applyNumberFormat="1" applyFont="1" applyFill="1" applyBorder="1" applyAlignment="1">
      <alignment horizontal="right" vertical="center"/>
    </xf>
    <xf numFmtId="1" fontId="24" fillId="7" borderId="1" xfId="20" applyNumberFormat="1" applyFont="1" applyFill="1" applyBorder="1" applyAlignment="1">
      <alignment horizontal="right" vertical="center"/>
    </xf>
    <xf numFmtId="43" fontId="24" fillId="7" borderId="1" xfId="20" applyNumberFormat="1" applyFont="1" applyFill="1" applyBorder="1" applyAlignment="1">
      <alignment horizontal="right" vertical="center"/>
    </xf>
    <xf numFmtId="43" fontId="24" fillId="9" borderId="1" xfId="20" applyNumberFormat="1" applyFont="1" applyFill="1" applyBorder="1" applyAlignment="1">
      <alignment horizontal="right" vertical="center"/>
    </xf>
    <xf numFmtId="167" fontId="23" fillId="10" borderId="1" xfId="20" applyNumberFormat="1" applyFont="1" applyFill="1" applyBorder="1" applyAlignment="1">
      <alignment horizontal="right" vertical="center"/>
    </xf>
    <xf numFmtId="175" fontId="23" fillId="7" borderId="0" xfId="20" applyNumberFormat="1" applyFont="1" applyFill="1" applyAlignment="1">
      <alignment horizontal="right" vertical="center"/>
    </xf>
    <xf numFmtId="1" fontId="23" fillId="7" borderId="0" xfId="20" applyNumberFormat="1" applyFont="1" applyFill="1" applyAlignment="1">
      <alignment horizontal="right" vertical="center"/>
    </xf>
    <xf numFmtId="167" fontId="23" fillId="9" borderId="0" xfId="20" applyNumberFormat="1" applyFont="1" applyFill="1" applyAlignment="1">
      <alignment horizontal="right" vertical="center"/>
    </xf>
    <xf numFmtId="167" fontId="23" fillId="10" borderId="0" xfId="20" applyNumberFormat="1" applyFont="1" applyFill="1" applyAlignment="1">
      <alignment horizontal="right" vertical="center"/>
    </xf>
    <xf numFmtId="170" fontId="23" fillId="11" borderId="0" xfId="20" applyNumberFormat="1" applyFont="1" applyFill="1" applyAlignment="1">
      <alignment horizontal="right"/>
    </xf>
    <xf numFmtId="0" fontId="23" fillId="11" borderId="0" xfId="0" applyFont="1" applyFill="1" applyAlignment="1">
      <alignment horizontal="right"/>
    </xf>
    <xf numFmtId="0" fontId="23" fillId="6" borderId="0" xfId="0" applyFont="1" applyFill="1" applyAlignment="1">
      <alignment horizontal="right"/>
    </xf>
    <xf numFmtId="2" fontId="23" fillId="6" borderId="0" xfId="0" applyNumberFormat="1" applyFont="1" applyFill="1" applyAlignment="1">
      <alignment horizontal="right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left"/>
    </xf>
    <xf numFmtId="14" fontId="0" fillId="3" borderId="0" xfId="0" applyNumberFormat="1" applyFill="1"/>
    <xf numFmtId="0" fontId="25" fillId="13" borderId="1" xfId="0" applyFont="1" applyFill="1" applyBorder="1" applyAlignment="1">
      <alignment horizontal="left"/>
    </xf>
    <xf numFmtId="0" fontId="25" fillId="12" borderId="1" xfId="0" applyFont="1" applyFill="1" applyBorder="1" applyAlignment="1">
      <alignment horizontal="center"/>
    </xf>
    <xf numFmtId="0" fontId="25" fillId="13" borderId="1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0" fontId="21" fillId="14" borderId="1" xfId="0" applyFont="1" applyFill="1" applyBorder="1"/>
    <xf numFmtId="0" fontId="21" fillId="15" borderId="1" xfId="0" applyFont="1" applyFill="1" applyBorder="1" applyAlignment="1">
      <alignment wrapText="1"/>
    </xf>
    <xf numFmtId="175" fontId="26" fillId="0" borderId="1" xfId="0" applyNumberFormat="1" applyFont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175" fontId="20" fillId="0" borderId="1" xfId="0" applyNumberFormat="1" applyFont="1" applyBorder="1" applyAlignment="1">
      <alignment horizontal="center"/>
    </xf>
    <xf numFmtId="0" fontId="21" fillId="0" borderId="1" xfId="0" applyFont="1" applyBorder="1"/>
    <xf numFmtId="0" fontId="26" fillId="0" borderId="1" xfId="0" applyFont="1" applyBorder="1"/>
    <xf numFmtId="1" fontId="21" fillId="0" borderId="1" xfId="0" applyNumberFormat="1" applyFont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175" fontId="21" fillId="14" borderId="1" xfId="0" applyNumberFormat="1" applyFont="1" applyFill="1" applyBorder="1" applyAlignment="1">
      <alignment horizontal="center"/>
    </xf>
    <xf numFmtId="0" fontId="21" fillId="15" borderId="1" xfId="0" applyFont="1" applyFill="1" applyBorder="1"/>
    <xf numFmtId="167" fontId="16" fillId="7" borderId="1" xfId="20" applyNumberFormat="1" applyFont="1" applyFill="1" applyBorder="1" applyAlignment="1">
      <alignment horizontal="right" vertical="center"/>
    </xf>
    <xf numFmtId="167" fontId="16" fillId="9" borderId="1" xfId="20" applyNumberFormat="1" applyFont="1" applyFill="1" applyBorder="1" applyAlignment="1">
      <alignment horizontal="right" vertical="center"/>
    </xf>
    <xf numFmtId="167" fontId="16" fillId="9" borderId="2" xfId="20" applyNumberFormat="1" applyFont="1" applyFill="1" applyBorder="1" applyAlignment="1">
      <alignment horizontal="right" vertical="center"/>
    </xf>
    <xf numFmtId="167" fontId="16" fillId="8" borderId="1" xfId="20" applyNumberFormat="1" applyFont="1" applyFill="1" applyBorder="1" applyAlignment="1">
      <alignment horizontal="center" vertical="center"/>
    </xf>
    <xf numFmtId="167" fontId="16" fillId="10" borderId="1" xfId="20" applyNumberFormat="1" applyFont="1" applyFill="1" applyBorder="1" applyAlignment="1">
      <alignment horizontal="right" vertical="center"/>
    </xf>
    <xf numFmtId="0" fontId="23" fillId="0" borderId="1" xfId="0" applyFont="1" applyBorder="1" applyAlignment="1">
      <alignment horizontal="left"/>
    </xf>
    <xf numFmtId="0" fontId="23" fillId="0" borderId="0" xfId="0" applyFont="1" applyAlignment="1">
      <alignment horizontal="left"/>
    </xf>
    <xf numFmtId="167" fontId="23" fillId="8" borderId="1" xfId="20" applyNumberFormat="1" applyFont="1" applyFill="1" applyBorder="1" applyAlignment="1">
      <alignment horizontal="right" vertical="center"/>
    </xf>
    <xf numFmtId="167" fontId="23" fillId="8" borderId="0" xfId="20" applyNumberFormat="1" applyFont="1" applyFill="1" applyAlignment="1">
      <alignment horizontal="right" vertical="center"/>
    </xf>
    <xf numFmtId="49" fontId="27" fillId="0" borderId="5" xfId="0" applyNumberFormat="1" applyFont="1" applyBorder="1" applyAlignment="1">
      <alignment horizontal="left"/>
    </xf>
    <xf numFmtId="0" fontId="28" fillId="0" borderId="5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/>
    </xf>
    <xf numFmtId="0" fontId="28" fillId="0" borderId="5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3" fillId="0" borderId="5" xfId="0" applyFont="1" applyBorder="1" applyAlignment="1">
      <alignment horizontal="center"/>
    </xf>
    <xf numFmtId="167" fontId="16" fillId="10" borderId="5" xfId="20" applyNumberFormat="1" applyFont="1" applyFill="1" applyBorder="1" applyAlignment="1">
      <alignment horizontal="right" vertical="center"/>
    </xf>
    <xf numFmtId="170" fontId="23" fillId="11" borderId="5" xfId="20" applyNumberFormat="1" applyFont="1" applyFill="1" applyBorder="1" applyAlignment="1">
      <alignment horizontal="right"/>
    </xf>
    <xf numFmtId="0" fontId="23" fillId="8" borderId="5" xfId="0" applyFont="1" applyFill="1" applyBorder="1" applyAlignment="1">
      <alignment horizontal="right" vertical="center"/>
    </xf>
    <xf numFmtId="167" fontId="23" fillId="8" borderId="5" xfId="20" applyNumberFormat="1" applyFont="1" applyFill="1" applyBorder="1" applyAlignment="1">
      <alignment horizontal="right" vertical="center"/>
    </xf>
    <xf numFmtId="175" fontId="23" fillId="7" borderId="5" xfId="20" applyNumberFormat="1" applyFont="1" applyFill="1" applyBorder="1" applyAlignment="1">
      <alignment horizontal="right" vertical="center"/>
    </xf>
    <xf numFmtId="1" fontId="23" fillId="7" borderId="5" xfId="20" applyNumberFormat="1" applyFont="1" applyFill="1" applyBorder="1" applyAlignment="1">
      <alignment horizontal="right" vertical="center"/>
    </xf>
    <xf numFmtId="167" fontId="23" fillId="9" borderId="5" xfId="20" applyNumberFormat="1" applyFont="1" applyFill="1" applyBorder="1" applyAlignment="1">
      <alignment horizontal="right" vertical="center"/>
    </xf>
    <xf numFmtId="0" fontId="23" fillId="11" borderId="5" xfId="0" applyFont="1" applyFill="1" applyBorder="1" applyAlignment="1">
      <alignment horizontal="right"/>
    </xf>
    <xf numFmtId="0" fontId="23" fillId="6" borderId="3" xfId="0" applyFont="1" applyFill="1" applyBorder="1" applyAlignment="1">
      <alignment horizontal="right"/>
    </xf>
    <xf numFmtId="175" fontId="23" fillId="7" borderId="5" xfId="0" applyNumberFormat="1" applyFont="1" applyFill="1" applyBorder="1" applyAlignment="1">
      <alignment horizontal="right" vertical="center"/>
    </xf>
    <xf numFmtId="0" fontId="23" fillId="9" borderId="5" xfId="0" applyFont="1" applyFill="1" applyBorder="1" applyAlignment="1">
      <alignment horizontal="right" vertical="center"/>
    </xf>
    <xf numFmtId="167" fontId="23" fillId="8" borderId="5" xfId="20" applyNumberFormat="1" applyFont="1" applyFill="1" applyBorder="1" applyAlignment="1">
      <alignment horizontal="center" vertical="center"/>
    </xf>
    <xf numFmtId="167" fontId="23" fillId="7" borderId="5" xfId="20" applyNumberFormat="1" applyFont="1" applyFill="1" applyBorder="1" applyAlignment="1">
      <alignment horizontal="right" vertical="center"/>
    </xf>
    <xf numFmtId="167" fontId="24" fillId="10" borderId="5" xfId="20" applyNumberFormat="1" applyFont="1" applyFill="1" applyBorder="1" applyAlignment="1">
      <alignment horizontal="right" vertical="center"/>
    </xf>
    <xf numFmtId="43" fontId="24" fillId="10" borderId="5" xfId="20" applyNumberFormat="1" applyFont="1" applyFill="1" applyBorder="1" applyAlignment="1">
      <alignment horizontal="right" vertical="center"/>
    </xf>
    <xf numFmtId="167" fontId="23" fillId="11" borderId="5" xfId="0" applyNumberFormat="1" applyFont="1" applyFill="1" applyBorder="1" applyAlignment="1">
      <alignment horizontal="right"/>
    </xf>
    <xf numFmtId="171" fontId="23" fillId="11" borderId="5" xfId="18" applyNumberFormat="1" applyFont="1" applyFill="1" applyBorder="1" applyAlignment="1">
      <alignment horizontal="right"/>
    </xf>
    <xf numFmtId="172" fontId="23" fillId="6" borderId="3" xfId="18" applyNumberFormat="1" applyFont="1" applyFill="1" applyBorder="1" applyAlignment="1">
      <alignment horizontal="right"/>
    </xf>
    <xf numFmtId="43" fontId="24" fillId="8" borderId="5" xfId="20" applyNumberFormat="1" applyFont="1" applyFill="1" applyBorder="1" applyAlignment="1">
      <alignment horizontal="center" vertical="center"/>
    </xf>
    <xf numFmtId="175" fontId="24" fillId="7" borderId="5" xfId="20" applyNumberFormat="1" applyFont="1" applyFill="1" applyBorder="1" applyAlignment="1">
      <alignment horizontal="right" vertical="center"/>
    </xf>
    <xf numFmtId="1" fontId="24" fillId="7" borderId="5" xfId="20" applyNumberFormat="1" applyFont="1" applyFill="1" applyBorder="1" applyAlignment="1">
      <alignment horizontal="right" vertical="center"/>
    </xf>
    <xf numFmtId="43" fontId="24" fillId="7" borderId="5" xfId="20" applyNumberFormat="1" applyFont="1" applyFill="1" applyBorder="1" applyAlignment="1">
      <alignment horizontal="right" vertical="center"/>
    </xf>
    <xf numFmtId="43" fontId="24" fillId="9" borderId="5" xfId="20" applyNumberFormat="1" applyFont="1" applyFill="1" applyBorder="1" applyAlignment="1">
      <alignment horizontal="right" vertical="center"/>
    </xf>
    <xf numFmtId="49" fontId="23" fillId="0" borderId="5" xfId="0" applyNumberFormat="1" applyFont="1" applyBorder="1" applyAlignment="1">
      <alignment horizontal="left"/>
    </xf>
    <xf numFmtId="167" fontId="23" fillId="10" borderId="5" xfId="20" applyNumberFormat="1" applyFont="1" applyFill="1" applyBorder="1" applyAlignment="1">
      <alignment horizontal="right" vertical="center"/>
    </xf>
    <xf numFmtId="0" fontId="24" fillId="0" borderId="5" xfId="0" applyFont="1" applyBorder="1" applyAlignment="1">
      <alignment horizontal="left"/>
    </xf>
    <xf numFmtId="0" fontId="24" fillId="8" borderId="5" xfId="0" applyFont="1" applyFill="1" applyBorder="1" applyAlignment="1">
      <alignment horizontal="right" vertical="center"/>
    </xf>
    <xf numFmtId="167" fontId="24" fillId="8" borderId="5" xfId="20" applyNumberFormat="1" applyFont="1" applyFill="1" applyBorder="1" applyAlignment="1">
      <alignment horizontal="right" vertical="center"/>
    </xf>
    <xf numFmtId="0" fontId="23" fillId="0" borderId="5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/>
    </xf>
    <xf numFmtId="0" fontId="24" fillId="8" borderId="5" xfId="0" applyFont="1" applyFill="1" applyBorder="1" applyAlignment="1">
      <alignment horizontal="right"/>
    </xf>
    <xf numFmtId="175" fontId="23" fillId="7" borderId="5" xfId="0" applyNumberFormat="1" applyFont="1" applyFill="1" applyBorder="1" applyAlignment="1">
      <alignment horizontal="right"/>
    </xf>
    <xf numFmtId="1" fontId="23" fillId="7" borderId="5" xfId="0" applyNumberFormat="1" applyFont="1" applyFill="1" applyBorder="1" applyAlignment="1">
      <alignment horizontal="right"/>
    </xf>
    <xf numFmtId="0" fontId="23" fillId="8" borderId="5" xfId="0" applyFont="1" applyFill="1" applyBorder="1" applyAlignment="1">
      <alignment horizontal="right"/>
    </xf>
    <xf numFmtId="0" fontId="18" fillId="8" borderId="5" xfId="0" applyFont="1" applyFill="1" applyBorder="1" applyAlignment="1">
      <alignment horizontal="right" vertical="center"/>
    </xf>
    <xf numFmtId="167" fontId="18" fillId="8" borderId="5" xfId="20" applyNumberFormat="1" applyFont="1" applyFill="1" applyBorder="1" applyAlignment="1">
      <alignment horizontal="right" vertical="center"/>
    </xf>
    <xf numFmtId="0" fontId="18" fillId="0" borderId="5" xfId="0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175" fontId="24" fillId="7" borderId="5" xfId="0" applyNumberFormat="1" applyFont="1" applyFill="1" applyBorder="1" applyAlignment="1">
      <alignment horizontal="right"/>
    </xf>
    <xf numFmtId="1" fontId="24" fillId="7" borderId="5" xfId="0" applyNumberFormat="1" applyFont="1" applyFill="1" applyBorder="1" applyAlignment="1">
      <alignment horizontal="right"/>
    </xf>
    <xf numFmtId="0" fontId="24" fillId="9" borderId="5" xfId="0" applyFont="1" applyFill="1" applyBorder="1" applyAlignment="1">
      <alignment horizontal="right"/>
    </xf>
    <xf numFmtId="0" fontId="18" fillId="8" borderId="5" xfId="0" applyFont="1" applyFill="1" applyBorder="1" applyAlignment="1">
      <alignment horizontal="right"/>
    </xf>
    <xf numFmtId="168" fontId="18" fillId="8" borderId="5" xfId="0" applyNumberFormat="1" applyFont="1" applyFill="1" applyBorder="1" applyAlignment="1">
      <alignment horizontal="right"/>
    </xf>
    <xf numFmtId="0" fontId="24" fillId="8" borderId="5" xfId="0" applyFont="1" applyFill="1" applyBorder="1" applyAlignment="1">
      <alignment horizontal="right" wrapText="1"/>
    </xf>
    <xf numFmtId="0" fontId="24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7" fontId="16" fillId="10" borderId="2" xfId="2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43" fontId="24" fillId="10" borderId="2" xfId="20" applyNumberFormat="1" applyFont="1" applyFill="1" applyBorder="1" applyAlignment="1">
      <alignment horizontal="right" vertical="center"/>
    </xf>
    <xf numFmtId="167" fontId="16" fillId="10" borderId="2" xfId="20" applyNumberFormat="1" applyFont="1" applyFill="1" applyBorder="1" applyAlignment="1">
      <alignment horizontal="center" vertical="center"/>
    </xf>
    <xf numFmtId="167" fontId="16" fillId="10" borderId="6" xfId="20" applyNumberFormat="1" applyFont="1" applyFill="1" applyBorder="1" applyAlignment="1">
      <alignment horizontal="right" vertical="center"/>
    </xf>
    <xf numFmtId="167" fontId="16" fillId="10" borderId="7" xfId="20" applyNumberFormat="1" applyFont="1" applyFill="1" applyBorder="1" applyAlignment="1">
      <alignment horizontal="center" vertical="center"/>
    </xf>
    <xf numFmtId="176" fontId="16" fillId="10" borderId="6" xfId="20" applyNumberFormat="1" applyFont="1" applyFill="1" applyBorder="1" applyAlignment="1">
      <alignment horizontal="right" vertical="center"/>
    </xf>
    <xf numFmtId="167" fontId="16" fillId="10" borderId="6" xfId="20" applyNumberFormat="1" applyFont="1" applyFill="1" applyBorder="1" applyAlignment="1">
      <alignment horizontal="center" vertical="center"/>
    </xf>
    <xf numFmtId="43" fontId="24" fillId="10" borderId="2" xfId="20" applyNumberFormat="1" applyFont="1" applyFill="1" applyBorder="1" applyAlignment="1">
      <alignment horizontal="center" vertical="center"/>
    </xf>
    <xf numFmtId="167" fontId="23" fillId="10" borderId="0" xfId="20" applyNumberFormat="1" applyFont="1" applyFill="1" applyAlignment="1">
      <alignment horizontal="center" vertical="center"/>
    </xf>
    <xf numFmtId="0" fontId="30" fillId="0" borderId="5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1" fontId="23" fillId="8" borderId="5" xfId="0" applyNumberFormat="1" applyFont="1" applyFill="1" applyBorder="1" applyAlignment="1">
      <alignment horizontal="right" vertical="center"/>
    </xf>
    <xf numFmtId="1" fontId="23" fillId="9" borderId="5" xfId="20" applyNumberFormat="1" applyFont="1" applyFill="1" applyBorder="1" applyAlignment="1">
      <alignment horizontal="right" vertical="center"/>
    </xf>
    <xf numFmtId="1" fontId="30" fillId="17" borderId="8" xfId="0" applyNumberFormat="1" applyFont="1" applyFill="1" applyBorder="1" applyAlignment="1">
      <alignment horizontal="center"/>
    </xf>
    <xf numFmtId="1" fontId="30" fillId="18" borderId="8" xfId="0" applyNumberFormat="1" applyFont="1" applyFill="1" applyBorder="1" applyAlignment="1">
      <alignment horizontal="center"/>
    </xf>
    <xf numFmtId="1" fontId="30" fillId="19" borderId="8" xfId="0" applyNumberFormat="1" applyFont="1" applyFill="1" applyBorder="1" applyAlignment="1">
      <alignment horizontal="center"/>
    </xf>
    <xf numFmtId="1" fontId="30" fillId="17" borderId="10" xfId="0" applyNumberFormat="1" applyFont="1" applyFill="1" applyBorder="1" applyAlignment="1">
      <alignment horizontal="center"/>
    </xf>
    <xf numFmtId="1" fontId="30" fillId="18" borderId="10" xfId="0" applyNumberFormat="1" applyFont="1" applyFill="1" applyBorder="1" applyAlignment="1">
      <alignment horizontal="center"/>
    </xf>
    <xf numFmtId="1" fontId="30" fillId="19" borderId="10" xfId="0" applyNumberFormat="1" applyFont="1" applyFill="1" applyBorder="1" applyAlignment="1">
      <alignment horizontal="center"/>
    </xf>
    <xf numFmtId="1" fontId="23" fillId="8" borderId="0" xfId="0" applyNumberFormat="1" applyFont="1" applyFill="1" applyAlignment="1">
      <alignment horizontal="right" vertical="center"/>
    </xf>
    <xf numFmtId="1" fontId="23" fillId="9" borderId="0" xfId="20" applyNumberFormat="1" applyFont="1" applyFill="1" applyAlignment="1">
      <alignment horizontal="right" vertical="center"/>
    </xf>
    <xf numFmtId="0" fontId="30" fillId="17" borderId="3" xfId="0" applyFont="1" applyFill="1" applyBorder="1" applyAlignment="1">
      <alignment horizontal="center"/>
    </xf>
    <xf numFmtId="0" fontId="30" fillId="18" borderId="3" xfId="0" applyFont="1" applyFill="1" applyBorder="1" applyAlignment="1">
      <alignment horizontal="center"/>
    </xf>
    <xf numFmtId="0" fontId="30" fillId="19" borderId="3" xfId="0" applyFont="1" applyFill="1" applyBorder="1" applyAlignment="1">
      <alignment horizontal="center"/>
    </xf>
    <xf numFmtId="0" fontId="30" fillId="0" borderId="11" xfId="0" applyFont="1" applyBorder="1" applyAlignment="1">
      <alignment horizontal="center"/>
    </xf>
    <xf numFmtId="1" fontId="23" fillId="20" borderId="5" xfId="0" applyNumberFormat="1" applyFont="1" applyFill="1" applyBorder="1" applyAlignment="1">
      <alignment horizontal="center" vertical="center"/>
    </xf>
    <xf numFmtId="1" fontId="23" fillId="20" borderId="5" xfId="20" applyNumberFormat="1" applyFont="1" applyFill="1" applyBorder="1" applyAlignment="1">
      <alignment horizontal="center" vertical="center"/>
    </xf>
    <xf numFmtId="170" fontId="23" fillId="20" borderId="5" xfId="20" applyNumberFormat="1" applyFont="1" applyFill="1" applyBorder="1" applyAlignment="1">
      <alignment horizontal="center"/>
    </xf>
    <xf numFmtId="0" fontId="23" fillId="20" borderId="5" xfId="0" applyFont="1" applyFill="1" applyBorder="1" applyAlignment="1">
      <alignment horizontal="center"/>
    </xf>
    <xf numFmtId="2" fontId="23" fillId="20" borderId="1" xfId="0" applyNumberFormat="1" applyFont="1" applyFill="1" applyBorder="1" applyAlignment="1">
      <alignment horizontal="center"/>
    </xf>
    <xf numFmtId="170" fontId="23" fillId="4" borderId="3" xfId="20" applyNumberFormat="1" applyFont="1" applyFill="1" applyBorder="1" applyAlignment="1">
      <alignment horizontal="right"/>
    </xf>
    <xf numFmtId="167" fontId="16" fillId="4" borderId="7" xfId="20" applyNumberFormat="1" applyFont="1" applyFill="1" applyBorder="1" applyAlignment="1">
      <alignment horizontal="center" vertical="center"/>
    </xf>
    <xf numFmtId="167" fontId="16" fillId="4" borderId="5" xfId="20" applyNumberFormat="1" applyFont="1" applyFill="1" applyBorder="1" applyAlignment="1">
      <alignment horizontal="center" vertical="center"/>
    </xf>
    <xf numFmtId="167" fontId="16" fillId="4" borderId="5" xfId="20" applyNumberFormat="1" applyFont="1" applyFill="1" applyBorder="1" applyAlignment="1">
      <alignment horizontal="right" vertical="center"/>
    </xf>
    <xf numFmtId="0" fontId="23" fillId="4" borderId="3" xfId="0" applyFont="1" applyFill="1" applyBorder="1" applyAlignment="1">
      <alignment horizontal="right"/>
    </xf>
    <xf numFmtId="176" fontId="16" fillId="4" borderId="6" xfId="20" applyNumberFormat="1" applyFont="1" applyFill="1" applyBorder="1" applyAlignment="1">
      <alignment horizontal="right" vertical="center"/>
    </xf>
    <xf numFmtId="0" fontId="23" fillId="4" borderId="3" xfId="0" applyFont="1" applyFill="1" applyBorder="1" applyAlignment="1">
      <alignment horizontal="center"/>
    </xf>
    <xf numFmtId="167" fontId="16" fillId="4" borderId="2" xfId="20" applyNumberFormat="1" applyFont="1" applyFill="1" applyBorder="1" applyAlignment="1">
      <alignment horizontal="center" vertical="center"/>
    </xf>
    <xf numFmtId="172" fontId="23" fillId="4" borderId="3" xfId="18" applyNumberFormat="1" applyFont="1" applyFill="1" applyBorder="1" applyAlignment="1">
      <alignment horizontal="right"/>
    </xf>
    <xf numFmtId="43" fontId="24" fillId="4" borderId="2" xfId="20" applyNumberFormat="1" applyFont="1" applyFill="1" applyBorder="1" applyAlignment="1">
      <alignment horizontal="right" vertical="center"/>
    </xf>
    <xf numFmtId="167" fontId="24" fillId="4" borderId="5" xfId="20" applyNumberFormat="1" applyFont="1" applyFill="1" applyBorder="1" applyAlignment="1">
      <alignment horizontal="right" vertical="center"/>
    </xf>
    <xf numFmtId="43" fontId="24" fillId="4" borderId="5" xfId="20" applyNumberFormat="1" applyFont="1" applyFill="1" applyBorder="1" applyAlignment="1">
      <alignment horizontal="right" vertical="center"/>
    </xf>
    <xf numFmtId="167" fontId="23" fillId="4" borderId="5" xfId="20" applyNumberFormat="1" applyFont="1" applyFill="1" applyBorder="1" applyAlignment="1">
      <alignment horizontal="right" vertical="center"/>
    </xf>
    <xf numFmtId="0" fontId="23" fillId="8" borderId="5" xfId="20" applyNumberFormat="1" applyFont="1" applyFill="1" applyBorder="1" applyAlignment="1">
      <alignment horizontal="right" vertical="center"/>
    </xf>
    <xf numFmtId="0" fontId="23" fillId="8" borderId="0" xfId="20" applyNumberFormat="1" applyFont="1" applyFill="1" applyAlignment="1">
      <alignment horizontal="right" vertical="center"/>
    </xf>
    <xf numFmtId="0" fontId="23" fillId="20" borderId="5" xfId="20" applyNumberFormat="1" applyFont="1" applyFill="1" applyBorder="1" applyAlignment="1">
      <alignment horizontal="right" vertical="center"/>
    </xf>
    <xf numFmtId="0" fontId="30" fillId="17" borderId="8" xfId="0" applyFont="1" applyFill="1" applyBorder="1" applyAlignment="1">
      <alignment horizontal="right"/>
    </xf>
    <xf numFmtId="0" fontId="30" fillId="17" borderId="10" xfId="0" applyFont="1" applyFill="1" applyBorder="1" applyAlignment="1">
      <alignment horizontal="right"/>
    </xf>
    <xf numFmtId="0" fontId="31" fillId="17" borderId="10" xfId="0" applyFont="1" applyFill="1" applyBorder="1" applyAlignment="1">
      <alignment horizontal="right"/>
    </xf>
    <xf numFmtId="0" fontId="27" fillId="0" borderId="1" xfId="0" applyFont="1" applyBorder="1" applyAlignment="1">
      <alignment horizontal="left"/>
    </xf>
    <xf numFmtId="0" fontId="31" fillId="0" borderId="11" xfId="0" applyFont="1" applyBorder="1" applyAlignment="1">
      <alignment horizontal="center"/>
    </xf>
    <xf numFmtId="0" fontId="32" fillId="0" borderId="0" xfId="0" applyFont="1"/>
    <xf numFmtId="0" fontId="23" fillId="0" borderId="12" xfId="0" applyFont="1" applyBorder="1" applyAlignment="1">
      <alignment horizontal="left"/>
    </xf>
    <xf numFmtId="0" fontId="24" fillId="0" borderId="13" xfId="0" applyFont="1" applyBorder="1" applyAlignment="1">
      <alignment horizontal="center"/>
    </xf>
    <xf numFmtId="0" fontId="24" fillId="17" borderId="3" xfId="0" applyFont="1" applyFill="1" applyBorder="1" applyAlignment="1">
      <alignment horizontal="center"/>
    </xf>
    <xf numFmtId="1" fontId="30" fillId="17" borderId="14" xfId="0" applyNumberFormat="1" applyFont="1" applyFill="1" applyBorder="1" applyAlignment="1">
      <alignment horizontal="center"/>
    </xf>
    <xf numFmtId="0" fontId="23" fillId="0" borderId="15" xfId="0" applyFont="1" applyBorder="1" applyAlignment="1">
      <alignment horizontal="left"/>
    </xf>
    <xf numFmtId="0" fontId="7" fillId="0" borderId="0" xfId="0" applyFont="1"/>
    <xf numFmtId="0" fontId="30" fillId="0" borderId="16" xfId="0" applyFont="1" applyBorder="1" applyAlignment="1">
      <alignment horizontal="center"/>
    </xf>
    <xf numFmtId="1" fontId="23" fillId="8" borderId="17" xfId="0" applyNumberFormat="1" applyFont="1" applyFill="1" applyBorder="1" applyAlignment="1">
      <alignment horizontal="right" vertical="center"/>
    </xf>
    <xf numFmtId="0" fontId="23" fillId="8" borderId="17" xfId="20" applyNumberFormat="1" applyFont="1" applyFill="1" applyBorder="1" applyAlignment="1">
      <alignment horizontal="right" vertical="center"/>
    </xf>
    <xf numFmtId="1" fontId="23" fillId="8" borderId="18" xfId="0" applyNumberFormat="1" applyFont="1" applyFill="1" applyBorder="1" applyAlignment="1">
      <alignment horizontal="right" vertical="center"/>
    </xf>
    <xf numFmtId="0" fontId="23" fillId="8" borderId="18" xfId="20" applyNumberFormat="1" applyFont="1" applyFill="1" applyBorder="1" applyAlignment="1">
      <alignment horizontal="right" vertical="center"/>
    </xf>
    <xf numFmtId="0" fontId="14" fillId="0" borderId="1" xfId="0" applyFont="1" applyBorder="1"/>
    <xf numFmtId="0" fontId="14" fillId="0" borderId="11" xfId="0" applyFont="1" applyBorder="1"/>
    <xf numFmtId="0" fontId="23" fillId="3" borderId="1" xfId="0" applyFont="1" applyFill="1" applyBorder="1" applyAlignment="1">
      <alignment horizontal="left"/>
    </xf>
    <xf numFmtId="0" fontId="30" fillId="3" borderId="1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/>
    </xf>
    <xf numFmtId="43" fontId="24" fillId="3" borderId="2" xfId="20" applyNumberFormat="1" applyFont="1" applyFill="1" applyBorder="1" applyAlignment="1">
      <alignment horizontal="center" vertical="center"/>
    </xf>
    <xf numFmtId="167" fontId="24" fillId="3" borderId="1" xfId="20" applyNumberFormat="1" applyFont="1" applyFill="1" applyBorder="1" applyAlignment="1">
      <alignment horizontal="right" vertical="center"/>
    </xf>
    <xf numFmtId="43" fontId="24" fillId="3" borderId="1" xfId="20" applyNumberFormat="1" applyFont="1" applyFill="1" applyBorder="1" applyAlignment="1">
      <alignment horizontal="right" vertical="center"/>
    </xf>
    <xf numFmtId="43" fontId="24" fillId="3" borderId="2" xfId="20" applyNumberFormat="1" applyFont="1" applyFill="1" applyBorder="1" applyAlignment="1">
      <alignment horizontal="right" vertical="center"/>
    </xf>
    <xf numFmtId="170" fontId="23" fillId="3" borderId="2" xfId="20" applyNumberFormat="1" applyFont="1" applyFill="1" applyBorder="1" applyAlignment="1">
      <alignment horizontal="right"/>
    </xf>
    <xf numFmtId="167" fontId="23" fillId="3" borderId="1" xfId="0" applyNumberFormat="1" applyFont="1" applyFill="1" applyBorder="1" applyAlignment="1">
      <alignment horizontal="right"/>
    </xf>
    <xf numFmtId="171" fontId="23" fillId="3" borderId="1" xfId="18" applyNumberFormat="1" applyFont="1" applyFill="1" applyBorder="1" applyAlignment="1">
      <alignment horizontal="right"/>
    </xf>
    <xf numFmtId="172" fontId="23" fillId="3" borderId="1" xfId="18" applyNumberFormat="1" applyFont="1" applyFill="1" applyBorder="1" applyAlignment="1">
      <alignment horizontal="right"/>
    </xf>
    <xf numFmtId="2" fontId="23" fillId="3" borderId="1" xfId="18" applyNumberFormat="1" applyFont="1" applyFill="1" applyBorder="1" applyAlignment="1">
      <alignment horizontal="right"/>
    </xf>
    <xf numFmtId="0" fontId="23" fillId="3" borderId="0" xfId="0" applyFont="1" applyFill="1"/>
    <xf numFmtId="0" fontId="30" fillId="3" borderId="1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center"/>
    </xf>
    <xf numFmtId="2" fontId="24" fillId="4" borderId="5" xfId="20" applyNumberFormat="1" applyFont="1" applyFill="1" applyBorder="1" applyAlignment="1">
      <alignment horizontal="right" vertical="center"/>
    </xf>
    <xf numFmtId="2" fontId="24" fillId="4" borderId="19" xfId="20" applyNumberFormat="1" applyFont="1" applyFill="1" applyBorder="1" applyAlignment="1">
      <alignment horizontal="right" vertical="center"/>
    </xf>
    <xf numFmtId="43" fontId="24" fillId="4" borderId="19" xfId="20" applyNumberFormat="1" applyFont="1" applyFill="1" applyBorder="1" applyAlignment="1">
      <alignment horizontal="right" vertical="center"/>
    </xf>
    <xf numFmtId="0" fontId="24" fillId="0" borderId="9" xfId="0" applyFont="1" applyBorder="1" applyAlignment="1">
      <alignment horizontal="center"/>
    </xf>
    <xf numFmtId="1" fontId="24" fillId="17" borderId="10" xfId="0" applyNumberFormat="1" applyFont="1" applyFill="1" applyBorder="1" applyAlignment="1">
      <alignment horizontal="center"/>
    </xf>
    <xf numFmtId="0" fontId="24" fillId="17" borderId="10" xfId="0" applyFont="1" applyFill="1" applyBorder="1" applyAlignment="1">
      <alignment horizontal="right"/>
    </xf>
    <xf numFmtId="1" fontId="24" fillId="18" borderId="10" xfId="0" applyNumberFormat="1" applyFont="1" applyFill="1" applyBorder="1" applyAlignment="1">
      <alignment horizontal="center"/>
    </xf>
    <xf numFmtId="1" fontId="24" fillId="19" borderId="10" xfId="0" applyNumberFormat="1" applyFont="1" applyFill="1" applyBorder="1" applyAlignment="1">
      <alignment horizontal="center"/>
    </xf>
    <xf numFmtId="0" fontId="24" fillId="0" borderId="1" xfId="0" applyFont="1" applyBorder="1"/>
    <xf numFmtId="0" fontId="24" fillId="0" borderId="11" xfId="0" applyFont="1" applyBorder="1" applyAlignment="1">
      <alignment horizontal="center"/>
    </xf>
    <xf numFmtId="0" fontId="30" fillId="17" borderId="14" xfId="0" applyFont="1" applyFill="1" applyBorder="1" applyAlignment="1">
      <alignment horizontal="right"/>
    </xf>
    <xf numFmtId="0" fontId="34" fillId="0" borderId="0" xfId="0" applyFont="1"/>
    <xf numFmtId="0" fontId="23" fillId="3" borderId="5" xfId="0" applyFont="1" applyFill="1" applyBorder="1" applyAlignment="1">
      <alignment horizontal="left"/>
    </xf>
    <xf numFmtId="0" fontId="30" fillId="3" borderId="9" xfId="0" applyFont="1" applyFill="1" applyBorder="1" applyAlignment="1">
      <alignment horizontal="center"/>
    </xf>
    <xf numFmtId="1" fontId="30" fillId="21" borderId="10" xfId="0" applyNumberFormat="1" applyFont="1" applyFill="1" applyBorder="1" applyAlignment="1">
      <alignment horizontal="center"/>
    </xf>
    <xf numFmtId="0" fontId="30" fillId="21" borderId="10" xfId="0" applyFont="1" applyFill="1" applyBorder="1" applyAlignment="1">
      <alignment horizontal="right"/>
    </xf>
    <xf numFmtId="172" fontId="23" fillId="3" borderId="3" xfId="18" applyNumberFormat="1" applyFont="1" applyFill="1" applyBorder="1" applyAlignment="1">
      <alignment horizontal="right"/>
    </xf>
    <xf numFmtId="167" fontId="23" fillId="3" borderId="5" xfId="20" applyNumberFormat="1" applyFont="1" applyFill="1" applyBorder="1" applyAlignment="1">
      <alignment horizontal="right" vertical="center"/>
    </xf>
    <xf numFmtId="43" fontId="24" fillId="3" borderId="5" xfId="20" applyNumberFormat="1" applyFont="1" applyFill="1" applyBorder="1" applyAlignment="1">
      <alignment horizontal="right" vertical="center"/>
    </xf>
    <xf numFmtId="170" fontId="23" fillId="3" borderId="5" xfId="20" applyNumberFormat="1" applyFont="1" applyFill="1" applyBorder="1" applyAlignment="1">
      <alignment horizontal="right"/>
    </xf>
    <xf numFmtId="167" fontId="23" fillId="3" borderId="5" xfId="0" applyNumberFormat="1" applyFont="1" applyFill="1" applyBorder="1" applyAlignment="1">
      <alignment horizontal="right"/>
    </xf>
    <xf numFmtId="171" fontId="23" fillId="3" borderId="5" xfId="18" applyNumberFormat="1" applyFont="1" applyFill="1" applyBorder="1" applyAlignment="1">
      <alignment horizontal="right"/>
    </xf>
    <xf numFmtId="0" fontId="18" fillId="3" borderId="5" xfId="0" applyFont="1" applyFill="1" applyBorder="1" applyAlignment="1">
      <alignment horizontal="left" vertical="center"/>
    </xf>
    <xf numFmtId="0" fontId="31" fillId="21" borderId="10" xfId="0" applyFont="1" applyFill="1" applyBorder="1" applyAlignment="1">
      <alignment horizontal="right"/>
    </xf>
    <xf numFmtId="0" fontId="23" fillId="3" borderId="5" xfId="0" applyFont="1" applyFill="1" applyBorder="1" applyAlignment="1">
      <alignment horizontal="left" vertical="center"/>
    </xf>
    <xf numFmtId="0" fontId="28" fillId="3" borderId="5" xfId="0" applyFont="1" applyFill="1" applyBorder="1" applyAlignment="1">
      <alignment horizontal="left" vertical="center" wrapText="1"/>
    </xf>
    <xf numFmtId="1" fontId="31" fillId="21" borderId="10" xfId="0" applyNumberFormat="1" applyFont="1" applyFill="1" applyBorder="1" applyAlignment="1">
      <alignment horizontal="center"/>
    </xf>
    <xf numFmtId="0" fontId="23" fillId="22" borderId="5" xfId="0" applyFont="1" applyFill="1" applyBorder="1" applyAlignment="1">
      <alignment horizontal="left"/>
    </xf>
    <xf numFmtId="0" fontId="23" fillId="22" borderId="9" xfId="0" applyFont="1" applyFill="1" applyBorder="1" applyAlignment="1">
      <alignment horizontal="left"/>
    </xf>
    <xf numFmtId="0" fontId="23" fillId="22" borderId="8" xfId="0" applyFont="1" applyFill="1" applyBorder="1" applyAlignment="1">
      <alignment horizontal="center"/>
    </xf>
    <xf numFmtId="0" fontId="23" fillId="22" borderId="10" xfId="0" applyFont="1" applyFill="1" applyBorder="1" applyAlignment="1">
      <alignment horizontal="center"/>
    </xf>
    <xf numFmtId="0" fontId="23" fillId="22" borderId="20" xfId="0" applyFont="1" applyFill="1" applyBorder="1" applyAlignment="1">
      <alignment horizontal="left"/>
    </xf>
    <xf numFmtId="0" fontId="23" fillId="22" borderId="21" xfId="0" applyFont="1" applyFill="1" applyBorder="1" applyAlignment="1">
      <alignment horizontal="center"/>
    </xf>
    <xf numFmtId="0" fontId="23" fillId="22" borderId="16" xfId="0" applyFont="1" applyFill="1" applyBorder="1" applyAlignment="1">
      <alignment horizontal="left"/>
    </xf>
    <xf numFmtId="0" fontId="23" fillId="22" borderId="14" xfId="0" applyFont="1" applyFill="1" applyBorder="1" applyAlignment="1">
      <alignment horizontal="center"/>
    </xf>
    <xf numFmtId="0" fontId="23" fillId="22" borderId="23" xfId="0" applyFont="1" applyFill="1" applyBorder="1" applyAlignment="1">
      <alignment horizontal="left"/>
    </xf>
    <xf numFmtId="0" fontId="23" fillId="22" borderId="22" xfId="0" applyFont="1" applyFill="1" applyBorder="1" applyAlignment="1">
      <alignment horizontal="center"/>
    </xf>
    <xf numFmtId="0" fontId="35" fillId="22" borderId="5" xfId="0" applyFont="1" applyFill="1" applyBorder="1" applyAlignment="1">
      <alignment wrapText="1"/>
    </xf>
    <xf numFmtId="0" fontId="23" fillId="22" borderId="19" xfId="0" applyFont="1" applyFill="1" applyBorder="1" applyAlignment="1">
      <alignment horizontal="left"/>
    </xf>
    <xf numFmtId="43" fontId="24" fillId="4" borderId="24" xfId="20" applyNumberFormat="1" applyFont="1" applyFill="1" applyBorder="1" applyAlignment="1">
      <alignment horizontal="right" vertical="center"/>
    </xf>
    <xf numFmtId="170" fontId="23" fillId="11" borderId="0" xfId="20" applyNumberFormat="1" applyFont="1" applyFill="1" applyBorder="1" applyAlignment="1">
      <alignment horizontal="right"/>
    </xf>
    <xf numFmtId="0" fontId="23" fillId="22" borderId="25" xfId="0" applyFont="1" applyFill="1" applyBorder="1" applyAlignment="1">
      <alignment horizontal="left"/>
    </xf>
    <xf numFmtId="0" fontId="23" fillId="22" borderId="26" xfId="0" applyFont="1" applyFill="1" applyBorder="1" applyAlignment="1">
      <alignment horizontal="center"/>
    </xf>
    <xf numFmtId="0" fontId="23" fillId="0" borderId="18" xfId="0" applyFont="1" applyBorder="1"/>
    <xf numFmtId="0" fontId="23" fillId="0" borderId="27" xfId="0" applyFont="1" applyBorder="1"/>
    <xf numFmtId="0" fontId="16" fillId="3" borderId="5" xfId="0" applyFont="1" applyFill="1" applyBorder="1" applyAlignment="1">
      <alignment horizontal="left"/>
    </xf>
    <xf numFmtId="0" fontId="36" fillId="3" borderId="9" xfId="0" applyFont="1" applyFill="1" applyBorder="1" applyAlignment="1">
      <alignment horizontal="center"/>
    </xf>
    <xf numFmtId="1" fontId="36" fillId="21" borderId="10" xfId="0" applyNumberFormat="1" applyFont="1" applyFill="1" applyBorder="1" applyAlignment="1">
      <alignment horizontal="center"/>
    </xf>
    <xf numFmtId="0" fontId="37" fillId="21" borderId="10" xfId="0" applyFont="1" applyFill="1" applyBorder="1" applyAlignment="1">
      <alignment horizontal="right"/>
    </xf>
    <xf numFmtId="172" fontId="16" fillId="3" borderId="3" xfId="18" applyNumberFormat="1" applyFont="1" applyFill="1" applyBorder="1" applyAlignment="1">
      <alignment horizontal="right"/>
    </xf>
    <xf numFmtId="43" fontId="38" fillId="3" borderId="2" xfId="20" applyNumberFormat="1" applyFont="1" applyFill="1" applyBorder="1" applyAlignment="1">
      <alignment horizontal="right" vertical="center"/>
    </xf>
    <xf numFmtId="167" fontId="16" fillId="3" borderId="5" xfId="20" applyNumberFormat="1" applyFont="1" applyFill="1" applyBorder="1" applyAlignment="1">
      <alignment horizontal="right" vertical="center"/>
    </xf>
    <xf numFmtId="43" fontId="38" fillId="3" borderId="5" xfId="20" applyNumberFormat="1" applyFont="1" applyFill="1" applyBorder="1" applyAlignment="1">
      <alignment horizontal="right" vertical="center"/>
    </xf>
    <xf numFmtId="170" fontId="16" fillId="3" borderId="5" xfId="20" applyNumberFormat="1" applyFont="1" applyFill="1" applyBorder="1" applyAlignment="1">
      <alignment horizontal="right"/>
    </xf>
    <xf numFmtId="167" fontId="16" fillId="3" borderId="5" xfId="0" applyNumberFormat="1" applyFont="1" applyFill="1" applyBorder="1" applyAlignment="1">
      <alignment horizontal="right"/>
    </xf>
    <xf numFmtId="171" fontId="16" fillId="3" borderId="5" xfId="18" applyNumberFormat="1" applyFont="1" applyFill="1" applyBorder="1" applyAlignment="1">
      <alignment horizontal="right"/>
    </xf>
    <xf numFmtId="2" fontId="16" fillId="3" borderId="1" xfId="18" applyNumberFormat="1" applyFont="1" applyFill="1" applyBorder="1" applyAlignment="1">
      <alignment horizontal="right"/>
    </xf>
    <xf numFmtId="0" fontId="16" fillId="3" borderId="0" xfId="0" applyFont="1" applyFill="1"/>
    <xf numFmtId="0" fontId="36" fillId="21" borderId="10" xfId="0" applyFont="1" applyFill="1" applyBorder="1" applyAlignment="1">
      <alignment horizontal="right"/>
    </xf>
    <xf numFmtId="0" fontId="39" fillId="3" borderId="5" xfId="0" applyFont="1" applyFill="1" applyBorder="1" applyAlignment="1">
      <alignment horizontal="left" vertical="center" wrapText="1"/>
    </xf>
    <xf numFmtId="0" fontId="40" fillId="0" borderId="1" xfId="0" applyFont="1" applyBorder="1"/>
    <xf numFmtId="0" fontId="23" fillId="0" borderId="28" xfId="0" applyFont="1" applyBorder="1" applyAlignment="1">
      <alignment horizontal="left"/>
    </xf>
    <xf numFmtId="0" fontId="23" fillId="0" borderId="29" xfId="0" applyFont="1" applyBorder="1" applyAlignment="1">
      <alignment horizontal="left"/>
    </xf>
    <xf numFmtId="0" fontId="23" fillId="0" borderId="23" xfId="0" applyFont="1" applyBorder="1" applyAlignment="1">
      <alignment horizontal="center"/>
    </xf>
    <xf numFmtId="170" fontId="23" fillId="11" borderId="24" xfId="20" applyNumberFormat="1" applyFont="1" applyFill="1" applyBorder="1" applyAlignment="1">
      <alignment horizontal="right"/>
    </xf>
    <xf numFmtId="43" fontId="23" fillId="11" borderId="24" xfId="20" applyNumberFormat="1" applyFont="1" applyFill="1" applyBorder="1" applyAlignment="1">
      <alignment horizontal="right"/>
    </xf>
    <xf numFmtId="2" fontId="23" fillId="6" borderId="24" xfId="20" applyNumberFormat="1" applyFont="1" applyFill="1" applyBorder="1" applyAlignment="1">
      <alignment horizontal="right"/>
    </xf>
    <xf numFmtId="0" fontId="23" fillId="0" borderId="30" xfId="0" applyFont="1" applyBorder="1" applyAlignment="1">
      <alignment horizontal="center"/>
    </xf>
    <xf numFmtId="1" fontId="23" fillId="7" borderId="31" xfId="20" applyNumberFormat="1" applyFont="1" applyFill="1" applyBorder="1" applyAlignment="1">
      <alignment horizontal="right" vertical="center"/>
    </xf>
    <xf numFmtId="1" fontId="23" fillId="9" borderId="31" xfId="20" applyNumberFormat="1" applyFont="1" applyFill="1" applyBorder="1" applyAlignment="1">
      <alignment horizontal="right" vertical="center"/>
    </xf>
    <xf numFmtId="0" fontId="23" fillId="8" borderId="0" xfId="20" applyNumberFormat="1" applyFont="1" applyFill="1" applyBorder="1" applyAlignment="1">
      <alignment horizontal="right" vertical="center"/>
    </xf>
    <xf numFmtId="1" fontId="23" fillId="7" borderId="0" xfId="20" applyNumberFormat="1" applyFont="1" applyFill="1" applyBorder="1" applyAlignment="1">
      <alignment horizontal="right" vertical="center"/>
    </xf>
    <xf numFmtId="1" fontId="23" fillId="9" borderId="0" xfId="20" applyNumberFormat="1" applyFont="1" applyFill="1" applyBorder="1" applyAlignment="1">
      <alignment horizontal="right" vertical="center"/>
    </xf>
    <xf numFmtId="1" fontId="23" fillId="4" borderId="0" xfId="20" applyNumberFormat="1" applyFont="1" applyFill="1" applyBorder="1" applyAlignment="1">
      <alignment horizontal="right"/>
    </xf>
    <xf numFmtId="167" fontId="23" fillId="4" borderId="0" xfId="20" applyNumberFormat="1" applyFont="1" applyFill="1" applyBorder="1" applyAlignment="1">
      <alignment horizontal="right" vertical="center"/>
    </xf>
    <xf numFmtId="1" fontId="16" fillId="8" borderId="5" xfId="0" applyNumberFormat="1" applyFont="1" applyFill="1" applyBorder="1" applyAlignment="1">
      <alignment horizontal="center" vertical="center"/>
    </xf>
    <xf numFmtId="1" fontId="16" fillId="7" borderId="5" xfId="20" applyNumberFormat="1" applyFont="1" applyFill="1" applyBorder="1" applyAlignment="1">
      <alignment horizontal="right" vertical="center"/>
    </xf>
    <xf numFmtId="1" fontId="16" fillId="9" borderId="5" xfId="20" applyNumberFormat="1" applyFont="1" applyFill="1" applyBorder="1" applyAlignment="1">
      <alignment horizontal="right" vertical="center"/>
    </xf>
    <xf numFmtId="167" fontId="16" fillId="4" borderId="5" xfId="20" applyNumberFormat="1" applyFont="1" applyFill="1" applyBorder="1" applyAlignment="1">
      <alignment horizontal="center" vertical="center"/>
    </xf>
    <xf numFmtId="170" fontId="23" fillId="11" borderId="5" xfId="20" applyNumberFormat="1" applyFont="1" applyFill="1" applyBorder="1" applyAlignment="1">
      <alignment horizontal="right"/>
    </xf>
    <xf numFmtId="0" fontId="16" fillId="8" borderId="1" xfId="0" applyFont="1" applyFill="1" applyBorder="1" applyAlignment="1">
      <alignment horizontal="center" vertical="center"/>
    </xf>
    <xf numFmtId="175" fontId="16" fillId="7" borderId="1" xfId="20" applyNumberFormat="1" applyFont="1" applyFill="1" applyBorder="1" applyAlignment="1">
      <alignment horizontal="right" vertical="center"/>
    </xf>
    <xf numFmtId="167" fontId="16" fillId="9" borderId="1" xfId="20" applyNumberFormat="1" applyFont="1" applyFill="1" applyBorder="1" applyAlignment="1">
      <alignment horizontal="right" vertical="center"/>
    </xf>
    <xf numFmtId="167" fontId="16" fillId="10" borderId="2" xfId="20" applyNumberFormat="1" applyFont="1" applyFill="1" applyBorder="1" applyAlignment="1">
      <alignment horizontal="center" vertical="center"/>
    </xf>
    <xf numFmtId="170" fontId="23" fillId="11" borderId="4" xfId="20" applyNumberFormat="1" applyFont="1" applyFill="1" applyBorder="1" applyAlignment="1">
      <alignment horizontal="right"/>
    </xf>
    <xf numFmtId="0" fontId="16" fillId="8" borderId="5" xfId="0" applyFont="1" applyFill="1" applyBorder="1" applyAlignment="1">
      <alignment horizontal="center" vertical="center"/>
    </xf>
    <xf numFmtId="175" fontId="16" fillId="7" borderId="5" xfId="20" applyNumberFormat="1" applyFont="1" applyFill="1" applyBorder="1" applyAlignment="1">
      <alignment horizontal="right" vertical="center"/>
    </xf>
    <xf numFmtId="167" fontId="16" fillId="9" borderId="5" xfId="20" applyNumberFormat="1" applyFont="1" applyFill="1" applyBorder="1" applyAlignment="1">
      <alignment horizontal="right" vertical="center"/>
    </xf>
    <xf numFmtId="167" fontId="16" fillId="10" borderId="5" xfId="2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right"/>
    </xf>
    <xf numFmtId="167" fontId="16" fillId="10" borderId="2" xfId="20" applyNumberFormat="1" applyFont="1" applyFill="1" applyBorder="1" applyAlignment="1">
      <alignment horizontal="right" vertical="center"/>
    </xf>
    <xf numFmtId="167" fontId="16" fillId="10" borderId="3" xfId="20" applyNumberFormat="1" applyFont="1" applyFill="1" applyBorder="1" applyAlignment="1">
      <alignment horizontal="right" vertical="center"/>
    </xf>
    <xf numFmtId="170" fontId="23" fillId="11" borderId="2" xfId="20" applyNumberFormat="1" applyFont="1" applyFill="1" applyBorder="1" applyAlignment="1">
      <alignment horizontal="right"/>
    </xf>
    <xf numFmtId="170" fontId="23" fillId="11" borderId="3" xfId="20" applyNumberFormat="1" applyFont="1" applyFill="1" applyBorder="1" applyAlignment="1">
      <alignment horizontal="right"/>
    </xf>
    <xf numFmtId="167" fontId="16" fillId="10" borderId="5" xfId="20" applyNumberFormat="1" applyFont="1" applyFill="1" applyBorder="1" applyAlignment="1">
      <alignment horizontal="center" vertical="center"/>
    </xf>
  </cellXfs>
  <cellStyles count="113">
    <cellStyle name="Comma" xfId="20" builtinId="3"/>
    <cellStyle name="Comma 2" xfId="4" xr:uid="{00000000-0005-0000-0000-000001000000}"/>
    <cellStyle name="Comma 2 2" xfId="84" xr:uid="{00000000-0005-0000-0000-000002000000}"/>
    <cellStyle name="Comma 3" xfId="47" xr:uid="{00000000-0005-0000-0000-000003000000}"/>
    <cellStyle name="Comma 3 2" xfId="86" xr:uid="{00000000-0005-0000-0000-000004000000}"/>
    <cellStyle name="Comma 4" xfId="59" xr:uid="{00000000-0005-0000-0000-000005000000}"/>
    <cellStyle name="Comma 4 2" xfId="88" xr:uid="{00000000-0005-0000-0000-000006000000}"/>
    <cellStyle name="Comma 5" xfId="85" xr:uid="{00000000-0005-0000-0000-000007000000}"/>
    <cellStyle name="Comma 6" xfId="35" xr:uid="{00000000-0005-0000-0000-000008000000}"/>
    <cellStyle name="Excel Built-in Normal" xfId="73" xr:uid="{00000000-0005-0000-0000-000009000000}"/>
    <cellStyle name="Excel Built-in Normal 2" xfId="83" xr:uid="{00000000-0005-0000-0000-00000A000000}"/>
    <cellStyle name="Hyperlink 2" xfId="6" xr:uid="{00000000-0005-0000-0000-00000B000000}"/>
    <cellStyle name="Hyperlink 3" xfId="7" xr:uid="{00000000-0005-0000-0000-00000C000000}"/>
    <cellStyle name="Hyperlink 4" xfId="8" xr:uid="{00000000-0005-0000-0000-00000D000000}"/>
    <cellStyle name="Normal" xfId="0" builtinId="0"/>
    <cellStyle name="Normal 10" xfId="9" xr:uid="{00000000-0005-0000-0000-00000F000000}"/>
    <cellStyle name="Normal 10 2" xfId="95" xr:uid="{00000000-0005-0000-0000-000010000000}"/>
    <cellStyle name="Normal 11" xfId="10" xr:uid="{00000000-0005-0000-0000-000011000000}"/>
    <cellStyle name="Normal 11 2" xfId="96" xr:uid="{00000000-0005-0000-0000-000012000000}"/>
    <cellStyle name="Normal 12" xfId="66" xr:uid="{00000000-0005-0000-0000-000013000000}"/>
    <cellStyle name="Normal 12 2" xfId="97" xr:uid="{00000000-0005-0000-0000-000014000000}"/>
    <cellStyle name="Normal 13" xfId="67" xr:uid="{00000000-0005-0000-0000-000015000000}"/>
    <cellStyle name="Normal 13 2" xfId="98" xr:uid="{00000000-0005-0000-0000-000016000000}"/>
    <cellStyle name="Normal 14" xfId="68" xr:uid="{00000000-0005-0000-0000-000017000000}"/>
    <cellStyle name="Normal 14 2" xfId="99" xr:uid="{00000000-0005-0000-0000-000018000000}"/>
    <cellStyle name="Normal 15" xfId="69" xr:uid="{00000000-0005-0000-0000-000019000000}"/>
    <cellStyle name="Normal 15 2" xfId="100" xr:uid="{00000000-0005-0000-0000-00001A000000}"/>
    <cellStyle name="Normal 16" xfId="70" xr:uid="{00000000-0005-0000-0000-00001B000000}"/>
    <cellStyle name="Normal 16 2" xfId="101" xr:uid="{00000000-0005-0000-0000-00001C000000}"/>
    <cellStyle name="Normal 17" xfId="71" xr:uid="{00000000-0005-0000-0000-00001D000000}"/>
    <cellStyle name="Normal 17 2" xfId="102" xr:uid="{00000000-0005-0000-0000-00001E000000}"/>
    <cellStyle name="Normal 18" xfId="74" xr:uid="{00000000-0005-0000-0000-00001F000000}"/>
    <cellStyle name="Normal 18 2" xfId="104" xr:uid="{00000000-0005-0000-0000-000020000000}"/>
    <cellStyle name="Normal 19" xfId="76" xr:uid="{00000000-0005-0000-0000-000021000000}"/>
    <cellStyle name="Normal 19 2" xfId="106" xr:uid="{00000000-0005-0000-0000-000022000000}"/>
    <cellStyle name="Normal 2" xfId="5" xr:uid="{00000000-0005-0000-0000-000023000000}"/>
    <cellStyle name="Normal 2 10" xfId="36" xr:uid="{00000000-0005-0000-0000-000024000000}"/>
    <cellStyle name="Normal 2 10 2" xfId="48" xr:uid="{00000000-0005-0000-0000-000025000000}"/>
    <cellStyle name="Normal 2 11" xfId="37" xr:uid="{00000000-0005-0000-0000-000026000000}"/>
    <cellStyle name="Normal 2 11 2" xfId="49" xr:uid="{00000000-0005-0000-0000-000027000000}"/>
    <cellStyle name="Normal 2 12" xfId="38" xr:uid="{00000000-0005-0000-0000-000028000000}"/>
    <cellStyle name="Normal 2 12 2" xfId="50" xr:uid="{00000000-0005-0000-0000-000029000000}"/>
    <cellStyle name="Normal 2 13" xfId="39" xr:uid="{00000000-0005-0000-0000-00002A000000}"/>
    <cellStyle name="Normal 2 13 2" xfId="51" xr:uid="{00000000-0005-0000-0000-00002B000000}"/>
    <cellStyle name="Normal 2 14" xfId="40" xr:uid="{00000000-0005-0000-0000-00002C000000}"/>
    <cellStyle name="Normal 2 14 2" xfId="52" xr:uid="{00000000-0005-0000-0000-00002D000000}"/>
    <cellStyle name="Normal 2 15" xfId="41" xr:uid="{00000000-0005-0000-0000-00002E000000}"/>
    <cellStyle name="Normal 2 15 2" xfId="53" xr:uid="{00000000-0005-0000-0000-00002F000000}"/>
    <cellStyle name="Normal 2 16" xfId="42" xr:uid="{00000000-0005-0000-0000-000030000000}"/>
    <cellStyle name="Normal 2 16 2" xfId="54" xr:uid="{00000000-0005-0000-0000-000031000000}"/>
    <cellStyle name="Normal 2 17" xfId="43" xr:uid="{00000000-0005-0000-0000-000032000000}"/>
    <cellStyle name="Normal 2 17 2" xfId="55" xr:uid="{00000000-0005-0000-0000-000033000000}"/>
    <cellStyle name="Normal 2 18" xfId="56" xr:uid="{00000000-0005-0000-0000-000034000000}"/>
    <cellStyle name="Normal 2 18 2" xfId="61" xr:uid="{00000000-0005-0000-0000-000035000000}"/>
    <cellStyle name="Normal 2 19" xfId="57" xr:uid="{00000000-0005-0000-0000-000036000000}"/>
    <cellStyle name="Normal 2 19 2" xfId="87" xr:uid="{00000000-0005-0000-0000-000037000000}"/>
    <cellStyle name="Normal 2 2" xfId="11" xr:uid="{00000000-0005-0000-0000-000038000000}"/>
    <cellStyle name="Normal 2 2 2" xfId="24" xr:uid="{00000000-0005-0000-0000-000039000000}"/>
    <cellStyle name="Normal 2 20" xfId="58" xr:uid="{00000000-0005-0000-0000-00003A000000}"/>
    <cellStyle name="Normal 2 21" xfId="62" xr:uid="{00000000-0005-0000-0000-00003B000000}"/>
    <cellStyle name="Normal 2 21 2" xfId="89" xr:uid="{00000000-0005-0000-0000-00003C000000}"/>
    <cellStyle name="Normal 2 22" xfId="63" xr:uid="{00000000-0005-0000-0000-00003D000000}"/>
    <cellStyle name="Normal 2 22 2" xfId="90" xr:uid="{00000000-0005-0000-0000-00003E000000}"/>
    <cellStyle name="Normal 2 23" xfId="72" xr:uid="{00000000-0005-0000-0000-00003F000000}"/>
    <cellStyle name="Normal 2 23 2" xfId="103" xr:uid="{00000000-0005-0000-0000-000040000000}"/>
    <cellStyle name="Normal 2 24" xfId="75" xr:uid="{00000000-0005-0000-0000-000041000000}"/>
    <cellStyle name="Normal 2 24 2" xfId="105" xr:uid="{00000000-0005-0000-0000-000042000000}"/>
    <cellStyle name="Normal 2 25" xfId="78" xr:uid="{00000000-0005-0000-0000-000043000000}"/>
    <cellStyle name="Normal 2 25 2" xfId="108" xr:uid="{00000000-0005-0000-0000-000044000000}"/>
    <cellStyle name="Normal 2 26" xfId="81" xr:uid="{00000000-0005-0000-0000-000045000000}"/>
    <cellStyle name="Normal 2 26 2" xfId="111" xr:uid="{00000000-0005-0000-0000-000046000000}"/>
    <cellStyle name="Normal 2 27" xfId="82" xr:uid="{00000000-0005-0000-0000-000047000000}"/>
    <cellStyle name="Normal 2 27 2" xfId="112" xr:uid="{00000000-0005-0000-0000-000048000000}"/>
    <cellStyle name="Normal 2 3" xfId="2" xr:uid="{00000000-0005-0000-0000-000049000000}"/>
    <cellStyle name="Normal 2 3 2" xfId="25" xr:uid="{00000000-0005-0000-0000-00004A000000}"/>
    <cellStyle name="Normal 2 3 3" xfId="21" xr:uid="{00000000-0005-0000-0000-00004B000000}"/>
    <cellStyle name="Normal 2 4" xfId="17" xr:uid="{00000000-0005-0000-0000-00004C000000}"/>
    <cellStyle name="Normal 2 4 2" xfId="26" xr:uid="{00000000-0005-0000-0000-00004D000000}"/>
    <cellStyle name="Normal 2 4 3" xfId="22" xr:uid="{00000000-0005-0000-0000-00004E000000}"/>
    <cellStyle name="Normal 2 5" xfId="1" xr:uid="{00000000-0005-0000-0000-00004F000000}"/>
    <cellStyle name="Normal 2 5 2" xfId="30" xr:uid="{00000000-0005-0000-0000-000050000000}"/>
    <cellStyle name="Normal 2 5 3" xfId="27" xr:uid="{00000000-0005-0000-0000-000051000000}"/>
    <cellStyle name="Normal 2 6" xfId="3" xr:uid="{00000000-0005-0000-0000-000052000000}"/>
    <cellStyle name="Normal 2 6 2" xfId="28" xr:uid="{00000000-0005-0000-0000-000053000000}"/>
    <cellStyle name="Normal 2 7" xfId="29" xr:uid="{00000000-0005-0000-0000-000054000000}"/>
    <cellStyle name="Normal 2 7 2" xfId="33" xr:uid="{00000000-0005-0000-0000-000055000000}"/>
    <cellStyle name="Normal 2 8" xfId="31" xr:uid="{00000000-0005-0000-0000-000056000000}"/>
    <cellStyle name="Normal 2 8 2" xfId="34" xr:uid="{00000000-0005-0000-0000-000057000000}"/>
    <cellStyle name="Normal 2 9" xfId="32" xr:uid="{00000000-0005-0000-0000-000058000000}"/>
    <cellStyle name="Normal 2 9 2" xfId="45" xr:uid="{00000000-0005-0000-0000-000059000000}"/>
    <cellStyle name="Normal 20" xfId="77" xr:uid="{00000000-0005-0000-0000-00005A000000}"/>
    <cellStyle name="Normal 20 2" xfId="107" xr:uid="{00000000-0005-0000-0000-00005B000000}"/>
    <cellStyle name="Normal 21" xfId="79" xr:uid="{00000000-0005-0000-0000-00005C000000}"/>
    <cellStyle name="Normal 21 2" xfId="109" xr:uid="{00000000-0005-0000-0000-00005D000000}"/>
    <cellStyle name="Normal 22" xfId="80" xr:uid="{00000000-0005-0000-0000-00005E000000}"/>
    <cellStyle name="Normal 22 2" xfId="110" xr:uid="{00000000-0005-0000-0000-00005F000000}"/>
    <cellStyle name="Normal 3" xfId="12" xr:uid="{00000000-0005-0000-0000-000060000000}"/>
    <cellStyle name="Normal 3 2" xfId="23" xr:uid="{00000000-0005-0000-0000-000061000000}"/>
    <cellStyle name="Normal 36" xfId="19" xr:uid="{00000000-0005-0000-0000-000062000000}"/>
    <cellStyle name="Normal 4" xfId="13" xr:uid="{00000000-0005-0000-0000-000063000000}"/>
    <cellStyle name="Normal 4 2" xfId="46" xr:uid="{00000000-0005-0000-0000-000064000000}"/>
    <cellStyle name="Normal 5" xfId="14" xr:uid="{00000000-0005-0000-0000-000065000000}"/>
    <cellStyle name="Normal 5 2" xfId="60" xr:uid="{00000000-0005-0000-0000-000066000000}"/>
    <cellStyle name="Normal 5 3" xfId="44" xr:uid="{00000000-0005-0000-0000-000067000000}"/>
    <cellStyle name="Normal 6" xfId="15" xr:uid="{00000000-0005-0000-0000-000068000000}"/>
    <cellStyle name="Normal 6 2" xfId="91" xr:uid="{00000000-0005-0000-0000-000069000000}"/>
    <cellStyle name="Normal 7" xfId="16" xr:uid="{00000000-0005-0000-0000-00006A000000}"/>
    <cellStyle name="Normal 7 2" xfId="92" xr:uid="{00000000-0005-0000-0000-00006B000000}"/>
    <cellStyle name="Normal 8" xfId="64" xr:uid="{00000000-0005-0000-0000-00006C000000}"/>
    <cellStyle name="Normal 8 2" xfId="93" xr:uid="{00000000-0005-0000-0000-00006D000000}"/>
    <cellStyle name="Normal 9" xfId="65" xr:uid="{00000000-0005-0000-0000-00006E000000}"/>
    <cellStyle name="Normal 9 2" xfId="94" xr:uid="{00000000-0005-0000-0000-00006F000000}"/>
    <cellStyle name="Percent" xfId="18" builtinId="5"/>
  </cellStyles>
  <dxfs count="2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DE9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0" formatCode="_-* #,##0_-;\-* #,##0_-;_-* &quot;-&quot;??_-;_-@_-"/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5999938962981048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.sharepoint.com/sites/Bluewud-BOMWorking/Shared%20Documents/BOM%20Working/BOM%20Master%20-%20Bluewud.xlsx" TargetMode="External"/><Relationship Id="rId1" Type="http://schemas.openxmlformats.org/officeDocument/2006/relationships/externalLinkPath" Target="/sites/Bluewud-BOMWorking/Shared%20Documents/BOM%20Working/BOM%20Master%20-%20Bluewu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-my.sharepoint.com/personal/abhinav_bluewud_com/Documents/Commercial%20Master/MTP%20-%20Bluewud/MTP%20Bluewud%20-%20Main.xlsx" TargetMode="External"/><Relationship Id="rId1" Type="http://schemas.openxmlformats.org/officeDocument/2006/relationships/externalLinkPath" Target="https://bluewud-my.sharepoint.com/personal/abhinav_bluewud_com/Documents/Commercial%20Master/MTP%20-%20Bluewud/MTP%20Bluewud%20-%20M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XVaIxOQb2kSXuf5kQ1oQruj7c3_gdlRAsXOvSkaNgh7xD79GbJL9TLDbSHUHUeIh" itemId="01FK7E6YN7LGKBIXJCGVGICGF664HRCZSX">
      <xxl21:absoluteUrl r:id="rId2"/>
    </xxl21:alternateUrls>
    <sheetNames>
      <sheetName val="Index"/>
      <sheetName val="BOM"/>
      <sheetName val="MPP Sys"/>
      <sheetName val="Item data"/>
      <sheetName val="MP"/>
      <sheetName val="Oth Masters"/>
      <sheetName val="Sheet1"/>
      <sheetName val="App "/>
    </sheetNames>
    <sheetDataSet>
      <sheetData sheetId="0">
        <row r="1">
          <cell r="E1" t="str">
            <v>MTP Code</v>
          </cell>
          <cell r="F1" t="str">
            <v>Chck</v>
          </cell>
          <cell r="G1" t="str">
            <v>BOM</v>
          </cell>
          <cell r="H1" t="str">
            <v>BOM.F</v>
          </cell>
          <cell r="I1" t="str">
            <v>Machining</v>
          </cell>
          <cell r="J1" t="str">
            <v>Manpower</v>
          </cell>
          <cell r="K1" t="str">
            <v>Prod. Cost</v>
          </cell>
          <cell r="L1" t="str">
            <v>T.Weight</v>
          </cell>
          <cell r="M1" t="str">
            <v>P.Cost 10.7.23</v>
          </cell>
        </row>
        <row r="2">
          <cell r="E2" t="str">
            <v>SB-AA</v>
          </cell>
          <cell r="F2" t="str">
            <v>Y</v>
          </cell>
          <cell r="G2">
            <v>97.148352099591222</v>
          </cell>
          <cell r="H2">
            <v>67.420500000000004</v>
          </cell>
          <cell r="I2">
            <v>5.1928540000000005</v>
          </cell>
          <cell r="J2">
            <v>8.9313874999999996</v>
          </cell>
          <cell r="K2">
            <v>111.27259359959122</v>
          </cell>
          <cell r="L2">
            <v>1449</v>
          </cell>
          <cell r="M2">
            <v>111</v>
          </cell>
        </row>
        <row r="3">
          <cell r="E3" t="str">
            <v>B-POL-KN</v>
          </cell>
          <cell r="F3" t="str">
            <v>Y</v>
          </cell>
          <cell r="G3">
            <v>3832.4490318764269</v>
          </cell>
          <cell r="H3">
            <v>2933.2158221648888</v>
          </cell>
          <cell r="I3">
            <v>41.2102644</v>
          </cell>
          <cell r="J3">
            <v>0</v>
          </cell>
          <cell r="K3">
            <v>3873.6592962764271</v>
          </cell>
          <cell r="L3">
            <v>70721.918431760001</v>
          </cell>
          <cell r="M3">
            <v>3809</v>
          </cell>
        </row>
        <row r="4">
          <cell r="E4" t="str">
            <v>B-POL-QN</v>
          </cell>
          <cell r="F4" t="str">
            <v>Y</v>
          </cell>
          <cell r="G4">
            <v>3385.6294953711704</v>
          </cell>
          <cell r="H4">
            <v>2484.7019357019394</v>
          </cell>
          <cell r="I4">
            <v>35.953075600000005</v>
          </cell>
          <cell r="J4">
            <v>0</v>
          </cell>
          <cell r="K4">
            <v>3421.5825709711703</v>
          </cell>
          <cell r="L4">
            <v>60043.683832540002</v>
          </cell>
          <cell r="M4">
            <v>3301</v>
          </cell>
        </row>
        <row r="5">
          <cell r="E5" t="str">
            <v>B-RVB-D30N</v>
          </cell>
          <cell r="F5" t="str">
            <v>Y</v>
          </cell>
          <cell r="G5">
            <v>1419</v>
          </cell>
          <cell r="H5" t="e">
            <v>#N/A</v>
          </cell>
          <cell r="I5" t="e">
            <v>#N/A</v>
          </cell>
          <cell r="J5">
            <v>0</v>
          </cell>
          <cell r="K5" t="e">
            <v>#N/A</v>
          </cell>
          <cell r="L5" t="e">
            <v>#N/A</v>
          </cell>
          <cell r="M5" t="e">
            <v>#N/A</v>
          </cell>
        </row>
        <row r="6">
          <cell r="E6" t="str">
            <v>B-RVD-DN</v>
          </cell>
          <cell r="F6" t="str">
            <v>Y</v>
          </cell>
          <cell r="G6" t="e">
            <v>#N/A</v>
          </cell>
          <cell r="H6" t="e">
            <v>#N/A</v>
          </cell>
          <cell r="I6" t="e">
            <v>#N/A</v>
          </cell>
          <cell r="J6">
            <v>0</v>
          </cell>
          <cell r="K6" t="e">
            <v>#N/A</v>
          </cell>
          <cell r="L6" t="e">
            <v>#N/A</v>
          </cell>
          <cell r="M6" t="e">
            <v>#N/A</v>
          </cell>
        </row>
        <row r="7">
          <cell r="E7" t="str">
            <v>B-RVD-QN</v>
          </cell>
          <cell r="F7" t="str">
            <v>Y</v>
          </cell>
          <cell r="G7" t="e">
            <v>#N/A</v>
          </cell>
          <cell r="H7" t="e">
            <v>#N/A</v>
          </cell>
          <cell r="I7" t="e">
            <v>#N/A</v>
          </cell>
          <cell r="J7">
            <v>0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E8" t="str">
            <v>BT-BR</v>
          </cell>
          <cell r="F8" t="str">
            <v>Y</v>
          </cell>
          <cell r="G8" t="e">
            <v>#N/A</v>
          </cell>
          <cell r="H8" t="e">
            <v>#N/A</v>
          </cell>
          <cell r="I8" t="e">
            <v>#N/A</v>
          </cell>
          <cell r="J8">
            <v>0</v>
          </cell>
          <cell r="K8" t="e">
            <v>#N/A</v>
          </cell>
          <cell r="L8" t="e">
            <v>#N/A</v>
          </cell>
          <cell r="M8">
            <v>205</v>
          </cell>
        </row>
        <row r="9">
          <cell r="E9" t="str">
            <v>BT-ML</v>
          </cell>
          <cell r="F9" t="str">
            <v>N</v>
          </cell>
          <cell r="G9" t="e">
            <v>#N/A</v>
          </cell>
          <cell r="H9" t="e">
            <v>#N/A</v>
          </cell>
          <cell r="I9" t="e">
            <v>#N/A</v>
          </cell>
          <cell r="J9">
            <v>0</v>
          </cell>
          <cell r="K9" t="e">
            <v>#N/A</v>
          </cell>
          <cell r="L9" t="e">
            <v>#N/A</v>
          </cell>
          <cell r="M9">
            <v>262</v>
          </cell>
        </row>
        <row r="10">
          <cell r="E10" t="str">
            <v>BT-HE</v>
          </cell>
          <cell r="F10" t="str">
            <v>Y</v>
          </cell>
          <cell r="G10">
            <v>694.46505295876921</v>
          </cell>
          <cell r="H10">
            <v>125.75473372799996</v>
          </cell>
          <cell r="I10">
            <v>3.9679359999999999</v>
          </cell>
          <cell r="J10">
            <v>9.553250000000002</v>
          </cell>
          <cell r="K10">
            <v>707.98623895876926</v>
          </cell>
          <cell r="L10">
            <v>4702.7014006487798</v>
          </cell>
          <cell r="M10">
            <v>719</v>
          </cell>
        </row>
        <row r="11">
          <cell r="E11" t="str">
            <v>BT-LE-B</v>
          </cell>
          <cell r="F11" t="str">
            <v>Y</v>
          </cell>
          <cell r="G11">
            <v>643.47807903299986</v>
          </cell>
          <cell r="H11">
            <v>345.47603778299998</v>
          </cell>
          <cell r="I11">
            <v>7.1580880000000002</v>
          </cell>
          <cell r="J11">
            <v>11.3936025</v>
          </cell>
          <cell r="K11">
            <v>662.02976953299992</v>
          </cell>
          <cell r="L11">
            <v>8821.9178117100982</v>
          </cell>
          <cell r="M11">
            <v>700</v>
          </cell>
        </row>
        <row r="12">
          <cell r="E12" t="str">
            <v>BT-LE-S</v>
          </cell>
          <cell r="F12" t="str">
            <v>Y</v>
          </cell>
          <cell r="G12">
            <v>850.26098820599975</v>
          </cell>
          <cell r="H12">
            <v>536.51275320599996</v>
          </cell>
          <cell r="I12">
            <v>8.8527160000000009</v>
          </cell>
          <cell r="J12">
            <v>0</v>
          </cell>
          <cell r="K12">
            <v>859.11370420599974</v>
          </cell>
          <cell r="L12">
            <v>14061.878569192024</v>
          </cell>
          <cell r="M12">
            <v>960</v>
          </cell>
        </row>
        <row r="13">
          <cell r="E13" t="str">
            <v>BTS-LGC-8x2</v>
          </cell>
          <cell r="F13" t="str">
            <v>N</v>
          </cell>
          <cell r="G13" t="e">
            <v>#N/A</v>
          </cell>
          <cell r="H13" t="e">
            <v>#N/A</v>
          </cell>
          <cell r="I13" t="e">
            <v>#N/A</v>
          </cell>
          <cell r="J13">
            <v>0</v>
          </cell>
          <cell r="K13" t="e">
            <v>#N/A</v>
          </cell>
          <cell r="L13" t="e">
            <v>#N/A</v>
          </cell>
          <cell r="M13">
            <v>146</v>
          </cell>
        </row>
        <row r="14">
          <cell r="E14" t="str">
            <v>CCC</v>
          </cell>
          <cell r="F14" t="str">
            <v>N</v>
          </cell>
          <cell r="G14" t="e">
            <v>#N/A</v>
          </cell>
          <cell r="H14" t="e">
            <v>#N/A</v>
          </cell>
          <cell r="I14" t="e">
            <v>#N/A</v>
          </cell>
          <cell r="J14">
            <v>9.7999999999999989</v>
          </cell>
          <cell r="K14" t="e">
            <v>#N/A</v>
          </cell>
          <cell r="L14" t="e">
            <v>#N/A</v>
          </cell>
          <cell r="M14" t="e">
            <v>#N/A</v>
          </cell>
        </row>
        <row r="15">
          <cell r="E15" t="str">
            <v>BTS-LG-12x2</v>
          </cell>
          <cell r="F15" t="str">
            <v>Y</v>
          </cell>
          <cell r="G15" t="e">
            <v>#N/A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>
            <v>204</v>
          </cell>
        </row>
        <row r="16">
          <cell r="E16" t="str">
            <v>BTS-LG-18x2</v>
          </cell>
          <cell r="F16" t="str">
            <v>Y</v>
          </cell>
          <cell r="G16" t="e">
            <v>#N/A</v>
          </cell>
          <cell r="H16" t="e">
            <v>#N/A</v>
          </cell>
          <cell r="I16" t="e">
            <v>#N/A</v>
          </cell>
          <cell r="J16">
            <v>0</v>
          </cell>
          <cell r="K16" t="e">
            <v>#N/A</v>
          </cell>
          <cell r="L16" t="e">
            <v>#N/A</v>
          </cell>
          <cell r="M16">
            <v>292</v>
          </cell>
        </row>
        <row r="17">
          <cell r="E17" t="str">
            <v>CS-VW-4</v>
          </cell>
          <cell r="F17" t="str">
            <v>Y</v>
          </cell>
          <cell r="G17">
            <v>48.1277343</v>
          </cell>
          <cell r="H17">
            <v>13.447734299999999</v>
          </cell>
          <cell r="I17">
            <v>0.45151999999999998</v>
          </cell>
          <cell r="J17">
            <v>12.639129999999998</v>
          </cell>
          <cell r="K17">
            <v>61.218384299999997</v>
          </cell>
          <cell r="L17">
            <v>248.84912</v>
          </cell>
          <cell r="M17">
            <v>51</v>
          </cell>
        </row>
        <row r="18">
          <cell r="E18" t="str">
            <v>CS-VW-6</v>
          </cell>
          <cell r="F18" t="str">
            <v>Y</v>
          </cell>
          <cell r="G18">
            <v>104.201573162</v>
          </cell>
          <cell r="H18">
            <v>20.171601450000001</v>
          </cell>
          <cell r="I18">
            <v>0.67727999999999999</v>
          </cell>
          <cell r="J18">
            <v>17.556349999999998</v>
          </cell>
          <cell r="K18">
            <v>122.43520316199999</v>
          </cell>
          <cell r="L18">
            <v>434.13286591999997</v>
          </cell>
          <cell r="M18">
            <v>108</v>
          </cell>
        </row>
        <row r="19">
          <cell r="E19" t="str">
            <v>CT-ATD-LA</v>
          </cell>
          <cell r="F19" t="str">
            <v>Y</v>
          </cell>
          <cell r="G19">
            <v>1203.0124544935381</v>
          </cell>
          <cell r="H19">
            <v>992.55025603199977</v>
          </cell>
          <cell r="I19">
            <v>16.404048</v>
          </cell>
          <cell r="J19">
            <v>0</v>
          </cell>
          <cell r="K19">
            <v>1219.4165024935382</v>
          </cell>
          <cell r="L19">
            <v>23784.663572799996</v>
          </cell>
          <cell r="M19">
            <v>1409</v>
          </cell>
        </row>
        <row r="20">
          <cell r="E20" t="str">
            <v>CT-BR-RT</v>
          </cell>
          <cell r="F20" t="str">
            <v>Y</v>
          </cell>
          <cell r="G20" t="e">
            <v>#N/A</v>
          </cell>
          <cell r="H20" t="e">
            <v>#N/A</v>
          </cell>
          <cell r="I20" t="e">
            <v>#N/A</v>
          </cell>
          <cell r="J20">
            <v>0</v>
          </cell>
          <cell r="K20" t="e">
            <v>#N/A</v>
          </cell>
          <cell r="L20" t="e">
            <v>#N/A</v>
          </cell>
          <cell r="M20">
            <v>464</v>
          </cell>
        </row>
        <row r="21">
          <cell r="E21" t="str">
            <v>CT-BR-SQ</v>
          </cell>
          <cell r="F21" t="str">
            <v>Y</v>
          </cell>
          <cell r="G21" t="e">
            <v>#N/A</v>
          </cell>
          <cell r="H21" t="e">
            <v>#N/A</v>
          </cell>
          <cell r="I21" t="e">
            <v>#N/A</v>
          </cell>
          <cell r="J21">
            <v>0</v>
          </cell>
          <cell r="K21" t="e">
            <v>#N/A</v>
          </cell>
          <cell r="L21" t="e">
            <v>#N/A</v>
          </cell>
          <cell r="M21">
            <v>530</v>
          </cell>
        </row>
        <row r="22">
          <cell r="E22" t="str">
            <v>CT-CTA.P-LF</v>
          </cell>
          <cell r="F22" t="str">
            <v>Y</v>
          </cell>
          <cell r="G22">
            <v>895.64937631415398</v>
          </cell>
          <cell r="H22">
            <v>688.05288596800006</v>
          </cell>
          <cell r="I22">
            <v>9.1414100000000005</v>
          </cell>
          <cell r="J22">
            <v>0</v>
          </cell>
          <cell r="K22">
            <v>904.79078631415393</v>
          </cell>
          <cell r="L22">
            <v>18285.757577200009</v>
          </cell>
          <cell r="M22" t="e">
            <v>#N/A</v>
          </cell>
        </row>
        <row r="23">
          <cell r="E23" t="str">
            <v>CT-ML-RT</v>
          </cell>
          <cell r="F23" t="str">
            <v>N</v>
          </cell>
          <cell r="G23" t="e">
            <v>#N/A</v>
          </cell>
          <cell r="H23" t="e">
            <v>#N/A</v>
          </cell>
          <cell r="I23" t="e">
            <v>#N/A</v>
          </cell>
          <cell r="J23">
            <v>0</v>
          </cell>
          <cell r="K23" t="e">
            <v>#N/A</v>
          </cell>
          <cell r="L23" t="e">
            <v>#N/A</v>
          </cell>
          <cell r="M23">
            <v>414</v>
          </cell>
        </row>
        <row r="24">
          <cell r="E24" t="str">
            <v>CT-ML-SQ</v>
          </cell>
          <cell r="F24" t="str">
            <v>N</v>
          </cell>
          <cell r="G24" t="e">
            <v>#N/A</v>
          </cell>
          <cell r="H24" t="e">
            <v>#N/A</v>
          </cell>
          <cell r="I24" t="e">
            <v>#N/A</v>
          </cell>
          <cell r="J24">
            <v>0</v>
          </cell>
          <cell r="K24" t="e">
            <v>#N/A</v>
          </cell>
          <cell r="L24" t="e">
            <v>#N/A</v>
          </cell>
          <cell r="M24">
            <v>403</v>
          </cell>
        </row>
        <row r="25">
          <cell r="E25" t="str">
            <v>SR-CLM</v>
          </cell>
          <cell r="F25" t="str">
            <v>Y</v>
          </cell>
          <cell r="G25" t="e">
            <v>#N/A</v>
          </cell>
          <cell r="H25" t="e">
            <v>#N/A</v>
          </cell>
          <cell r="I25" t="e">
            <v>#N/A</v>
          </cell>
          <cell r="J25">
            <v>0</v>
          </cell>
          <cell r="K25" t="e">
            <v>#N/A</v>
          </cell>
          <cell r="L25" t="e">
            <v>#N/A</v>
          </cell>
          <cell r="M25" t="e">
            <v>#N/A</v>
          </cell>
        </row>
        <row r="26">
          <cell r="E26" t="str">
            <v>CT-MD-RT</v>
          </cell>
          <cell r="F26" t="str">
            <v>Y</v>
          </cell>
          <cell r="G26">
            <v>958.05469494399995</v>
          </cell>
          <cell r="H26">
            <v>742.35064694399989</v>
          </cell>
          <cell r="I26">
            <v>13.584292</v>
          </cell>
          <cell r="J26">
            <v>0</v>
          </cell>
          <cell r="K26">
            <v>971.63898694399995</v>
          </cell>
          <cell r="L26">
            <v>18903.911097599997</v>
          </cell>
          <cell r="M26">
            <v>1108</v>
          </cell>
        </row>
        <row r="27">
          <cell r="E27" t="str">
            <v>CT-MD-SQ</v>
          </cell>
          <cell r="F27" t="str">
            <v>Y</v>
          </cell>
          <cell r="G27">
            <v>956.60431616999995</v>
          </cell>
          <cell r="H27">
            <v>739.80045341999983</v>
          </cell>
          <cell r="I27">
            <v>13.438432000000002</v>
          </cell>
          <cell r="J27">
            <v>17.5</v>
          </cell>
          <cell r="K27">
            <v>987.54274816999998</v>
          </cell>
          <cell r="L27">
            <v>18992.417888</v>
          </cell>
          <cell r="M27">
            <v>1106</v>
          </cell>
        </row>
        <row r="28">
          <cell r="E28" t="str">
            <v>CT-NO-SQ</v>
          </cell>
          <cell r="F28" t="str">
            <v>Y</v>
          </cell>
          <cell r="G28">
            <v>759.63685236552305</v>
          </cell>
          <cell r="H28">
            <v>576.08233078860007</v>
          </cell>
          <cell r="I28">
            <v>10.026355200000001</v>
          </cell>
          <cell r="J28">
            <v>18.142162499999998</v>
          </cell>
          <cell r="K28">
            <v>787.80537006552311</v>
          </cell>
          <cell r="L28">
            <v>14621.767223440002</v>
          </cell>
          <cell r="M28">
            <v>866</v>
          </cell>
        </row>
        <row r="29">
          <cell r="E29" t="str">
            <v>CT-OSN-OV</v>
          </cell>
          <cell r="F29" t="str">
            <v>Y</v>
          </cell>
          <cell r="G29">
            <v>447.51164348549997</v>
          </cell>
          <cell r="H29">
            <v>317.74895348549995</v>
          </cell>
          <cell r="I29">
            <v>2.2773539999999999</v>
          </cell>
          <cell r="J29">
            <v>25.959605000000003</v>
          </cell>
          <cell r="K29">
            <v>475.74860248549999</v>
          </cell>
          <cell r="L29">
            <v>8466.6325268890414</v>
          </cell>
          <cell r="M29">
            <v>634</v>
          </cell>
        </row>
        <row r="30">
          <cell r="E30" t="str">
            <v>CT-SH.E-MI</v>
          </cell>
          <cell r="F30" t="str">
            <v>Y</v>
          </cell>
          <cell r="G30" t="e">
            <v>#N/A</v>
          </cell>
          <cell r="H30" t="e">
            <v>#N/A</v>
          </cell>
          <cell r="I30" t="e">
            <v>#N/A</v>
          </cell>
          <cell r="J30">
            <v>0</v>
          </cell>
          <cell r="K30" t="e">
            <v>#N/A</v>
          </cell>
          <cell r="L30" t="e">
            <v>#N/A</v>
          </cell>
          <cell r="M30" t="e">
            <v>#N/A</v>
          </cell>
        </row>
        <row r="31">
          <cell r="E31" t="str">
            <v>CT-TLY.E-MI</v>
          </cell>
          <cell r="F31" t="str">
            <v>Y</v>
          </cell>
          <cell r="G31">
            <v>717</v>
          </cell>
          <cell r="H31" t="e">
            <v>#N/A</v>
          </cell>
          <cell r="I31" t="e">
            <v>#N/A</v>
          </cell>
          <cell r="J31">
            <v>0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E32" t="str">
            <v>CT-TR-RTS</v>
          </cell>
          <cell r="F32" t="str">
            <v>Y</v>
          </cell>
          <cell r="G32">
            <v>720.71345239499988</v>
          </cell>
          <cell r="H32">
            <v>575.08567239499985</v>
          </cell>
          <cell r="I32">
            <v>13.390968000000001</v>
          </cell>
          <cell r="J32">
            <v>0</v>
          </cell>
          <cell r="K32">
            <v>734.10442039499992</v>
          </cell>
          <cell r="L32">
            <v>13032.699022000001</v>
          </cell>
          <cell r="M32">
            <v>847</v>
          </cell>
        </row>
        <row r="33">
          <cell r="E33" t="str">
            <v>DT-GRA</v>
          </cell>
          <cell r="F33" t="str">
            <v>Y</v>
          </cell>
          <cell r="G33">
            <v>392.28881133307686</v>
          </cell>
          <cell r="H33">
            <v>283.20386690999999</v>
          </cell>
          <cell r="I33">
            <v>7.1851520000000004</v>
          </cell>
          <cell r="J33">
            <v>0</v>
          </cell>
          <cell r="K33">
            <v>399.47396333307688</v>
          </cell>
          <cell r="L33">
            <v>6383.7605639999992</v>
          </cell>
          <cell r="M33">
            <v>435</v>
          </cell>
        </row>
        <row r="34">
          <cell r="E34" t="str">
            <v>DT-HE-3</v>
          </cell>
          <cell r="F34" t="str">
            <v>Y</v>
          </cell>
          <cell r="G34">
            <v>1263.0854800830771</v>
          </cell>
          <cell r="H34">
            <v>300.16803515999993</v>
          </cell>
          <cell r="I34">
            <v>4.0723840000000004</v>
          </cell>
          <cell r="J34">
            <v>10.833024999999999</v>
          </cell>
          <cell r="K34">
            <v>1277.990889083077</v>
          </cell>
          <cell r="L34">
            <v>10388.341954032914</v>
          </cell>
          <cell r="M34">
            <v>1355</v>
          </cell>
        </row>
        <row r="35">
          <cell r="E35" t="str">
            <v>DT-MR</v>
          </cell>
          <cell r="F35" t="str">
            <v>Y</v>
          </cell>
          <cell r="G35">
            <v>557.46822789615385</v>
          </cell>
          <cell r="H35">
            <v>177.29662965</v>
          </cell>
          <cell r="I35">
            <v>2.8923799999999997</v>
          </cell>
          <cell r="J35">
            <v>12.4462625</v>
          </cell>
          <cell r="K35">
            <v>572.80687039615384</v>
          </cell>
          <cell r="L35">
            <v>5647.0581513415063</v>
          </cell>
          <cell r="M35">
            <v>578</v>
          </cell>
        </row>
        <row r="36">
          <cell r="E36" t="str">
            <v>FT-EDR</v>
          </cell>
          <cell r="F36" t="str">
            <v>Y</v>
          </cell>
          <cell r="G36">
            <v>547.42100341415824</v>
          </cell>
          <cell r="H36">
            <v>383.72206250000005</v>
          </cell>
          <cell r="I36">
            <v>8.1163440000000016</v>
          </cell>
          <cell r="J36">
            <v>0</v>
          </cell>
          <cell r="K36">
            <v>555.53734741415826</v>
          </cell>
          <cell r="L36">
            <v>9382</v>
          </cell>
          <cell r="M36" t="e">
            <v>#N/A</v>
          </cell>
        </row>
        <row r="37">
          <cell r="E37" t="str">
            <v>GH-CE</v>
          </cell>
          <cell r="F37" t="str">
            <v>Y</v>
          </cell>
          <cell r="G37">
            <v>411.39390306307695</v>
          </cell>
          <cell r="H37">
            <v>109.01221778999999</v>
          </cell>
          <cell r="I37">
            <v>2.4195080000000004</v>
          </cell>
          <cell r="J37">
            <v>11.3287125</v>
          </cell>
          <cell r="K37">
            <v>425.14212356307695</v>
          </cell>
          <cell r="L37">
            <v>3092.7503159999997</v>
          </cell>
          <cell r="M37">
            <v>418</v>
          </cell>
        </row>
        <row r="38">
          <cell r="E38" t="str">
            <v>KH-AM</v>
          </cell>
          <cell r="F38" t="str">
            <v>Y</v>
          </cell>
          <cell r="G38">
            <v>120.4659173226179</v>
          </cell>
          <cell r="H38">
            <v>11.723434000000001</v>
          </cell>
          <cell r="I38">
            <v>36.254399999999997</v>
          </cell>
          <cell r="J38" t="e">
            <v>#N/A</v>
          </cell>
          <cell r="K38" t="e">
            <v>#N/A</v>
          </cell>
          <cell r="L38">
            <v>398.59929200000005</v>
          </cell>
          <cell r="M38">
            <v>124</v>
          </cell>
        </row>
        <row r="39">
          <cell r="E39" t="str">
            <v>KH-RZ</v>
          </cell>
          <cell r="F39" t="str">
            <v>Y</v>
          </cell>
          <cell r="G39">
            <v>118.11357365907691</v>
          </cell>
          <cell r="H39">
            <v>34.850963235999998</v>
          </cell>
          <cell r="I39">
            <v>4.9932400000000001</v>
          </cell>
          <cell r="J39">
            <v>18.244904999999996</v>
          </cell>
          <cell r="K39">
            <v>141.35171865907691</v>
          </cell>
          <cell r="L39">
            <v>130.38297599999999</v>
          </cell>
          <cell r="M39">
            <v>123</v>
          </cell>
        </row>
        <row r="40">
          <cell r="E40" t="str">
            <v>KH-SP-W5</v>
          </cell>
          <cell r="F40" t="str">
            <v>Y</v>
          </cell>
          <cell r="G40">
            <v>124.3133310910313</v>
          </cell>
          <cell r="H40">
            <v>18.980206224</v>
          </cell>
          <cell r="I40">
            <v>58.579599999999999</v>
          </cell>
          <cell r="J40" t="e">
            <v>#N/A</v>
          </cell>
          <cell r="K40" t="e">
            <v>#N/A</v>
          </cell>
          <cell r="L40">
            <v>487.98520959999996</v>
          </cell>
          <cell r="M40">
            <v>117</v>
          </cell>
        </row>
        <row r="41">
          <cell r="E41" t="str">
            <v>KH-SP-W9</v>
          </cell>
          <cell r="F41" t="str">
            <v>Y</v>
          </cell>
          <cell r="G41">
            <v>193.25294051083017</v>
          </cell>
          <cell r="H41">
            <v>42.334915559999999</v>
          </cell>
          <cell r="I41">
            <v>111.19240000000001</v>
          </cell>
          <cell r="J41" t="e">
            <v>#N/A</v>
          </cell>
          <cell r="K41" t="e">
            <v>#N/A</v>
          </cell>
          <cell r="L41">
            <v>992.21502399999986</v>
          </cell>
          <cell r="M41">
            <v>201</v>
          </cell>
        </row>
        <row r="42">
          <cell r="E42" t="str">
            <v>KH-SW-WS</v>
          </cell>
          <cell r="F42" t="str">
            <v>Y</v>
          </cell>
          <cell r="G42">
            <v>64.811319821501598</v>
          </cell>
          <cell r="H42">
            <v>7.6250476190476189</v>
          </cell>
          <cell r="I42">
            <v>12.265714285714287</v>
          </cell>
          <cell r="J42" t="e">
            <v>#N/A</v>
          </cell>
          <cell r="K42" t="e">
            <v>#N/A</v>
          </cell>
          <cell r="L42">
            <v>160.23809523809524</v>
          </cell>
          <cell r="M42">
            <v>65</v>
          </cell>
        </row>
        <row r="43">
          <cell r="E43" t="str">
            <v>LT-FN</v>
          </cell>
          <cell r="F43" t="str">
            <v>Y</v>
          </cell>
          <cell r="G43">
            <v>208.4843805567094</v>
          </cell>
          <cell r="H43">
            <v>135.80920615499997</v>
          </cell>
          <cell r="I43">
            <v>7.4587160000000008</v>
          </cell>
          <cell r="J43">
            <v>0</v>
          </cell>
          <cell r="K43">
            <v>215.94309655670941</v>
          </cell>
          <cell r="L43">
            <v>3546.2762551675946</v>
          </cell>
          <cell r="M43">
            <v>225</v>
          </cell>
        </row>
        <row r="44">
          <cell r="E44" t="str">
            <v>LT-GRA</v>
          </cell>
          <cell r="F44" t="str">
            <v>Y</v>
          </cell>
          <cell r="G44">
            <v>269.57886563499994</v>
          </cell>
          <cell r="H44">
            <v>192.83641663499998</v>
          </cell>
          <cell r="I44">
            <v>6.1559720000000002</v>
          </cell>
          <cell r="J44">
            <v>0</v>
          </cell>
          <cell r="K44">
            <v>275.73483763499996</v>
          </cell>
          <cell r="L44">
            <v>4907.6389160776507</v>
          </cell>
          <cell r="M44">
            <v>304</v>
          </cell>
        </row>
        <row r="45">
          <cell r="E45" t="str">
            <v>LT-MR</v>
          </cell>
          <cell r="F45" t="str">
            <v>Y</v>
          </cell>
          <cell r="G45">
            <v>436.30050890000001</v>
          </cell>
          <cell r="H45">
            <v>98.898888899999974</v>
          </cell>
          <cell r="I45">
            <v>2.2701799999999999</v>
          </cell>
          <cell r="J45">
            <v>0</v>
          </cell>
          <cell r="K45">
            <v>438.57068889999999</v>
          </cell>
          <cell r="L45">
            <v>3429.5108220776501</v>
          </cell>
          <cell r="M45">
            <v>441</v>
          </cell>
        </row>
        <row r="46">
          <cell r="E46" t="str">
            <v>LT-RD-AW</v>
          </cell>
          <cell r="F46" t="str">
            <v>Y</v>
          </cell>
          <cell r="G46">
            <v>441.85599467536048</v>
          </cell>
          <cell r="H46">
            <v>81.652241020832051</v>
          </cell>
          <cell r="I46">
            <v>0.87719999999999998</v>
          </cell>
          <cell r="J46">
            <v>15.362707499999999</v>
          </cell>
          <cell r="K46">
            <v>458.09590217536049</v>
          </cell>
          <cell r="L46">
            <v>2952.6442630900933</v>
          </cell>
          <cell r="M46">
            <v>439</v>
          </cell>
        </row>
        <row r="47">
          <cell r="E47" t="str">
            <v>MH-EA-4</v>
          </cell>
          <cell r="F47" t="str">
            <v>Y</v>
          </cell>
          <cell r="G47" t="e">
            <v>#N/A</v>
          </cell>
          <cell r="H47" t="e">
            <v>#N/A</v>
          </cell>
          <cell r="I47" t="e">
            <v>#N/A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E48" t="str">
            <v>PC-AY-L</v>
          </cell>
          <cell r="F48" t="str">
            <v>Y</v>
          </cell>
          <cell r="G48" t="e">
            <v>#N/A</v>
          </cell>
          <cell r="H48" t="e">
            <v>#N/A</v>
          </cell>
          <cell r="I48" t="e">
            <v>#N/A</v>
          </cell>
          <cell r="J48">
            <v>0</v>
          </cell>
          <cell r="K48" t="e">
            <v>#N/A</v>
          </cell>
          <cell r="L48" t="e">
            <v>#N/A</v>
          </cell>
          <cell r="M48">
            <v>32</v>
          </cell>
        </row>
        <row r="49">
          <cell r="E49" t="str">
            <v>PC-AY-S</v>
          </cell>
          <cell r="F49" t="str">
            <v>Y</v>
          </cell>
          <cell r="G49" t="e">
            <v>#N/A</v>
          </cell>
          <cell r="H49" t="e">
            <v>#N/A</v>
          </cell>
          <cell r="I49" t="e">
            <v>#N/A</v>
          </cell>
          <cell r="J49">
            <v>0</v>
          </cell>
          <cell r="K49" t="e">
            <v>#N/A</v>
          </cell>
          <cell r="L49" t="e">
            <v>#N/A</v>
          </cell>
          <cell r="M49">
            <v>16</v>
          </cell>
        </row>
        <row r="50">
          <cell r="E50" t="str">
            <v>PC-SM-L</v>
          </cell>
          <cell r="F50" t="str">
            <v>Y</v>
          </cell>
          <cell r="G50">
            <v>62.155151577288457</v>
          </cell>
          <cell r="H50">
            <v>9.7387505437499993</v>
          </cell>
          <cell r="I50">
            <v>0.16932</v>
          </cell>
          <cell r="J50">
            <v>0</v>
          </cell>
          <cell r="K50">
            <v>62.324471577288456</v>
          </cell>
          <cell r="L50">
            <v>148.58278111999999</v>
          </cell>
          <cell r="M50">
            <v>62</v>
          </cell>
        </row>
        <row r="51">
          <cell r="E51" t="str">
            <v>PC-SM-S</v>
          </cell>
          <cell r="F51" t="str">
            <v>Y</v>
          </cell>
          <cell r="G51">
            <v>56.894092916230768</v>
          </cell>
          <cell r="H51">
            <v>4.9323335749999995</v>
          </cell>
          <cell r="I51">
            <v>0.11287999999999999</v>
          </cell>
          <cell r="J51">
            <v>0</v>
          </cell>
          <cell r="K51">
            <v>57.006972916230765</v>
          </cell>
          <cell r="L51">
            <v>150.74286112000001</v>
          </cell>
          <cell r="M51">
            <v>56</v>
          </cell>
        </row>
        <row r="52">
          <cell r="E52" t="str">
            <v>RG-SN-NR-P3</v>
          </cell>
          <cell r="F52" t="str">
            <v>Y</v>
          </cell>
          <cell r="G52" t="e">
            <v>#N/A</v>
          </cell>
          <cell r="H52" t="e">
            <v>#N/A</v>
          </cell>
          <cell r="I52" t="e">
            <v>#N/A</v>
          </cell>
          <cell r="J52" t="e">
            <v>#N/A</v>
          </cell>
          <cell r="K52" t="e">
            <v>#N/A</v>
          </cell>
          <cell r="L52" t="e">
            <v>#N/A</v>
          </cell>
          <cell r="M52">
            <v>191</v>
          </cell>
        </row>
        <row r="53">
          <cell r="E53" t="str">
            <v>RG-SN-TH</v>
          </cell>
          <cell r="F53" t="str">
            <v>Y</v>
          </cell>
          <cell r="G53" t="e">
            <v>#N/A</v>
          </cell>
          <cell r="H53" t="e">
            <v>#N/A</v>
          </cell>
          <cell r="I53" t="e">
            <v>#N/A</v>
          </cell>
          <cell r="J53">
            <v>6.9396249999999995</v>
          </cell>
          <cell r="K53" t="e">
            <v>#N/A</v>
          </cell>
          <cell r="L53" t="e">
            <v>#N/A</v>
          </cell>
          <cell r="M53">
            <v>75</v>
          </cell>
        </row>
        <row r="54">
          <cell r="E54" t="str">
            <v>RH-SU-2-2</v>
          </cell>
          <cell r="F54" t="str">
            <v>Y</v>
          </cell>
          <cell r="G54" t="e">
            <v>#N/A</v>
          </cell>
          <cell r="H54" t="e">
            <v>#N/A</v>
          </cell>
          <cell r="I54" t="e">
            <v>#N/A</v>
          </cell>
          <cell r="J54">
            <v>11.157475</v>
          </cell>
          <cell r="K54" t="e">
            <v>#N/A</v>
          </cell>
          <cell r="L54" t="e">
            <v>#N/A</v>
          </cell>
          <cell r="M54">
            <v>124</v>
          </cell>
        </row>
        <row r="55">
          <cell r="E55" t="str">
            <v>RH-SU-4</v>
          </cell>
          <cell r="F55" t="str">
            <v>Y</v>
          </cell>
          <cell r="G55" t="e">
            <v>#N/A</v>
          </cell>
          <cell r="H55" t="e">
            <v>#N/A</v>
          </cell>
          <cell r="I55" t="e">
            <v>#N/A</v>
          </cell>
          <cell r="J55">
            <v>6.9035749999999991</v>
          </cell>
          <cell r="K55" t="e">
            <v>#N/A</v>
          </cell>
          <cell r="L55" t="e">
            <v>#N/A</v>
          </cell>
          <cell r="M55">
            <v>117</v>
          </cell>
        </row>
        <row r="56">
          <cell r="E56" t="str">
            <v>RT-T1</v>
          </cell>
          <cell r="F56" t="str">
            <v>Y</v>
          </cell>
          <cell r="G56" t="e">
            <v>#N/A</v>
          </cell>
          <cell r="H56" t="e">
            <v>#N/A</v>
          </cell>
          <cell r="I56" t="e">
            <v>#N/A</v>
          </cell>
          <cell r="J56">
            <v>0</v>
          </cell>
          <cell r="K56" t="e">
            <v>#N/A</v>
          </cell>
          <cell r="L56" t="e">
            <v>#N/A</v>
          </cell>
          <cell r="M56">
            <v>111</v>
          </cell>
        </row>
        <row r="57">
          <cell r="E57" t="str">
            <v>SB-AL-2</v>
          </cell>
          <cell r="F57" t="str">
            <v>Y</v>
          </cell>
          <cell r="G57">
            <v>112.5076704773077</v>
          </cell>
          <cell r="H57">
            <v>77.849437784999992</v>
          </cell>
          <cell r="I57">
            <v>7.4883639999999998</v>
          </cell>
          <cell r="J57">
            <v>9.5568550000000005</v>
          </cell>
          <cell r="K57">
            <v>129.5528894773077</v>
          </cell>
          <cell r="L57">
            <v>1555.6004139999998</v>
          </cell>
          <cell r="M57">
            <v>125</v>
          </cell>
        </row>
        <row r="58">
          <cell r="E58" t="str">
            <v>SB-AL-4</v>
          </cell>
          <cell r="F58" t="str">
            <v>Y</v>
          </cell>
          <cell r="G58">
            <v>199.41664105076921</v>
          </cell>
          <cell r="H58">
            <v>155.69887556999998</v>
          </cell>
          <cell r="I58">
            <v>14.976728</v>
          </cell>
          <cell r="J58" t="e">
            <v>#REF!</v>
          </cell>
          <cell r="K58" t="e">
            <v>#REF!</v>
          </cell>
          <cell r="L58">
            <v>3139.4920279999997</v>
          </cell>
          <cell r="M58">
            <v>222</v>
          </cell>
        </row>
        <row r="59">
          <cell r="E59" t="str">
            <v>SB-CB.P-T</v>
          </cell>
          <cell r="F59" t="str">
            <v>Y</v>
          </cell>
          <cell r="G59" t="e">
            <v>#N/A</v>
          </cell>
          <cell r="H59" t="e">
            <v>#N/A</v>
          </cell>
          <cell r="I59" t="e">
            <v>#N/A</v>
          </cell>
          <cell r="J59">
            <v>0</v>
          </cell>
          <cell r="K59" t="e">
            <v>#N/A</v>
          </cell>
          <cell r="L59" t="e">
            <v>#N/A</v>
          </cell>
          <cell r="M59" t="e">
            <v>#N/A</v>
          </cell>
        </row>
        <row r="60">
          <cell r="E60" t="str">
            <v>SB-CS-ISTW</v>
          </cell>
          <cell r="F60" t="str">
            <v>Y</v>
          </cell>
          <cell r="G60" t="e">
            <v>#N/A</v>
          </cell>
          <cell r="H60" t="e">
            <v>#N/A</v>
          </cell>
          <cell r="I60" t="e">
            <v>#N/A</v>
          </cell>
          <cell r="J60">
            <v>0</v>
          </cell>
          <cell r="K60" t="e">
            <v>#N/A</v>
          </cell>
          <cell r="L60" t="e">
            <v>#N/A</v>
          </cell>
          <cell r="M60">
            <v>225</v>
          </cell>
        </row>
        <row r="61">
          <cell r="E61" t="str">
            <v>SB-OS</v>
          </cell>
          <cell r="F61" t="str">
            <v>Y</v>
          </cell>
          <cell r="G61">
            <v>552.65859552093843</v>
          </cell>
          <cell r="H61">
            <v>421.59435105940003</v>
          </cell>
          <cell r="I61">
            <v>15.567144799999999</v>
          </cell>
          <cell r="J61">
            <v>10.768134999999999</v>
          </cell>
          <cell r="K61">
            <v>578.99387532093851</v>
          </cell>
          <cell r="L61">
            <v>10006.43541886843</v>
          </cell>
          <cell r="M61">
            <v>608</v>
          </cell>
        </row>
        <row r="62">
          <cell r="E62" t="str">
            <v>SB-SML</v>
          </cell>
          <cell r="F62" t="str">
            <v>Y</v>
          </cell>
          <cell r="G62" t="e">
            <v>#N/A</v>
          </cell>
          <cell r="H62" t="e">
            <v>#N/A</v>
          </cell>
          <cell r="I62" t="e">
            <v>#N/A</v>
          </cell>
          <cell r="J62">
            <v>0</v>
          </cell>
          <cell r="K62" t="e">
            <v>#N/A</v>
          </cell>
          <cell r="L62" t="e">
            <v>#N/A</v>
          </cell>
          <cell r="M62">
            <v>1187</v>
          </cell>
        </row>
        <row r="63">
          <cell r="E63" t="str">
            <v>S-CK-2</v>
          </cell>
          <cell r="F63" t="str">
            <v>Y</v>
          </cell>
          <cell r="G63">
            <v>77.293193299999999</v>
          </cell>
          <cell r="H63">
            <v>41.993193300000001</v>
          </cell>
          <cell r="I63">
            <v>1.53</v>
          </cell>
          <cell r="J63">
            <v>6.6728549999999984</v>
          </cell>
          <cell r="K63">
            <v>85.496048299999998</v>
          </cell>
          <cell r="L63">
            <v>1054.4381040000001</v>
          </cell>
          <cell r="M63">
            <v>84</v>
          </cell>
        </row>
        <row r="64">
          <cell r="E64" t="str">
            <v>S-CL</v>
          </cell>
          <cell r="F64" t="str">
            <v>Y</v>
          </cell>
          <cell r="G64">
            <v>184.68252308778844</v>
          </cell>
          <cell r="H64">
            <v>0</v>
          </cell>
          <cell r="I64">
            <v>0.34541280000000002</v>
          </cell>
          <cell r="J64">
            <v>0</v>
          </cell>
          <cell r="K64">
            <v>185.02793588778843</v>
          </cell>
          <cell r="L64">
            <v>512.00044869999999</v>
          </cell>
          <cell r="M64">
            <v>184</v>
          </cell>
        </row>
        <row r="65">
          <cell r="E65" t="str">
            <v>S-ED</v>
          </cell>
          <cell r="F65" t="str">
            <v>Y</v>
          </cell>
          <cell r="G65">
            <v>352.49649344423074</v>
          </cell>
          <cell r="H65">
            <v>32.206257674999996</v>
          </cell>
          <cell r="I65">
            <v>2.8278819999999998</v>
          </cell>
          <cell r="J65">
            <v>19.311985</v>
          </cell>
          <cell r="K65">
            <v>374.63636044423072</v>
          </cell>
          <cell r="L65">
            <v>748.77256999999997</v>
          </cell>
          <cell r="M65">
            <v>359</v>
          </cell>
        </row>
        <row r="66">
          <cell r="E66" t="str">
            <v>S-ERA</v>
          </cell>
          <cell r="F66" t="str">
            <v>Y</v>
          </cell>
          <cell r="G66">
            <v>626</v>
          </cell>
          <cell r="H66">
            <v>443.04728496894199</v>
          </cell>
          <cell r="I66">
            <v>19.83934</v>
          </cell>
          <cell r="J66">
            <v>0</v>
          </cell>
          <cell r="K66">
            <v>645.83933999999999</v>
          </cell>
          <cell r="L66">
            <v>10324</v>
          </cell>
          <cell r="M66" t="e">
            <v>#N/A</v>
          </cell>
        </row>
        <row r="67">
          <cell r="E67" t="str">
            <v>S-FE-W2</v>
          </cell>
          <cell r="F67" t="str">
            <v>Y</v>
          </cell>
          <cell r="G67">
            <v>106.10546696151673</v>
          </cell>
          <cell r="H67">
            <v>76.433681428571433</v>
          </cell>
          <cell r="I67">
            <v>90.980400000000017</v>
          </cell>
          <cell r="J67">
            <v>0</v>
          </cell>
          <cell r="K67">
            <v>197.08586696151673</v>
          </cell>
          <cell r="L67">
            <v>1772.2305142857144</v>
          </cell>
          <cell r="M67">
            <v>62</v>
          </cell>
        </row>
        <row r="68">
          <cell r="E68" t="str">
            <v>S-LC</v>
          </cell>
          <cell r="F68" t="str">
            <v>Y</v>
          </cell>
          <cell r="G68">
            <v>185.79247628565994</v>
          </cell>
          <cell r="H68">
            <v>85.471255485659981</v>
          </cell>
          <cell r="I68">
            <v>4.2684212000000006</v>
          </cell>
          <cell r="J68">
            <v>13.61969</v>
          </cell>
          <cell r="K68">
            <v>203.68058748565994</v>
          </cell>
          <cell r="L68">
            <v>1769.1214419072107</v>
          </cell>
          <cell r="M68">
            <v>197</v>
          </cell>
        </row>
        <row r="69">
          <cell r="E69" t="str">
            <v>SL-TY-3</v>
          </cell>
          <cell r="F69" t="str">
            <v>Y</v>
          </cell>
          <cell r="G69" t="e">
            <v>#N/A</v>
          </cell>
          <cell r="H69" t="e">
            <v>#N/A</v>
          </cell>
          <cell r="I69" t="e">
            <v>#N/A</v>
          </cell>
          <cell r="J69">
            <v>0</v>
          </cell>
          <cell r="K69" t="e">
            <v>#N/A</v>
          </cell>
          <cell r="L69" t="e">
            <v>#N/A</v>
          </cell>
          <cell r="M69">
            <v>823</v>
          </cell>
        </row>
        <row r="70">
          <cell r="E70" t="str">
            <v>SL-TY-B</v>
          </cell>
          <cell r="F70" t="str">
            <v>Y</v>
          </cell>
          <cell r="G70">
            <v>227.16514492299993</v>
          </cell>
          <cell r="H70">
            <v>165.34786992299996</v>
          </cell>
          <cell r="I70">
            <v>5.4986296000000001</v>
          </cell>
          <cell r="J70">
            <v>9.6632025000000006</v>
          </cell>
          <cell r="K70">
            <v>242.32697702299993</v>
          </cell>
          <cell r="L70">
            <v>3797.4751091999992</v>
          </cell>
          <cell r="M70">
            <v>258</v>
          </cell>
        </row>
        <row r="71">
          <cell r="E71" t="str">
            <v>SL-TY-S</v>
          </cell>
          <cell r="F71" t="str">
            <v>Y</v>
          </cell>
          <cell r="G71">
            <v>160.81248347829998</v>
          </cell>
          <cell r="H71">
            <v>109.9449294783</v>
          </cell>
          <cell r="I71">
            <v>5.4317448000000006</v>
          </cell>
          <cell r="J71">
            <v>8.9440049999999989</v>
          </cell>
          <cell r="K71">
            <v>175.18823327829998</v>
          </cell>
          <cell r="L71">
            <v>2791.6483737713952</v>
          </cell>
          <cell r="M71">
            <v>204</v>
          </cell>
        </row>
        <row r="72">
          <cell r="E72" t="str">
            <v>SL-VE-18</v>
          </cell>
          <cell r="F72" t="str">
            <v>Y</v>
          </cell>
          <cell r="G72">
            <v>405.58647572500001</v>
          </cell>
          <cell r="H72">
            <v>95.202985725000005</v>
          </cell>
          <cell r="I72">
            <v>2.2079599999999999</v>
          </cell>
          <cell r="J72">
            <v>0</v>
          </cell>
          <cell r="K72">
            <v>407.79443572500003</v>
          </cell>
          <cell r="L72">
            <v>3632.9277899999997</v>
          </cell>
          <cell r="M72">
            <v>424</v>
          </cell>
        </row>
        <row r="73">
          <cell r="E73" t="str">
            <v>SL-VE-24</v>
          </cell>
          <cell r="F73" t="str">
            <v>Y</v>
          </cell>
          <cell r="G73">
            <v>477.34302739999998</v>
          </cell>
          <cell r="H73">
            <v>163.9969524</v>
          </cell>
          <cell r="I73">
            <v>2.5812799999999996</v>
          </cell>
          <cell r="J73">
            <v>0</v>
          </cell>
          <cell r="K73">
            <v>479.92430739999998</v>
          </cell>
          <cell r="L73">
            <v>5073.4449599999998</v>
          </cell>
          <cell r="M73">
            <v>477</v>
          </cell>
        </row>
        <row r="74">
          <cell r="E74" t="str">
            <v>S-MO-3</v>
          </cell>
          <cell r="F74" t="str">
            <v>Y</v>
          </cell>
          <cell r="G74">
            <v>167.938767587</v>
          </cell>
          <cell r="H74">
            <v>131.33614508700001</v>
          </cell>
          <cell r="I74">
            <v>3.8063215899999996</v>
          </cell>
          <cell r="J74">
            <v>0</v>
          </cell>
          <cell r="K74">
            <v>171.74508917700001</v>
          </cell>
          <cell r="L74">
            <v>3004.0621019999999</v>
          </cell>
          <cell r="M74">
            <v>193</v>
          </cell>
        </row>
        <row r="75">
          <cell r="E75" t="str">
            <v>S-MO-5</v>
          </cell>
          <cell r="F75" t="str">
            <v>Y</v>
          </cell>
          <cell r="G75">
            <v>237.18993711675003</v>
          </cell>
          <cell r="H75">
            <v>188.86236111675001</v>
          </cell>
          <cell r="I75">
            <v>5.5265546499999996</v>
          </cell>
          <cell r="J75">
            <v>0</v>
          </cell>
          <cell r="K75">
            <v>242.71649176675004</v>
          </cell>
          <cell r="L75">
            <v>4335.2350237000001</v>
          </cell>
          <cell r="M75">
            <v>271</v>
          </cell>
        </row>
        <row r="76">
          <cell r="E76" t="str">
            <v>SR-BR-3</v>
          </cell>
          <cell r="F76" t="str">
            <v>Y</v>
          </cell>
          <cell r="G76" t="e">
            <v>#N/A</v>
          </cell>
          <cell r="H76" t="e">
            <v>#N/A</v>
          </cell>
          <cell r="I76" t="e">
            <v>#N/A</v>
          </cell>
          <cell r="J76">
            <v>0</v>
          </cell>
          <cell r="K76" t="e">
            <v>#N/A</v>
          </cell>
          <cell r="L76" t="e">
            <v>#N/A</v>
          </cell>
          <cell r="M76">
            <v>302</v>
          </cell>
        </row>
        <row r="77">
          <cell r="E77" t="str">
            <v>SR-BR-4</v>
          </cell>
          <cell r="F77" t="str">
            <v>Y</v>
          </cell>
          <cell r="G77" t="e">
            <v>#N/A</v>
          </cell>
          <cell r="H77" t="e">
            <v>#N/A</v>
          </cell>
          <cell r="I77" t="e">
            <v>#N/A</v>
          </cell>
          <cell r="J77">
            <v>0</v>
          </cell>
          <cell r="K77" t="e">
            <v>#N/A</v>
          </cell>
          <cell r="L77" t="e">
            <v>#N/A</v>
          </cell>
          <cell r="M77">
            <v>498</v>
          </cell>
        </row>
        <row r="78">
          <cell r="E78" t="str">
            <v>SR-DI-2</v>
          </cell>
          <cell r="F78" t="str">
            <v>Y</v>
          </cell>
          <cell r="G78" t="e">
            <v>#N/A</v>
          </cell>
          <cell r="H78" t="e">
            <v>#N/A</v>
          </cell>
          <cell r="I78" t="e">
            <v>#N/A</v>
          </cell>
          <cell r="J78">
            <v>0</v>
          </cell>
          <cell r="K78" t="e">
            <v>#N/A</v>
          </cell>
          <cell r="L78" t="e">
            <v>#N/A</v>
          </cell>
          <cell r="M78">
            <v>336</v>
          </cell>
        </row>
        <row r="79">
          <cell r="E79" t="str">
            <v>SR-DI-4</v>
          </cell>
          <cell r="F79" t="str">
            <v>Y</v>
          </cell>
          <cell r="G79" t="e">
            <v>#N/A</v>
          </cell>
          <cell r="H79" t="e">
            <v>#N/A</v>
          </cell>
          <cell r="I79" t="e">
            <v>#N/A</v>
          </cell>
          <cell r="J79">
            <v>0</v>
          </cell>
          <cell r="K79" t="e">
            <v>#N/A</v>
          </cell>
          <cell r="L79" t="e">
            <v>#N/A</v>
          </cell>
          <cell r="M79">
            <v>897</v>
          </cell>
        </row>
        <row r="80">
          <cell r="E80" t="str">
            <v>S-RG-2</v>
          </cell>
          <cell r="F80" t="str">
            <v>Y</v>
          </cell>
          <cell r="G80" t="e">
            <v>#N/A</v>
          </cell>
          <cell r="H80" t="e">
            <v>#N/A</v>
          </cell>
          <cell r="I80" t="e">
            <v>#N/A</v>
          </cell>
          <cell r="J80">
            <v>9.4559149999999992</v>
          </cell>
          <cell r="K80" t="e">
            <v>#N/A</v>
          </cell>
          <cell r="L80" t="e">
            <v>#N/A</v>
          </cell>
          <cell r="M80">
            <v>150</v>
          </cell>
        </row>
        <row r="81">
          <cell r="E81" t="str">
            <v>SR-KPN-3</v>
          </cell>
          <cell r="F81" t="str">
            <v>Y</v>
          </cell>
          <cell r="G81">
            <v>2549.4802118174912</v>
          </cell>
          <cell r="H81">
            <v>1737.1067193174899</v>
          </cell>
          <cell r="I81">
            <v>28.435386600000001</v>
          </cell>
          <cell r="J81">
            <v>0</v>
          </cell>
          <cell r="K81">
            <v>2577.9155984174913</v>
          </cell>
          <cell r="L81">
            <v>39100.259330756002</v>
          </cell>
          <cell r="M81">
            <v>3057</v>
          </cell>
        </row>
        <row r="82">
          <cell r="E82" t="str">
            <v>SR-LRL</v>
          </cell>
          <cell r="F82" t="str">
            <v>Y</v>
          </cell>
          <cell r="G82">
            <v>602.72825568999986</v>
          </cell>
          <cell r="H82">
            <v>486.29616068999997</v>
          </cell>
          <cell r="I82">
            <v>11.555308</v>
          </cell>
          <cell r="J82">
            <v>0</v>
          </cell>
          <cell r="K82">
            <v>614.28356368999982</v>
          </cell>
          <cell r="L82">
            <v>11882.464976000001</v>
          </cell>
          <cell r="M82">
            <v>696</v>
          </cell>
        </row>
        <row r="83">
          <cell r="E83" t="str">
            <v>SR-OLY-2</v>
          </cell>
          <cell r="F83" t="str">
            <v>Y</v>
          </cell>
          <cell r="G83" t="e">
            <v>#N/A</v>
          </cell>
          <cell r="H83" t="e">
            <v>#N/A</v>
          </cell>
          <cell r="I83" t="e">
            <v>#N/A</v>
          </cell>
          <cell r="J83">
            <v>0</v>
          </cell>
          <cell r="K83" t="e">
            <v>#N/A</v>
          </cell>
          <cell r="L83" t="e">
            <v>#N/A</v>
          </cell>
          <cell r="M83">
            <v>2397</v>
          </cell>
        </row>
        <row r="84">
          <cell r="E84" t="str">
            <v>S-T-16S2</v>
          </cell>
          <cell r="F84" t="str">
            <v>Y</v>
          </cell>
          <cell r="G84">
            <v>95.040305531538465</v>
          </cell>
          <cell r="H84">
            <v>69.315212070000001</v>
          </cell>
          <cell r="I84">
            <v>4.9812719999999997</v>
          </cell>
          <cell r="J84">
            <v>0</v>
          </cell>
          <cell r="K84">
            <v>100.02157753153847</v>
          </cell>
          <cell r="L84">
            <v>1623.0921568429865</v>
          </cell>
          <cell r="M84">
            <v>106</v>
          </cell>
        </row>
        <row r="85">
          <cell r="E85" t="str">
            <v>S-T-16S4</v>
          </cell>
          <cell r="F85" t="str">
            <v>Y</v>
          </cell>
          <cell r="G85">
            <v>195.14364907353848</v>
          </cell>
          <cell r="H85">
            <v>147.81415561200001</v>
          </cell>
          <cell r="I85">
            <v>9.0089392000000004</v>
          </cell>
          <cell r="J85">
            <v>11.362959999999998</v>
          </cell>
          <cell r="K85">
            <v>215.51554827353846</v>
          </cell>
          <cell r="L85">
            <v>3332.1428764370849</v>
          </cell>
          <cell r="M85">
            <v>218</v>
          </cell>
        </row>
        <row r="86">
          <cell r="E86" t="str">
            <v>ST-CND-LA</v>
          </cell>
          <cell r="F86" t="str">
            <v>Y</v>
          </cell>
          <cell r="G86">
            <v>792.43227842120007</v>
          </cell>
          <cell r="H86">
            <v>615.32231303658466</v>
          </cell>
          <cell r="I86">
            <v>0</v>
          </cell>
          <cell r="J86">
            <v>0</v>
          </cell>
          <cell r="K86">
            <v>792.43227842120007</v>
          </cell>
          <cell r="L86">
            <v>15190.641212377917</v>
          </cell>
          <cell r="M86">
            <v>897</v>
          </cell>
        </row>
        <row r="87">
          <cell r="E87" t="str">
            <v>S-TW12-16S2</v>
          </cell>
          <cell r="F87" t="str">
            <v>N</v>
          </cell>
          <cell r="G87" t="e">
            <v>#N/A</v>
          </cell>
          <cell r="H87" t="e">
            <v>#N/A</v>
          </cell>
          <cell r="I87" t="e">
            <v>#N/A</v>
          </cell>
          <cell r="J87">
            <v>5.4291299999999998</v>
          </cell>
          <cell r="K87" t="e">
            <v>#N/A</v>
          </cell>
          <cell r="L87" t="e">
            <v>#N/A</v>
          </cell>
          <cell r="M87">
            <v>85</v>
          </cell>
        </row>
        <row r="88">
          <cell r="E88" t="str">
            <v>ST-CND-ST</v>
          </cell>
          <cell r="F88" t="str">
            <v>Y</v>
          </cell>
          <cell r="G88">
            <v>635.7766082658203</v>
          </cell>
          <cell r="H88">
            <v>510.10419288120482</v>
          </cell>
          <cell r="I88">
            <v>8.6436241600000017</v>
          </cell>
          <cell r="J88">
            <v>0</v>
          </cell>
          <cell r="K88">
            <v>644.42023242582036</v>
          </cell>
          <cell r="L88">
            <v>12400.588493825921</v>
          </cell>
          <cell r="M88">
            <v>721</v>
          </cell>
        </row>
        <row r="89">
          <cell r="E89" t="str">
            <v>ST-GSE-WMN</v>
          </cell>
          <cell r="F89" t="str">
            <v>Y</v>
          </cell>
          <cell r="G89">
            <v>483.68553498575</v>
          </cell>
          <cell r="H89">
            <v>194.93015998575001</v>
          </cell>
          <cell r="I89">
            <v>2.7554959999999999</v>
          </cell>
          <cell r="J89">
            <v>0</v>
          </cell>
          <cell r="K89">
            <v>486.44103098574999</v>
          </cell>
          <cell r="L89">
            <v>5587.7806292999994</v>
          </cell>
          <cell r="M89">
            <v>525</v>
          </cell>
        </row>
        <row r="90">
          <cell r="E90" t="str">
            <v>ST-GSE-WMS</v>
          </cell>
          <cell r="F90" t="str">
            <v>Y</v>
          </cell>
          <cell r="G90">
            <v>557.99892787975</v>
          </cell>
          <cell r="H90">
            <v>246.54355287974994</v>
          </cell>
          <cell r="I90">
            <v>4.9945659999999998</v>
          </cell>
          <cell r="J90">
            <v>0</v>
          </cell>
          <cell r="K90">
            <v>562.99349387974996</v>
          </cell>
          <cell r="L90">
            <v>6633.0811068999992</v>
          </cell>
          <cell r="M90">
            <v>607</v>
          </cell>
        </row>
        <row r="91">
          <cell r="E91" t="str">
            <v>TS-NL</v>
          </cell>
          <cell r="F91" t="str">
            <v>Y</v>
          </cell>
          <cell r="G91">
            <v>59.696128999999999</v>
          </cell>
          <cell r="H91">
            <v>53.786708999999995</v>
          </cell>
          <cell r="I91">
            <v>3.9528400000000001</v>
          </cell>
          <cell r="J91">
            <v>5.9879049999999996</v>
          </cell>
          <cell r="K91">
            <v>69.636874000000006</v>
          </cell>
          <cell r="L91">
            <v>1083.4392</v>
          </cell>
          <cell r="M91">
            <v>83</v>
          </cell>
        </row>
        <row r="92">
          <cell r="E92" t="str">
            <v>TU-ADL</v>
          </cell>
          <cell r="F92" t="str">
            <v>Y</v>
          </cell>
          <cell r="G92">
            <v>1906.9286409027532</v>
          </cell>
          <cell r="H92">
            <v>1568.408625518138</v>
          </cell>
          <cell r="I92">
            <v>23.259346280000003</v>
          </cell>
          <cell r="J92">
            <v>0</v>
          </cell>
          <cell r="K92">
            <v>1930.1879871827532</v>
          </cell>
          <cell r="L92">
            <v>37408.573466987553</v>
          </cell>
          <cell r="M92">
            <v>2167</v>
          </cell>
        </row>
        <row r="93">
          <cell r="E93" t="str">
            <v>TU-BR</v>
          </cell>
          <cell r="F93" t="str">
            <v>Y</v>
          </cell>
          <cell r="G93" t="e">
            <v>#N/A</v>
          </cell>
          <cell r="H93" t="e">
            <v>#N/A</v>
          </cell>
          <cell r="I93" t="e">
            <v>#N/A</v>
          </cell>
          <cell r="J93">
            <v>0</v>
          </cell>
          <cell r="K93" t="e">
            <v>#N/A</v>
          </cell>
          <cell r="L93" t="e">
            <v>#N/A</v>
          </cell>
          <cell r="M93">
            <v>405</v>
          </cell>
        </row>
        <row r="94">
          <cell r="E94" t="str">
            <v>TU-CRL.O</v>
          </cell>
          <cell r="F94" t="str">
            <v>Y</v>
          </cell>
          <cell r="G94" t="e">
            <v>#N/A</v>
          </cell>
          <cell r="H94" t="e">
            <v>#N/A</v>
          </cell>
          <cell r="I94" t="e">
            <v>#N/A</v>
          </cell>
          <cell r="J94">
            <v>0</v>
          </cell>
          <cell r="K94" t="e">
            <v>#N/A</v>
          </cell>
          <cell r="L94" t="e">
            <v>#N/A</v>
          </cell>
          <cell r="M94" t="e">
            <v>#N/A</v>
          </cell>
        </row>
        <row r="95">
          <cell r="E95" t="str">
            <v>TU-DAR</v>
          </cell>
          <cell r="F95" t="str">
            <v>Y</v>
          </cell>
          <cell r="G95">
            <v>2705.1289063714894</v>
          </cell>
          <cell r="H95">
            <v>2188.4035781214893</v>
          </cell>
          <cell r="I95">
            <v>31.707889999999999</v>
          </cell>
          <cell r="J95">
            <v>0</v>
          </cell>
          <cell r="K95">
            <v>2736.8367963714895</v>
          </cell>
          <cell r="L95">
            <v>46233.298290795996</v>
          </cell>
          <cell r="M95">
            <v>3120</v>
          </cell>
        </row>
        <row r="96">
          <cell r="E96" t="str">
            <v>TU-FL.O</v>
          </cell>
          <cell r="F96" t="str">
            <v>Y</v>
          </cell>
          <cell r="G96" t="e">
            <v>#N/A</v>
          </cell>
          <cell r="H96" t="e">
            <v>#N/A</v>
          </cell>
          <cell r="I96" t="e">
            <v>#N/A</v>
          </cell>
          <cell r="J96">
            <v>0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E97" t="str">
            <v>TU-HMD.O</v>
          </cell>
          <cell r="F97" t="str">
            <v>Y</v>
          </cell>
          <cell r="G97" t="e">
            <v>#N/A</v>
          </cell>
          <cell r="H97" t="e">
            <v>#N/A</v>
          </cell>
          <cell r="I97" t="e">
            <v>#N/A</v>
          </cell>
          <cell r="J97">
            <v>0</v>
          </cell>
          <cell r="K97" t="e">
            <v>#N/A</v>
          </cell>
          <cell r="L97" t="e">
            <v>#N/A</v>
          </cell>
          <cell r="M97" t="e">
            <v>#N/A</v>
          </cell>
        </row>
        <row r="98">
          <cell r="E98" t="str">
            <v>TU-RG-L</v>
          </cell>
          <cell r="F98" t="str">
            <v>N</v>
          </cell>
          <cell r="G98" t="e">
            <v>#N/A</v>
          </cell>
          <cell r="H98" t="e">
            <v>#N/A</v>
          </cell>
          <cell r="I98" t="e">
            <v>#N/A</v>
          </cell>
          <cell r="J98">
            <v>0</v>
          </cell>
          <cell r="K98" t="e">
            <v>#N/A</v>
          </cell>
          <cell r="L98" t="e">
            <v>#N/A</v>
          </cell>
          <cell r="M98">
            <v>131</v>
          </cell>
        </row>
        <row r="99">
          <cell r="E99" t="str">
            <v>TU-ML</v>
          </cell>
          <cell r="F99" t="str">
            <v>Y</v>
          </cell>
          <cell r="G99" t="e">
            <v>#N/A</v>
          </cell>
          <cell r="H99" t="e">
            <v>#N/A</v>
          </cell>
          <cell r="I99" t="e">
            <v>#N/A</v>
          </cell>
          <cell r="J99">
            <v>0</v>
          </cell>
          <cell r="K99" t="e">
            <v>#N/A</v>
          </cell>
          <cell r="L99" t="e">
            <v>#N/A</v>
          </cell>
          <cell r="M99">
            <v>476</v>
          </cell>
        </row>
        <row r="100">
          <cell r="E100" t="str">
            <v>TU-NVH-M</v>
          </cell>
          <cell r="F100" t="str">
            <v>Y</v>
          </cell>
          <cell r="G100">
            <v>1251.60029089717</v>
          </cell>
          <cell r="H100">
            <v>894.61303876255499</v>
          </cell>
          <cell r="I100">
            <v>27.498458800000002</v>
          </cell>
          <cell r="J100">
            <v>0</v>
          </cell>
          <cell r="K100">
            <v>1279.09874969717</v>
          </cell>
          <cell r="L100">
            <v>20079.078807711998</v>
          </cell>
          <cell r="M100">
            <v>1437</v>
          </cell>
        </row>
        <row r="101">
          <cell r="E101" t="str">
            <v>TU-NVH-ST</v>
          </cell>
          <cell r="F101" t="str">
            <v>Y</v>
          </cell>
          <cell r="G101">
            <v>1597.1210761115215</v>
          </cell>
          <cell r="H101">
            <v>1220.26530207306</v>
          </cell>
          <cell r="I101">
            <v>34.351519199999991</v>
          </cell>
          <cell r="J101">
            <v>30.402767499999996</v>
          </cell>
          <cell r="K101">
            <v>1661.8753628115214</v>
          </cell>
          <cell r="L101">
            <v>28834.981354664003</v>
          </cell>
          <cell r="M101">
            <v>1852</v>
          </cell>
        </row>
        <row r="102">
          <cell r="E102" t="str">
            <v>TU-PMN-LA</v>
          </cell>
          <cell r="F102" t="str">
            <v>Y</v>
          </cell>
          <cell r="G102" t="e">
            <v>#N/A</v>
          </cell>
          <cell r="H102" t="e">
            <v>#N/A</v>
          </cell>
          <cell r="I102" t="e">
            <v>#N/A</v>
          </cell>
          <cell r="J102">
            <v>0</v>
          </cell>
          <cell r="K102" t="e">
            <v>#N/A</v>
          </cell>
          <cell r="L102" t="e">
            <v>#N/A</v>
          </cell>
          <cell r="M102">
            <v>1118</v>
          </cell>
        </row>
        <row r="103">
          <cell r="E103" t="str">
            <v>TU-PMN-ST</v>
          </cell>
          <cell r="F103" t="str">
            <v>Y</v>
          </cell>
          <cell r="G103">
            <v>805.16807836522321</v>
          </cell>
          <cell r="H103">
            <v>609.65513728830012</v>
          </cell>
          <cell r="I103">
            <v>12.294964400000001</v>
          </cell>
          <cell r="J103">
            <v>0</v>
          </cell>
          <cell r="K103">
            <v>817.46304276522324</v>
          </cell>
          <cell r="L103">
            <v>15087.44167532</v>
          </cell>
          <cell r="M103">
            <v>894</v>
          </cell>
        </row>
        <row r="104">
          <cell r="E104" t="str">
            <v>TU-PMP-S</v>
          </cell>
          <cell r="F104" t="str">
            <v>Y</v>
          </cell>
          <cell r="G104">
            <v>956.54469408820171</v>
          </cell>
          <cell r="H104">
            <v>776.72132816512487</v>
          </cell>
          <cell r="I104">
            <v>18.400766000000001</v>
          </cell>
          <cell r="J104">
            <v>0</v>
          </cell>
          <cell r="K104">
            <v>974.94546008820168</v>
          </cell>
          <cell r="L104">
            <v>18534.571649099991</v>
          </cell>
          <cell r="M104">
            <v>1004</v>
          </cell>
        </row>
        <row r="105">
          <cell r="E105" t="str">
            <v>TU-PM-STWDB</v>
          </cell>
          <cell r="F105" t="str">
            <v>Y</v>
          </cell>
          <cell r="G105" t="e">
            <v>#N/A</v>
          </cell>
          <cell r="H105" t="e">
            <v>#N/A</v>
          </cell>
          <cell r="I105" t="e">
            <v>#N/A</v>
          </cell>
          <cell r="J105">
            <v>0</v>
          </cell>
          <cell r="K105" t="e">
            <v>#N/A</v>
          </cell>
          <cell r="L105" t="e">
            <v>#N/A</v>
          </cell>
          <cell r="M105">
            <v>803</v>
          </cell>
        </row>
        <row r="106">
          <cell r="E106" t="str">
            <v>TU-PR</v>
          </cell>
          <cell r="F106" t="str">
            <v>Y</v>
          </cell>
          <cell r="G106">
            <v>505.05291750118465</v>
          </cell>
          <cell r="H106">
            <v>377.64215588579998</v>
          </cell>
          <cell r="I106">
            <v>10.6210016</v>
          </cell>
          <cell r="J106">
            <v>0</v>
          </cell>
          <cell r="K106">
            <v>515.67391910118465</v>
          </cell>
          <cell r="L106">
            <v>7098.1725015200009</v>
          </cell>
          <cell r="M106">
            <v>551</v>
          </cell>
        </row>
        <row r="107">
          <cell r="E107" t="str">
            <v>TU-RE-ST</v>
          </cell>
          <cell r="F107" t="str">
            <v>Y</v>
          </cell>
          <cell r="G107">
            <v>476.03194145200001</v>
          </cell>
          <cell r="H107">
            <v>346.96753045200006</v>
          </cell>
          <cell r="I107">
            <v>7.6500544000000001</v>
          </cell>
          <cell r="J107">
            <v>10.422055</v>
          </cell>
          <cell r="K107">
            <v>494.104050852</v>
          </cell>
          <cell r="L107">
            <v>8644.3611512958942</v>
          </cell>
          <cell r="M107">
            <v>532</v>
          </cell>
        </row>
        <row r="108">
          <cell r="E108" t="str">
            <v>TU-RG-LP</v>
          </cell>
          <cell r="F108" t="str">
            <v>Y</v>
          </cell>
          <cell r="G108" t="e">
            <v>#N/A</v>
          </cell>
          <cell r="H108" t="e">
            <v>#N/A</v>
          </cell>
          <cell r="I108" t="e">
            <v>#N/A</v>
          </cell>
          <cell r="J108">
            <v>0</v>
          </cell>
          <cell r="K108" t="e">
            <v>#N/A</v>
          </cell>
          <cell r="L108" t="e">
            <v>#N/A</v>
          </cell>
          <cell r="M108">
            <v>449</v>
          </cell>
        </row>
        <row r="109">
          <cell r="E109" t="str">
            <v>TU-SNQ-ST</v>
          </cell>
          <cell r="F109" t="str">
            <v>Y</v>
          </cell>
          <cell r="G109">
            <v>697.14709807692304</v>
          </cell>
          <cell r="H109">
            <v>526.88937499999997</v>
          </cell>
          <cell r="I109">
            <v>8.9606659999999998</v>
          </cell>
          <cell r="J109">
            <v>0</v>
          </cell>
          <cell r="K109">
            <v>706.10776407692299</v>
          </cell>
          <cell r="L109">
            <v>12274.32677966102</v>
          </cell>
          <cell r="M109" t="e">
            <v>#N/A</v>
          </cell>
        </row>
        <row r="110">
          <cell r="E110" t="str">
            <v>TU-TP</v>
          </cell>
          <cell r="F110" t="str">
            <v>Y</v>
          </cell>
          <cell r="G110">
            <v>122.22784105461538</v>
          </cell>
          <cell r="H110">
            <v>86.478695669999993</v>
          </cell>
          <cell r="I110">
            <v>5.0434919999999996</v>
          </cell>
          <cell r="J110">
            <v>5.2272499999999997</v>
          </cell>
          <cell r="K110">
            <v>132.49858305461538</v>
          </cell>
          <cell r="L110">
            <v>2114.3267673164914</v>
          </cell>
          <cell r="M110">
            <v>136</v>
          </cell>
        </row>
        <row r="111">
          <cell r="E111" t="str">
            <v>TU-TT-L</v>
          </cell>
          <cell r="F111" t="str">
            <v>Y</v>
          </cell>
          <cell r="G111">
            <v>163.63310967692311</v>
          </cell>
          <cell r="H111">
            <v>118.26890159999999</v>
          </cell>
          <cell r="I111">
            <v>4.0177119999999995</v>
          </cell>
          <cell r="J111">
            <v>6.3285774999999997</v>
          </cell>
          <cell r="K111">
            <v>173.9793991769231</v>
          </cell>
          <cell r="L111">
            <v>2995.6343667730857</v>
          </cell>
          <cell r="M111">
            <v>185</v>
          </cell>
        </row>
        <row r="112">
          <cell r="E112" t="str">
            <v>TU-TT-S</v>
          </cell>
          <cell r="F112" t="str">
            <v>Y</v>
          </cell>
          <cell r="G112">
            <v>94.258632332692287</v>
          </cell>
          <cell r="H112">
            <v>64.521618524999994</v>
          </cell>
          <cell r="I112">
            <v>3.4826200000000003</v>
          </cell>
          <cell r="J112">
            <v>5.2524849999999992</v>
          </cell>
          <cell r="K112">
            <v>102.99373733269228</v>
          </cell>
          <cell r="L112">
            <v>1605.9583883462319</v>
          </cell>
          <cell r="M112">
            <v>105</v>
          </cell>
        </row>
        <row r="113">
          <cell r="E113" t="str">
            <v>WA-BLS</v>
          </cell>
          <cell r="F113" t="str">
            <v>Y</v>
          </cell>
          <cell r="G113">
            <v>84.876097385999998</v>
          </cell>
          <cell r="H113">
            <v>52.39281738599999</v>
          </cell>
          <cell r="I113">
            <v>1.2191040000000002</v>
          </cell>
          <cell r="J113">
            <v>0</v>
          </cell>
          <cell r="K113">
            <v>86.095201385999999</v>
          </cell>
          <cell r="L113" t="e">
            <v>#N/A</v>
          </cell>
          <cell r="M113">
            <v>112</v>
          </cell>
        </row>
        <row r="114">
          <cell r="E114" t="str">
            <v>WA-CCI</v>
          </cell>
          <cell r="F114" t="str">
            <v>Y</v>
          </cell>
          <cell r="G114" t="e">
            <v>#N/A</v>
          </cell>
          <cell r="H114" t="e">
            <v>#N/A</v>
          </cell>
          <cell r="I114" t="e">
            <v>#N/A</v>
          </cell>
          <cell r="J114">
            <v>0</v>
          </cell>
          <cell r="K114" t="e">
            <v>#N/A</v>
          </cell>
          <cell r="L114" t="e">
            <v>#N/A</v>
          </cell>
          <cell r="M114" t="e">
            <v>#N/A</v>
          </cell>
        </row>
        <row r="115">
          <cell r="E115" t="str">
            <v>WA-FBA.P-DW</v>
          </cell>
          <cell r="F115" t="str">
            <v>Y</v>
          </cell>
          <cell r="G115">
            <v>106.82505783030777</v>
          </cell>
          <cell r="H115">
            <v>46.313413453125001</v>
          </cell>
          <cell r="I115">
            <v>0.98770000000000013</v>
          </cell>
          <cell r="J115">
            <v>0</v>
          </cell>
          <cell r="K115">
            <v>107.81275783030777</v>
          </cell>
          <cell r="L115">
            <v>917.65175000000011</v>
          </cell>
          <cell r="M115" t="e">
            <v>#N/A</v>
          </cell>
        </row>
        <row r="116">
          <cell r="E116" t="str">
            <v>W-AND-11N</v>
          </cell>
          <cell r="F116" t="str">
            <v>Y</v>
          </cell>
          <cell r="G116">
            <v>2753.6004375000002</v>
          </cell>
          <cell r="H116">
            <v>2079.5004374999999</v>
          </cell>
          <cell r="I116">
            <v>29.339518000000002</v>
          </cell>
          <cell r="J116">
            <v>0</v>
          </cell>
          <cell r="K116">
            <v>2782.9399555000005</v>
          </cell>
          <cell r="L116">
            <v>44775</v>
          </cell>
          <cell r="M116">
            <v>3247</v>
          </cell>
        </row>
        <row r="117">
          <cell r="E117" t="str">
            <v>WC-NIA</v>
          </cell>
          <cell r="F117" t="str">
            <v>Y</v>
          </cell>
          <cell r="G117" t="e">
            <v>#N/A</v>
          </cell>
          <cell r="H117" t="e">
            <v>#N/A</v>
          </cell>
          <cell r="I117" t="e">
            <v>#N/A</v>
          </cell>
          <cell r="J117">
            <v>0</v>
          </cell>
          <cell r="K117" t="e">
            <v>#N/A</v>
          </cell>
          <cell r="L117" t="e">
            <v>#N/A</v>
          </cell>
          <cell r="M117">
            <v>94</v>
          </cell>
        </row>
        <row r="118">
          <cell r="E118" t="str">
            <v>WT-EA</v>
          </cell>
          <cell r="F118" t="str">
            <v>Y</v>
          </cell>
          <cell r="G118">
            <v>1114.7350940076922</v>
          </cell>
          <cell r="H118">
            <v>281.17346669999995</v>
          </cell>
          <cell r="I118">
            <v>4.4619560000000007</v>
          </cell>
          <cell r="J118">
            <v>0</v>
          </cell>
          <cell r="K118">
            <v>1119.1970500076923</v>
          </cell>
          <cell r="L118">
            <v>8966.60196</v>
          </cell>
          <cell r="M118">
            <v>1169</v>
          </cell>
        </row>
        <row r="119">
          <cell r="E119" t="str">
            <v>KH-VD</v>
          </cell>
          <cell r="F119" t="str">
            <v>Y</v>
          </cell>
          <cell r="G119" t="e">
            <v>#N/A</v>
          </cell>
          <cell r="H119" t="e">
            <v>#N/A</v>
          </cell>
          <cell r="I119" t="e">
            <v>#N/A</v>
          </cell>
          <cell r="J119">
            <v>0</v>
          </cell>
          <cell r="K119" t="e">
            <v>#N/A</v>
          </cell>
          <cell r="L119" t="e">
            <v>#N/A</v>
          </cell>
          <cell r="M119">
            <v>100</v>
          </cell>
        </row>
        <row r="120">
          <cell r="E120" t="str">
            <v>PC-AY-L</v>
          </cell>
          <cell r="F120" t="str">
            <v>Y</v>
          </cell>
          <cell r="G120" t="e">
            <v>#N/A</v>
          </cell>
          <cell r="H120" t="e">
            <v>#N/A</v>
          </cell>
          <cell r="I120" t="e">
            <v>#N/A</v>
          </cell>
          <cell r="J120">
            <v>0</v>
          </cell>
          <cell r="K120" t="e">
            <v>#N/A</v>
          </cell>
          <cell r="L120" t="e">
            <v>#N/A</v>
          </cell>
          <cell r="M120">
            <v>32</v>
          </cell>
        </row>
        <row r="121">
          <cell r="E121" t="str">
            <v>RG-SN-TH</v>
          </cell>
          <cell r="F121" t="str">
            <v>Y</v>
          </cell>
          <cell r="G121" t="e">
            <v>#N/A</v>
          </cell>
          <cell r="H121" t="e">
            <v>#N/A</v>
          </cell>
          <cell r="I121" t="e">
            <v>#N/A</v>
          </cell>
          <cell r="J121">
            <v>0</v>
          </cell>
          <cell r="K121" t="e">
            <v>#N/A</v>
          </cell>
          <cell r="L121" t="e">
            <v>#N/A</v>
          </cell>
          <cell r="M121">
            <v>75</v>
          </cell>
        </row>
        <row r="122">
          <cell r="E122" t="str">
            <v>S-TCW-10P2</v>
          </cell>
          <cell r="F122" t="str">
            <v>Y</v>
          </cell>
          <cell r="G122" t="e">
            <v>#N/A</v>
          </cell>
          <cell r="H122" t="e">
            <v>#N/A</v>
          </cell>
          <cell r="I122" t="e">
            <v>#N/A</v>
          </cell>
          <cell r="J122">
            <v>0</v>
          </cell>
          <cell r="K122" t="e">
            <v>#N/A</v>
          </cell>
          <cell r="L122" t="e">
            <v>#N/A</v>
          </cell>
          <cell r="M122">
            <v>109</v>
          </cell>
        </row>
        <row r="123">
          <cell r="E123" t="str">
            <v>S-TCW-8P2</v>
          </cell>
          <cell r="F123" t="str">
            <v>Y</v>
          </cell>
          <cell r="G123" t="e">
            <v>#N/A</v>
          </cell>
          <cell r="H123" t="e">
            <v>#N/A</v>
          </cell>
          <cell r="I123" t="e">
            <v>#N/A</v>
          </cell>
          <cell r="J123">
            <v>0</v>
          </cell>
          <cell r="K123" t="e">
            <v>#N/A</v>
          </cell>
          <cell r="L123" t="e">
            <v>#N/A</v>
          </cell>
          <cell r="M123">
            <v>89</v>
          </cell>
        </row>
        <row r="124">
          <cell r="E124" t="str">
            <v>S-TW12-S4</v>
          </cell>
          <cell r="F124" t="str">
            <v>Y</v>
          </cell>
          <cell r="G124" t="e">
            <v>#N/A</v>
          </cell>
          <cell r="H124" t="e">
            <v>#N/A</v>
          </cell>
          <cell r="I124" t="e">
            <v>#N/A</v>
          </cell>
          <cell r="J124">
            <v>0</v>
          </cell>
          <cell r="K124" t="e">
            <v>#N/A</v>
          </cell>
          <cell r="L124" t="e">
            <v>#N/A</v>
          </cell>
          <cell r="M124">
            <v>138</v>
          </cell>
        </row>
        <row r="125">
          <cell r="E125" t="str">
            <v>WA-CCI.P-DW</v>
          </cell>
          <cell r="F125" t="str">
            <v>Y</v>
          </cell>
          <cell r="G125">
            <v>164.0375578303078</v>
          </cell>
          <cell r="H125">
            <v>46.313413453125001</v>
          </cell>
          <cell r="I125">
            <v>8.3475000000000001</v>
          </cell>
          <cell r="J125">
            <v>0</v>
          </cell>
          <cell r="K125">
            <v>172.3850578303078</v>
          </cell>
          <cell r="L125">
            <v>1078.6686991525426</v>
          </cell>
          <cell r="M125" t="e">
            <v>#N/A</v>
          </cell>
        </row>
        <row r="126">
          <cell r="E126" t="str">
            <v>W-AND-2N(O)</v>
          </cell>
          <cell r="F126" t="str">
            <v>Y</v>
          </cell>
          <cell r="G126" t="e">
            <v>#N/A</v>
          </cell>
          <cell r="H126" t="e">
            <v>#N/A</v>
          </cell>
          <cell r="I126" t="e">
            <v>#N/A</v>
          </cell>
          <cell r="J126">
            <v>0</v>
          </cell>
          <cell r="K126" t="e">
            <v>#N/A</v>
          </cell>
          <cell r="L126" t="e">
            <v>#N/A</v>
          </cell>
          <cell r="M126">
            <v>4836</v>
          </cell>
        </row>
        <row r="127">
          <cell r="E127" t="str">
            <v>SR-BKN-MF</v>
          </cell>
          <cell r="F127" t="str">
            <v>Y</v>
          </cell>
          <cell r="G127" t="e">
            <v>#N/A</v>
          </cell>
          <cell r="H127" t="e">
            <v>#N/A</v>
          </cell>
          <cell r="I127" t="e">
            <v>#N/A</v>
          </cell>
          <cell r="J127">
            <v>0</v>
          </cell>
          <cell r="K127" t="e">
            <v>#N/A</v>
          </cell>
          <cell r="L127" t="e">
            <v>#N/A</v>
          </cell>
          <cell r="M127" t="e">
            <v>#N/A</v>
          </cell>
        </row>
        <row r="128">
          <cell r="E128" t="str">
            <v>SR-BKN-M</v>
          </cell>
          <cell r="F128" t="str">
            <v>Y</v>
          </cell>
          <cell r="G128" t="e">
            <v>#N/A</v>
          </cell>
          <cell r="H128" t="e">
            <v>#N/A</v>
          </cell>
          <cell r="I128" t="e">
            <v>#N/A</v>
          </cell>
          <cell r="J128">
            <v>0</v>
          </cell>
          <cell r="K128" t="e">
            <v>#N/A</v>
          </cell>
          <cell r="L128" t="e">
            <v>#N/A</v>
          </cell>
          <cell r="M128" t="e">
            <v>#N/A</v>
          </cell>
        </row>
        <row r="129">
          <cell r="E129" t="str">
            <v>PF-MIS-RT</v>
          </cell>
          <cell r="F129" t="str">
            <v>Y</v>
          </cell>
          <cell r="G129">
            <v>190</v>
          </cell>
          <cell r="H129" t="e">
            <v>#N/A</v>
          </cell>
          <cell r="I129" t="e">
            <v>#N/A</v>
          </cell>
          <cell r="J129">
            <v>0</v>
          </cell>
          <cell r="K129" t="e">
            <v>#N/A</v>
          </cell>
          <cell r="L129" t="e">
            <v>#N/A</v>
          </cell>
          <cell r="M129" t="e">
            <v>#N/A</v>
          </cell>
        </row>
        <row r="130">
          <cell r="E130" t="str">
            <v>TU-BKMT</v>
          </cell>
          <cell r="F130" t="str">
            <v>NL</v>
          </cell>
          <cell r="G130">
            <v>2571</v>
          </cell>
          <cell r="H130">
            <v>1926</v>
          </cell>
          <cell r="I130" t="e">
            <v>#N/A</v>
          </cell>
          <cell r="J130">
            <v>0</v>
          </cell>
          <cell r="K130" t="e">
            <v>#N/A</v>
          </cell>
          <cell r="L130" t="e">
            <v>#N/A</v>
          </cell>
          <cell r="M130" t="e">
            <v>#N/A</v>
          </cell>
        </row>
        <row r="131">
          <cell r="E131" t="str">
            <v>B-MLT-KT</v>
          </cell>
          <cell r="F131" t="e">
            <v>#VALUE!</v>
          </cell>
          <cell r="G131">
            <v>4719.522502215731</v>
          </cell>
          <cell r="H131">
            <v>3773.2600140102354</v>
          </cell>
          <cell r="I131">
            <v>38.895265600000002</v>
          </cell>
          <cell r="J131">
            <v>0</v>
          </cell>
          <cell r="K131">
            <v>4758.4177678157312</v>
          </cell>
          <cell r="L131">
            <v>88614.980250199995</v>
          </cell>
          <cell r="M131">
            <v>5086</v>
          </cell>
        </row>
        <row r="132">
          <cell r="E132" t="str">
            <v>B-MLT-QT</v>
          </cell>
          <cell r="F132" t="str">
            <v>Y</v>
          </cell>
          <cell r="G132">
            <v>4354.9893776944418</v>
          </cell>
          <cell r="H132">
            <v>3478.9470565658694</v>
          </cell>
          <cell r="I132">
            <v>36.300338000000011</v>
          </cell>
          <cell r="J132">
            <v>0</v>
          </cell>
          <cell r="K132">
            <v>4391.2897156944418</v>
          </cell>
          <cell r="L132">
            <v>83135.098534551988</v>
          </cell>
          <cell r="M132">
            <v>4557</v>
          </cell>
        </row>
        <row r="133">
          <cell r="E133" t="str">
            <v>B-POL-KT</v>
          </cell>
          <cell r="F133" t="str">
            <v>Y</v>
          </cell>
          <cell r="G133">
            <v>4882.300057268998</v>
          </cell>
          <cell r="H133">
            <v>3742.2631106918166</v>
          </cell>
          <cell r="I133">
            <v>41.898118400000001</v>
          </cell>
          <cell r="J133">
            <v>0</v>
          </cell>
          <cell r="K133">
            <v>4924.1981756689984</v>
          </cell>
          <cell r="L133">
            <v>94601.157959616001</v>
          </cell>
          <cell r="M133">
            <v>5454</v>
          </cell>
        </row>
        <row r="134">
          <cell r="E134" t="str">
            <v>B-POL-QT</v>
          </cell>
          <cell r="F134" t="str">
            <v>Y</v>
          </cell>
          <cell r="G134">
            <v>4276.6108654382915</v>
          </cell>
          <cell r="H134">
            <v>3279.7006582649574</v>
          </cell>
          <cell r="I134">
            <v>38.938323199999999</v>
          </cell>
          <cell r="J134">
            <v>0</v>
          </cell>
          <cell r="K134">
            <v>4315.5491886382915</v>
          </cell>
          <cell r="L134">
            <v>75619.774062335986</v>
          </cell>
          <cell r="M134">
            <v>4665</v>
          </cell>
        </row>
        <row r="135">
          <cell r="E135" t="str">
            <v>B-POL-SN</v>
          </cell>
          <cell r="F135" t="str">
            <v>Y</v>
          </cell>
          <cell r="G135">
            <v>2451.5689380531203</v>
          </cell>
          <cell r="H135">
            <v>1794.01673755312</v>
          </cell>
          <cell r="I135">
            <v>25.093258000000002</v>
          </cell>
          <cell r="J135">
            <v>0</v>
          </cell>
          <cell r="K135">
            <v>2476.6621960531202</v>
          </cell>
          <cell r="L135">
            <v>40998.311804560013</v>
          </cell>
          <cell r="M135">
            <v>2400</v>
          </cell>
        </row>
        <row r="136">
          <cell r="E136" t="str">
            <v>B-RVB-D36N</v>
          </cell>
          <cell r="F136" t="str">
            <v>Y</v>
          </cell>
          <cell r="G136">
            <v>2341.55085158165</v>
          </cell>
          <cell r="H136">
            <v>1538.4116400816497</v>
          </cell>
          <cell r="I136">
            <v>24.859514799999999</v>
          </cell>
          <cell r="J136">
            <v>0</v>
          </cell>
          <cell r="K136">
            <v>2366.41036638165</v>
          </cell>
          <cell r="L136">
            <v>34586.525244060009</v>
          </cell>
          <cell r="M136" t="e">
            <v>#N/A</v>
          </cell>
        </row>
        <row r="137">
          <cell r="E137" t="str">
            <v>B-RVB-KN</v>
          </cell>
          <cell r="F137" t="str">
            <v>Y</v>
          </cell>
          <cell r="G137">
            <v>3799.1851129094398</v>
          </cell>
          <cell r="H137">
            <v>2886.9684691594398</v>
          </cell>
          <cell r="I137">
            <v>39.787758799999999</v>
          </cell>
          <cell r="J137">
            <v>0</v>
          </cell>
          <cell r="K137">
            <v>3838.9728717094399</v>
          </cell>
          <cell r="L137">
            <v>56053.896042839995</v>
          </cell>
          <cell r="M137">
            <v>3726</v>
          </cell>
        </row>
        <row r="138">
          <cell r="E138" t="str">
            <v>B-RVB-QN</v>
          </cell>
          <cell r="F138" t="str">
            <v>Y</v>
          </cell>
          <cell r="G138">
            <v>3388.2119330036098</v>
          </cell>
          <cell r="H138">
            <v>2570.4922816478402</v>
          </cell>
          <cell r="I138">
            <v>38.098577599999999</v>
          </cell>
          <cell r="J138">
            <v>0</v>
          </cell>
          <cell r="K138">
            <v>3426.3105106036101</v>
          </cell>
          <cell r="L138">
            <v>61659.101129619987</v>
          </cell>
          <cell r="M138">
            <v>3394</v>
          </cell>
        </row>
        <row r="139">
          <cell r="E139" t="str">
            <v>B-RVB-SN</v>
          </cell>
          <cell r="F139" t="str">
            <v>Y</v>
          </cell>
          <cell r="G139">
            <v>2489.0618723056004</v>
          </cell>
          <cell r="H139">
            <v>1974.0802908055998</v>
          </cell>
          <cell r="I139">
            <v>29.453152799999998</v>
          </cell>
          <cell r="J139">
            <v>0</v>
          </cell>
          <cell r="K139">
            <v>2518.5150251056002</v>
          </cell>
          <cell r="L139">
            <v>41738.718569060002</v>
          </cell>
          <cell r="M139" t="e">
            <v>#N/A</v>
          </cell>
        </row>
        <row r="140">
          <cell r="E140" t="str">
            <v>BT-CO</v>
          </cell>
          <cell r="F140" t="str">
            <v>Y</v>
          </cell>
          <cell r="G140">
            <v>369.60808916399998</v>
          </cell>
          <cell r="H140">
            <v>284.66554466399998</v>
          </cell>
          <cell r="I140">
            <v>12.306095999999998</v>
          </cell>
          <cell r="J140">
            <v>0</v>
          </cell>
          <cell r="K140">
            <v>381.914185164</v>
          </cell>
          <cell r="L140">
            <v>6060.5377855999996</v>
          </cell>
          <cell r="M140">
            <v>420</v>
          </cell>
        </row>
        <row r="141">
          <cell r="E141" t="str">
            <v>BT-NHE</v>
          </cell>
          <cell r="F141" t="str">
            <v>Y</v>
          </cell>
          <cell r="G141">
            <v>296</v>
          </cell>
          <cell r="H141"/>
          <cell r="I141"/>
          <cell r="J141"/>
          <cell r="K141"/>
          <cell r="L141"/>
          <cell r="M141"/>
        </row>
        <row r="142">
          <cell r="E142" t="str">
            <v>BT-OL</v>
          </cell>
          <cell r="F142" t="str">
            <v>Y</v>
          </cell>
          <cell r="G142">
            <v>458.34725000000009</v>
          </cell>
          <cell r="H142">
            <v>376.19725000000005</v>
          </cell>
          <cell r="I142">
            <v>7.7590720000000015</v>
          </cell>
          <cell r="J142">
            <v>12.815775</v>
          </cell>
          <cell r="K142">
            <v>478.92209700000006</v>
          </cell>
          <cell r="L142">
            <v>8112</v>
          </cell>
          <cell r="M142">
            <v>486</v>
          </cell>
        </row>
        <row r="143">
          <cell r="E143" t="str">
            <v>BT-OL-D</v>
          </cell>
          <cell r="F143" t="str">
            <v>Y</v>
          </cell>
          <cell r="G143">
            <v>575.88694814544976</v>
          </cell>
          <cell r="H143">
            <v>464.92411726544992</v>
          </cell>
          <cell r="I143">
            <v>13.214555600000001</v>
          </cell>
          <cell r="J143">
            <v>0</v>
          </cell>
          <cell r="K143">
            <v>589.1015037454498</v>
          </cell>
          <cell r="L143">
            <v>10252.115625886776</v>
          </cell>
          <cell r="M143">
            <v>677</v>
          </cell>
        </row>
        <row r="144">
          <cell r="E144" t="str">
            <v>CT-ATD</v>
          </cell>
          <cell r="F144" t="str">
            <v>Y</v>
          </cell>
          <cell r="G144">
            <v>562.6857613248078</v>
          </cell>
          <cell r="H144">
            <v>405.2746488825</v>
          </cell>
          <cell r="I144">
            <v>8.3428180000000012</v>
          </cell>
          <cell r="J144">
            <v>0</v>
          </cell>
          <cell r="K144">
            <v>571.02857932480777</v>
          </cell>
          <cell r="L144">
            <v>9356.5605030000006</v>
          </cell>
          <cell r="M144" t="e">
            <v>#N/A</v>
          </cell>
        </row>
        <row r="145">
          <cell r="E145" t="str">
            <v>CT-ATD-ST</v>
          </cell>
          <cell r="F145" t="str">
            <v>Y</v>
          </cell>
          <cell r="G145">
            <v>962.33160357415386</v>
          </cell>
          <cell r="H145">
            <v>405</v>
          </cell>
          <cell r="I145">
            <v>15.168678399999999</v>
          </cell>
          <cell r="J145">
            <v>0</v>
          </cell>
          <cell r="K145">
            <v>977.50028197415384</v>
          </cell>
          <cell r="L145">
            <v>13438.901661199998</v>
          </cell>
          <cell r="M145">
            <v>1138</v>
          </cell>
        </row>
        <row r="146">
          <cell r="E146" t="str">
            <v>CT-DOV</v>
          </cell>
          <cell r="F146" t="str">
            <v>Y</v>
          </cell>
          <cell r="G146">
            <v>1318.0791023999998</v>
          </cell>
          <cell r="H146">
            <v>1019.2791024000001</v>
          </cell>
          <cell r="I146">
            <v>17.813178000000001</v>
          </cell>
          <cell r="J146">
            <v>0</v>
          </cell>
          <cell r="K146">
            <v>1335.8922803999999</v>
          </cell>
          <cell r="L146">
            <v>21457</v>
          </cell>
          <cell r="M146">
            <v>1351</v>
          </cell>
        </row>
        <row r="147">
          <cell r="E147" t="str">
            <v>CT-ETE</v>
          </cell>
          <cell r="F147" t="str">
            <v>Y</v>
          </cell>
          <cell r="G147">
            <v>646.08061262999979</v>
          </cell>
          <cell r="H147">
            <v>451.72779962999988</v>
          </cell>
          <cell r="I147">
            <v>7.6860400000000002</v>
          </cell>
          <cell r="J147">
            <v>0</v>
          </cell>
          <cell r="K147">
            <v>653.76665262999984</v>
          </cell>
          <cell r="L147">
            <v>11446.470851999997</v>
          </cell>
          <cell r="M147" t="e">
            <v>#N/A</v>
          </cell>
        </row>
        <row r="148">
          <cell r="E148" t="str">
            <v>CT-GSE-RT</v>
          </cell>
          <cell r="F148" t="str">
            <v>Y</v>
          </cell>
          <cell r="G148">
            <v>458.26151825349228</v>
          </cell>
          <cell r="H148">
            <v>208.11898094579996</v>
          </cell>
          <cell r="I148">
            <v>3.9431023999999999</v>
          </cell>
          <cell r="J148">
            <v>0</v>
          </cell>
          <cell r="K148">
            <v>462.20462065349227</v>
          </cell>
          <cell r="L148">
            <v>5381.720965999999</v>
          </cell>
          <cell r="M148">
            <v>501</v>
          </cell>
        </row>
        <row r="149">
          <cell r="E149" t="str">
            <v>CT-GSE-RT2</v>
          </cell>
          <cell r="F149" t="str">
            <v>Y</v>
          </cell>
          <cell r="G149">
            <v>707.27552657331989</v>
          </cell>
          <cell r="H149">
            <v>349.26200857331992</v>
          </cell>
          <cell r="I149">
            <v>6.4594423999999995</v>
          </cell>
          <cell r="J149">
            <v>0</v>
          </cell>
          <cell r="K149">
            <v>713.73496897331984</v>
          </cell>
          <cell r="L149">
            <v>9982.9279925279989</v>
          </cell>
          <cell r="M149">
            <v>906</v>
          </cell>
        </row>
        <row r="150">
          <cell r="E150" t="str">
            <v>CT-GSE-SQ</v>
          </cell>
          <cell r="F150" t="str">
            <v>Y</v>
          </cell>
          <cell r="G150">
            <v>497.30363103076917</v>
          </cell>
          <cell r="H150">
            <v>233.84165429999999</v>
          </cell>
          <cell r="I150">
            <v>3.7106240000000001</v>
          </cell>
          <cell r="J150">
            <v>0</v>
          </cell>
          <cell r="K150">
            <v>501.01425503076916</v>
          </cell>
          <cell r="L150">
            <v>6253.3720399999993</v>
          </cell>
          <cell r="M150">
            <v>542</v>
          </cell>
        </row>
        <row r="151">
          <cell r="E151" t="str">
            <v>CT-GSE-SQ2</v>
          </cell>
          <cell r="F151" t="str">
            <v>Y</v>
          </cell>
          <cell r="G151">
            <v>745.54119999999989</v>
          </cell>
          <cell r="H151">
            <v>378.4292999999999</v>
          </cell>
          <cell r="I151">
            <v>6.1674640000000007</v>
          </cell>
          <cell r="J151">
            <v>0</v>
          </cell>
          <cell r="K151">
            <v>751.70866399999989</v>
          </cell>
          <cell r="L151">
            <v>11175.414393220339</v>
          </cell>
          <cell r="M151">
            <v>952</v>
          </cell>
        </row>
        <row r="152">
          <cell r="E152" t="str">
            <v>CT-KV-RT</v>
          </cell>
          <cell r="F152" t="str">
            <v>NL</v>
          </cell>
          <cell r="G152">
            <v>982.61173232237502</v>
          </cell>
          <cell r="H152">
            <v>524</v>
          </cell>
          <cell r="I152">
            <v>11.549731999999999</v>
          </cell>
          <cell r="J152">
            <v>0</v>
          </cell>
          <cell r="K152">
            <v>994.16146432237497</v>
          </cell>
          <cell r="L152">
            <v>523.71019282237501</v>
          </cell>
          <cell r="M152">
            <v>1097</v>
          </cell>
        </row>
        <row r="153">
          <cell r="E153" t="str">
            <v>CT-KV-SQ</v>
          </cell>
          <cell r="F153" t="str">
            <v>Y</v>
          </cell>
          <cell r="G153">
            <v>1307.459181008875</v>
          </cell>
          <cell r="H153">
            <v>823.34300000887492</v>
          </cell>
          <cell r="I153">
            <v>13.064907999999999</v>
          </cell>
          <cell r="J153">
            <v>0</v>
          </cell>
          <cell r="K153">
            <v>1320.5240890088751</v>
          </cell>
          <cell r="L153">
            <v>19715.41320382609</v>
          </cell>
          <cell r="M153">
            <v>1312</v>
          </cell>
        </row>
        <row r="154">
          <cell r="E154" t="str">
            <v>CT-LE</v>
          </cell>
          <cell r="F154" t="str">
            <v>Y</v>
          </cell>
          <cell r="G154">
            <v>661.25685822499986</v>
          </cell>
          <cell r="H154">
            <v>434.21730322499991</v>
          </cell>
          <cell r="I154">
            <v>8.5744600000000002</v>
          </cell>
          <cell r="J154">
            <v>0</v>
          </cell>
          <cell r="K154">
            <v>669.8313182249999</v>
          </cell>
          <cell r="L154">
            <v>11643.574449332853</v>
          </cell>
          <cell r="M154">
            <v>1289</v>
          </cell>
        </row>
        <row r="155">
          <cell r="E155" t="str">
            <v>CT-MT-RO</v>
          </cell>
          <cell r="F155" t="str">
            <v>Y</v>
          </cell>
          <cell r="G155">
            <v>537.67604832460006</v>
          </cell>
          <cell r="H155">
            <v>183.70087413120001</v>
          </cell>
          <cell r="I155">
            <v>4.6910071999999996</v>
          </cell>
          <cell r="J155">
            <v>0</v>
          </cell>
          <cell r="K155">
            <v>542.3670555246</v>
          </cell>
          <cell r="L155">
            <v>4517.9190004799993</v>
          </cell>
          <cell r="M155">
            <v>695</v>
          </cell>
        </row>
        <row r="156">
          <cell r="E156" t="str">
            <v>CT-MT-RT</v>
          </cell>
          <cell r="F156" t="str">
            <v>N</v>
          </cell>
          <cell r="G156">
            <v>492.75217945120005</v>
          </cell>
          <cell r="H156">
            <v>162.86016635999999</v>
          </cell>
          <cell r="I156">
            <v>2.5812799999999996</v>
          </cell>
          <cell r="J156">
            <v>0</v>
          </cell>
          <cell r="K156">
            <v>495.33345945120004</v>
          </cell>
          <cell r="L156">
            <v>3843.35032</v>
          </cell>
          <cell r="M156">
            <v>578</v>
          </cell>
        </row>
        <row r="157">
          <cell r="E157" t="str">
            <v>CT-MT-SQ</v>
          </cell>
          <cell r="F157" t="str">
            <v>N</v>
          </cell>
          <cell r="G157">
            <v>593.98375769120003</v>
          </cell>
          <cell r="H157">
            <v>220.21927409999998</v>
          </cell>
          <cell r="I157">
            <v>2.8301600000000002</v>
          </cell>
          <cell r="J157">
            <v>0</v>
          </cell>
          <cell r="K157">
            <v>596.8139176912</v>
          </cell>
          <cell r="L157">
            <v>5208.6044400000001</v>
          </cell>
          <cell r="M157">
            <v>614</v>
          </cell>
        </row>
        <row r="158">
          <cell r="E158" t="str">
            <v>CT-NO-RT</v>
          </cell>
          <cell r="F158" t="str">
            <v>Y</v>
          </cell>
          <cell r="G158">
            <v>593.73720053992304</v>
          </cell>
          <cell r="H158">
            <v>419.80805196299997</v>
          </cell>
          <cell r="I158">
            <v>9.4270439999999986</v>
          </cell>
          <cell r="J158">
            <v>16.289192499999999</v>
          </cell>
          <cell r="K158">
            <v>619.45343703992307</v>
          </cell>
          <cell r="L158">
            <v>10756.615912551324</v>
          </cell>
          <cell r="M158">
            <v>836</v>
          </cell>
        </row>
        <row r="159">
          <cell r="E159" t="str">
            <v>CT-OL</v>
          </cell>
          <cell r="F159" t="str">
            <v>Y</v>
          </cell>
          <cell r="G159">
            <v>565.86541745600005</v>
          </cell>
          <cell r="H159">
            <v>442.80525795599993</v>
          </cell>
          <cell r="I159">
            <v>8.492519999999999</v>
          </cell>
          <cell r="J159">
            <v>15.860197499999998</v>
          </cell>
          <cell r="K159">
            <v>590.21813495600009</v>
          </cell>
          <cell r="L159">
            <v>11287.168901329636</v>
          </cell>
          <cell r="M159">
            <v>755</v>
          </cell>
        </row>
        <row r="160">
          <cell r="E160" t="str">
            <v>CT-OSN-RT</v>
          </cell>
          <cell r="F160" t="str">
            <v>Y</v>
          </cell>
          <cell r="G160">
            <v>457.44355848549992</v>
          </cell>
          <cell r="H160">
            <v>329.32055348549994</v>
          </cell>
          <cell r="I160">
            <v>8.2647539999999999</v>
          </cell>
          <cell r="J160">
            <v>14.762474999999997</v>
          </cell>
          <cell r="K160">
            <v>480.4707874854999</v>
          </cell>
          <cell r="L160">
            <v>8494.1627246324952</v>
          </cell>
          <cell r="M160">
            <v>603</v>
          </cell>
        </row>
        <row r="161">
          <cell r="E161" t="str">
            <v>CT-SH</v>
          </cell>
          <cell r="F161" t="str">
            <v>Y</v>
          </cell>
          <cell r="G161">
            <v>664</v>
          </cell>
          <cell r="H161">
            <v>502</v>
          </cell>
          <cell r="I161" t="e">
            <v>#N/A</v>
          </cell>
          <cell r="J161">
            <v>0</v>
          </cell>
          <cell r="K161" t="e">
            <v>#N/A</v>
          </cell>
          <cell r="L161">
            <v>12260</v>
          </cell>
          <cell r="M161" t="e">
            <v>#N/A</v>
          </cell>
        </row>
        <row r="162">
          <cell r="E162" t="str">
            <v>CT-SY</v>
          </cell>
          <cell r="F162" t="str">
            <v>Y</v>
          </cell>
          <cell r="G162">
            <v>659.89923818526916</v>
          </cell>
          <cell r="H162">
            <v>426.23578395450005</v>
          </cell>
          <cell r="I162">
            <v>7.5349100000000009</v>
          </cell>
          <cell r="J162">
            <v>17.089502499999998</v>
          </cell>
          <cell r="K162">
            <v>684.5236506852691</v>
          </cell>
          <cell r="L162">
            <v>11447.543830796587</v>
          </cell>
          <cell r="M162">
            <v>1197</v>
          </cell>
        </row>
        <row r="163">
          <cell r="E163" t="str">
            <v>CT-TLY</v>
          </cell>
          <cell r="F163" t="str">
            <v>Y</v>
          </cell>
          <cell r="G163">
            <v>718.01042149815385</v>
          </cell>
          <cell r="H163">
            <v>496.202624652</v>
          </cell>
          <cell r="I163">
            <v>7.1528520000000011</v>
          </cell>
          <cell r="J163">
            <v>0</v>
          </cell>
          <cell r="K163">
            <v>725.1632734981539</v>
          </cell>
          <cell r="L163">
            <v>13437.934720799998</v>
          </cell>
          <cell r="M163" t="e">
            <v>#N/A</v>
          </cell>
        </row>
        <row r="164">
          <cell r="E164" t="str">
            <v>CT-TR-RT</v>
          </cell>
          <cell r="F164"/>
          <cell r="G164">
            <v>701</v>
          </cell>
          <cell r="H164">
            <v>454</v>
          </cell>
          <cell r="I164"/>
          <cell r="J164"/>
          <cell r="K164"/>
          <cell r="L164">
            <v>12000</v>
          </cell>
          <cell r="M164"/>
        </row>
        <row r="165">
          <cell r="E165" t="str">
            <v>CT-TR-RTL</v>
          </cell>
          <cell r="F165" t="str">
            <v>Y</v>
          </cell>
          <cell r="G165">
            <v>885.12643855599993</v>
          </cell>
          <cell r="H165">
            <v>711.52332830599983</v>
          </cell>
          <cell r="I165">
            <v>14.007252000000001</v>
          </cell>
          <cell r="J165">
            <v>0</v>
          </cell>
          <cell r="K165">
            <v>899.13369055599992</v>
          </cell>
          <cell r="L165">
            <v>17694.824566400002</v>
          </cell>
          <cell r="M165">
            <v>1018</v>
          </cell>
        </row>
        <row r="166">
          <cell r="E166" t="str">
            <v>CT-TYU</v>
          </cell>
          <cell r="F166" t="str">
            <v>N</v>
          </cell>
          <cell r="G166">
            <v>822.16693538746893</v>
          </cell>
          <cell r="H166">
            <v>569.99888615669988</v>
          </cell>
          <cell r="I166">
            <v>9.0949728000000007</v>
          </cell>
          <cell r="J166" t="e">
            <v>#N/A</v>
          </cell>
          <cell r="K166" t="e">
            <v>#N/A</v>
          </cell>
          <cell r="L166">
            <v>11000</v>
          </cell>
          <cell r="M166" t="e">
            <v>#N/A</v>
          </cell>
        </row>
        <row r="167">
          <cell r="E167" t="str">
            <v>CT-VC</v>
          </cell>
          <cell r="F167" t="str">
            <v>Y</v>
          </cell>
          <cell r="G167">
            <v>811.26586461538454</v>
          </cell>
          <cell r="H167">
            <v>608.44001700000001</v>
          </cell>
          <cell r="I167">
            <v>13.432380000000002</v>
          </cell>
          <cell r="J167">
            <v>18.068259999999999</v>
          </cell>
          <cell r="K167">
            <v>842.76650461538452</v>
          </cell>
          <cell r="L167">
            <v>15171.843423497628</v>
          </cell>
          <cell r="M167">
            <v>1144</v>
          </cell>
        </row>
        <row r="168">
          <cell r="E168" t="str">
            <v>DC-CLV</v>
          </cell>
          <cell r="F168" t="str">
            <v>Y</v>
          </cell>
          <cell r="G168">
            <v>2418.9321368285691</v>
          </cell>
          <cell r="H168">
            <v>1681.1378891477998</v>
          </cell>
          <cell r="I168">
            <v>33.962899199999995</v>
          </cell>
          <cell r="J168">
            <v>0</v>
          </cell>
          <cell r="K168">
            <v>2452.8950360285689</v>
          </cell>
          <cell r="L168">
            <v>36590.880657599992</v>
          </cell>
          <cell r="M168" t="e">
            <v>#N/A</v>
          </cell>
        </row>
        <row r="169">
          <cell r="E169" t="str">
            <v>DC-MYN-LA</v>
          </cell>
          <cell r="F169" t="str">
            <v>Y</v>
          </cell>
          <cell r="G169">
            <v>3896.3145523467028</v>
          </cell>
          <cell r="H169">
            <v>2636.8172619236252</v>
          </cell>
          <cell r="I169">
            <v>54.95421360000001</v>
          </cell>
          <cell r="J169">
            <v>0</v>
          </cell>
          <cell r="K169">
            <v>3951.2687659467028</v>
          </cell>
          <cell r="L169">
            <v>60545.831617440002</v>
          </cell>
          <cell r="M169" t="e">
            <v>#N/A</v>
          </cell>
        </row>
        <row r="170">
          <cell r="E170" t="str">
            <v>DC-MYN-ST</v>
          </cell>
          <cell r="F170" t="str">
            <v>Y</v>
          </cell>
          <cell r="G170">
            <v>2572.2927285075693</v>
          </cell>
          <cell r="H170">
            <v>1767.8193492767998</v>
          </cell>
          <cell r="I170">
            <v>34.607471199999999</v>
          </cell>
          <cell r="J170">
            <v>0</v>
          </cell>
          <cell r="K170">
            <v>2606.9001997075693</v>
          </cell>
          <cell r="L170">
            <v>38098.171315200008</v>
          </cell>
          <cell r="M170" t="e">
            <v>#N/A</v>
          </cell>
        </row>
        <row r="171">
          <cell r="E171" t="str">
            <v>DT-HE-4</v>
          </cell>
          <cell r="F171" t="str">
            <v>Y</v>
          </cell>
          <cell r="G171">
            <v>1592.4667465292</v>
          </cell>
          <cell r="H171">
            <v>536.43412402919989</v>
          </cell>
          <cell r="I171">
            <v>6.6331416000000001</v>
          </cell>
          <cell r="J171">
            <v>12.653549999999999</v>
          </cell>
          <cell r="K171">
            <v>1611.7534381292</v>
          </cell>
          <cell r="L171">
            <v>16426.759499999996</v>
          </cell>
          <cell r="M171">
            <v>1688</v>
          </cell>
        </row>
        <row r="172">
          <cell r="E172" t="str">
            <v>GH-IS</v>
          </cell>
          <cell r="F172" t="str">
            <v>Y</v>
          </cell>
          <cell r="G172">
            <v>99.754548074538462</v>
          </cell>
          <cell r="H172">
            <v>71.753362113000009</v>
          </cell>
          <cell r="I172">
            <v>6.6118984000000003</v>
          </cell>
          <cell r="J172">
            <v>5.748172499999999</v>
          </cell>
          <cell r="K172">
            <v>112.11461897453846</v>
          </cell>
          <cell r="L172">
            <v>329.12391059612713</v>
          </cell>
          <cell r="M172">
            <v>112</v>
          </cell>
        </row>
        <row r="173">
          <cell r="E173" t="str">
            <v>KC-OPT-1N</v>
          </cell>
          <cell r="F173" t="str">
            <v>Y</v>
          </cell>
          <cell r="G173">
            <v>1038</v>
          </cell>
          <cell r="H173"/>
          <cell r="I173"/>
          <cell r="J173"/>
          <cell r="K173"/>
          <cell r="L173"/>
          <cell r="M173"/>
        </row>
        <row r="174">
          <cell r="E174" t="str">
            <v>KC-OPT-1S</v>
          </cell>
          <cell r="F174" t="str">
            <v>Y</v>
          </cell>
          <cell r="G174">
            <v>1040</v>
          </cell>
          <cell r="H174"/>
          <cell r="I174"/>
          <cell r="J174"/>
          <cell r="K174"/>
          <cell r="L174"/>
          <cell r="M174"/>
        </row>
        <row r="175">
          <cell r="E175" t="str">
            <v>KC-OPT-2N</v>
          </cell>
          <cell r="F175"/>
          <cell r="G175">
            <v>2086</v>
          </cell>
          <cell r="H175"/>
          <cell r="I175"/>
          <cell r="J175"/>
          <cell r="K175"/>
          <cell r="L175"/>
          <cell r="M175"/>
        </row>
        <row r="176">
          <cell r="E176" t="str">
            <v>KC-OPT-2S</v>
          </cell>
          <cell r="F176"/>
          <cell r="G176">
            <v>2080</v>
          </cell>
          <cell r="H176"/>
          <cell r="I176"/>
          <cell r="J176"/>
          <cell r="K176"/>
          <cell r="L176"/>
          <cell r="M176"/>
        </row>
        <row r="177">
          <cell r="E177" t="str">
            <v>KC-SRN</v>
          </cell>
          <cell r="F177" t="str">
            <v>Y</v>
          </cell>
          <cell r="G177">
            <v>2018</v>
          </cell>
          <cell r="H177"/>
          <cell r="I177"/>
          <cell r="J177"/>
          <cell r="K177"/>
          <cell r="L177"/>
          <cell r="M177"/>
        </row>
        <row r="178">
          <cell r="E178" t="str">
            <v>KH-EDL</v>
          </cell>
          <cell r="F178" t="str">
            <v>NL</v>
          </cell>
          <cell r="G178">
            <v>38</v>
          </cell>
          <cell r="H178">
            <v>14</v>
          </cell>
          <cell r="I178" t="e">
            <v>#VALUE!</v>
          </cell>
          <cell r="J178">
            <v>0</v>
          </cell>
          <cell r="K178" t="e">
            <v>#VALUE!</v>
          </cell>
          <cell r="L178">
            <v>14.120121014999997</v>
          </cell>
          <cell r="M178" t="e">
            <v>#N/A</v>
          </cell>
        </row>
        <row r="179">
          <cell r="E179" t="str">
            <v>KH-LKN-6</v>
          </cell>
          <cell r="F179" t="str">
            <v>Y</v>
          </cell>
          <cell r="G179">
            <v>69.248244377182772</v>
          </cell>
          <cell r="H179">
            <v>37.317599999999999</v>
          </cell>
          <cell r="I179">
            <v>1.64798</v>
          </cell>
          <cell r="J179">
            <v>0</v>
          </cell>
          <cell r="K179">
            <v>70.896224377182776</v>
          </cell>
          <cell r="L179">
            <v>1194.0518644067797</v>
          </cell>
          <cell r="M179" t="e">
            <v>#N/A</v>
          </cell>
        </row>
        <row r="180">
          <cell r="E180" t="str">
            <v>KH-RMT</v>
          </cell>
          <cell r="F180" t="str">
            <v>NL</v>
          </cell>
          <cell r="G180">
            <v>33</v>
          </cell>
          <cell r="H180">
            <v>15</v>
          </cell>
          <cell r="I180">
            <v>36.017691999999997</v>
          </cell>
          <cell r="J180">
            <v>0</v>
          </cell>
          <cell r="K180">
            <v>69.017691999999997</v>
          </cell>
          <cell r="L180">
            <v>15.464894444999997</v>
          </cell>
          <cell r="M180" t="e">
            <v>#N/A</v>
          </cell>
        </row>
        <row r="181">
          <cell r="E181" t="str">
            <v>KHS-SW-W1</v>
          </cell>
          <cell r="F181" t="str">
            <v>Y</v>
          </cell>
          <cell r="G181">
            <v>110.56589638147264</v>
          </cell>
          <cell r="H181">
            <v>39.51265111499999</v>
          </cell>
          <cell r="I181">
            <v>72.55203800000001</v>
          </cell>
          <cell r="J181">
            <v>8.6610124999999982</v>
          </cell>
          <cell r="K181">
            <v>191.77894688147265</v>
          </cell>
          <cell r="L181">
            <v>871.60714599999972</v>
          </cell>
          <cell r="M181">
            <v>101</v>
          </cell>
        </row>
        <row r="182">
          <cell r="E182" t="str">
            <v>KH-SUT-10</v>
          </cell>
          <cell r="F182" t="str">
            <v>NL</v>
          </cell>
          <cell r="G182">
            <v>50</v>
          </cell>
          <cell r="H182">
            <v>15</v>
          </cell>
          <cell r="I182">
            <v>47.069775272727277</v>
          </cell>
          <cell r="J182">
            <v>0</v>
          </cell>
          <cell r="K182">
            <v>97.06977527272727</v>
          </cell>
          <cell r="L182">
            <v>14.826127065749997</v>
          </cell>
          <cell r="M182" t="e">
            <v>#N/A</v>
          </cell>
        </row>
        <row r="183">
          <cell r="E183" t="str">
            <v>KH-SUT-21</v>
          </cell>
          <cell r="F183" t="str">
            <v>NL</v>
          </cell>
          <cell r="G183">
            <v>58</v>
          </cell>
          <cell r="H183">
            <v>31</v>
          </cell>
          <cell r="I183" t="e">
            <v>#N/A</v>
          </cell>
          <cell r="J183">
            <v>0</v>
          </cell>
          <cell r="K183" t="e">
            <v>#N/A</v>
          </cell>
          <cell r="L183" t="e">
            <v>#N/A</v>
          </cell>
          <cell r="M183" t="e">
            <v>#N/A</v>
          </cell>
        </row>
        <row r="184">
          <cell r="E184" t="str">
            <v>KH-SUT-5</v>
          </cell>
          <cell r="F184" t="str">
            <v>NL</v>
          </cell>
          <cell r="G184">
            <v>19</v>
          </cell>
          <cell r="H184">
            <v>6</v>
          </cell>
          <cell r="I184">
            <v>17.137357142857141</v>
          </cell>
          <cell r="J184">
            <v>0</v>
          </cell>
          <cell r="K184">
            <v>36.137357142857141</v>
          </cell>
          <cell r="L184">
            <v>7.1389999999999993</v>
          </cell>
          <cell r="M184" t="e">
            <v>#N/A</v>
          </cell>
        </row>
        <row r="185">
          <cell r="E185" t="str">
            <v>KH-SW-W10</v>
          </cell>
          <cell r="F185" t="str">
            <v>Y</v>
          </cell>
          <cell r="G185">
            <v>146</v>
          </cell>
          <cell r="H185">
            <v>24</v>
          </cell>
          <cell r="I185" t="e">
            <v>#N/A</v>
          </cell>
          <cell r="J185">
            <v>7.4262999999999986</v>
          </cell>
          <cell r="K185" t="e">
            <v>#N/A</v>
          </cell>
          <cell r="L185">
            <v>469</v>
          </cell>
          <cell r="M185">
            <v>149</v>
          </cell>
        </row>
        <row r="186">
          <cell r="E186" t="str">
            <v>KH-SW-W21</v>
          </cell>
          <cell r="F186" t="str">
            <v>Y</v>
          </cell>
          <cell r="G186">
            <v>286</v>
          </cell>
          <cell r="H186">
            <v>44</v>
          </cell>
          <cell r="I186" t="e">
            <v>#N/A</v>
          </cell>
          <cell r="J186">
            <v>8.6970624999999995</v>
          </cell>
          <cell r="K186" t="e">
            <v>#N/A</v>
          </cell>
          <cell r="L186">
            <v>916</v>
          </cell>
          <cell r="M186">
            <v>291</v>
          </cell>
        </row>
        <row r="187">
          <cell r="E187" t="str">
            <v>KH-SW-WB</v>
          </cell>
          <cell r="F187" t="str">
            <v>Y</v>
          </cell>
          <cell r="G187">
            <v>72</v>
          </cell>
          <cell r="H187">
            <v>13</v>
          </cell>
          <cell r="I187" t="e">
            <v>#N/A</v>
          </cell>
          <cell r="J187">
            <v>6.6944849999999976</v>
          </cell>
          <cell r="K187" t="e">
            <v>#N/A</v>
          </cell>
          <cell r="L187">
            <v>224</v>
          </cell>
          <cell r="M187">
            <v>71</v>
          </cell>
        </row>
        <row r="188">
          <cell r="E188" t="str">
            <v>KH-TO-18</v>
          </cell>
          <cell r="F188" t="str">
            <v>Y</v>
          </cell>
          <cell r="G188">
            <v>248.43862754236557</v>
          </cell>
          <cell r="H188">
            <v>118.943858003904</v>
          </cell>
          <cell r="I188"/>
          <cell r="J188"/>
          <cell r="K188">
            <v>248.43862754236557</v>
          </cell>
          <cell r="L188">
            <v>2321.5288605440001</v>
          </cell>
          <cell r="M188">
            <v>288</v>
          </cell>
        </row>
        <row r="189">
          <cell r="E189" t="str">
            <v>KH-TO-40</v>
          </cell>
          <cell r="F189" t="str">
            <v>Y</v>
          </cell>
          <cell r="G189">
            <v>387.60838291914996</v>
          </cell>
          <cell r="H189">
            <v>191.92157676530394</v>
          </cell>
          <cell r="I189"/>
          <cell r="J189"/>
          <cell r="K189">
            <v>387.60838291914996</v>
          </cell>
          <cell r="L189">
            <v>3848.6409053440002</v>
          </cell>
          <cell r="M189">
            <v>398</v>
          </cell>
        </row>
        <row r="190">
          <cell r="E190" t="str">
            <v>KH-TOC-18</v>
          </cell>
          <cell r="F190" t="str">
            <v>Y</v>
          </cell>
          <cell r="G190">
            <v>289</v>
          </cell>
          <cell r="H190">
            <v>140</v>
          </cell>
          <cell r="I190" t="e">
            <v>#N/A</v>
          </cell>
          <cell r="J190">
            <v>18.177250000000001</v>
          </cell>
          <cell r="K190" t="e">
            <v>#N/A</v>
          </cell>
          <cell r="L190" t="e">
            <v>#N/A</v>
          </cell>
          <cell r="M190" t="e">
            <v>#N/A</v>
          </cell>
        </row>
        <row r="191">
          <cell r="E191" t="str">
            <v>KH-TOC-40</v>
          </cell>
          <cell r="F191" t="str">
            <v>Y</v>
          </cell>
          <cell r="G191">
            <v>430</v>
          </cell>
          <cell r="H191">
            <v>252</v>
          </cell>
          <cell r="I191" t="e">
            <v>#N/A</v>
          </cell>
          <cell r="J191">
            <v>18.177250000000001</v>
          </cell>
          <cell r="K191" t="e">
            <v>#N/A</v>
          </cell>
          <cell r="L191" t="e">
            <v>#N/A</v>
          </cell>
          <cell r="M191" t="e">
            <v>#N/A</v>
          </cell>
        </row>
        <row r="192">
          <cell r="E192" t="str">
            <v>KH-WLR</v>
          </cell>
          <cell r="F192" t="str">
            <v>NL</v>
          </cell>
          <cell r="G192">
            <v>34</v>
          </cell>
          <cell r="H192">
            <v>11</v>
          </cell>
          <cell r="I192">
            <v>0.23140399999999997</v>
          </cell>
          <cell r="J192">
            <v>0</v>
          </cell>
          <cell r="K192">
            <v>34.231403999999998</v>
          </cell>
          <cell r="L192">
            <v>11.094380797499998</v>
          </cell>
          <cell r="M192" t="e">
            <v>#N/A</v>
          </cell>
        </row>
        <row r="193">
          <cell r="E193" t="str">
            <v>KR-JSD</v>
          </cell>
          <cell r="F193" t="str">
            <v>Y</v>
          </cell>
          <cell r="G193">
            <v>381.76893873927241</v>
          </cell>
          <cell r="H193">
            <v>306.74048583927237</v>
          </cell>
          <cell r="I193">
            <v>7.4449868000000006</v>
          </cell>
          <cell r="J193">
            <v>0</v>
          </cell>
          <cell r="K193">
            <v>389.2139255392724</v>
          </cell>
          <cell r="L193">
            <v>7660.9589589809584</v>
          </cell>
          <cell r="M193">
            <v>437</v>
          </cell>
        </row>
        <row r="194">
          <cell r="E194" t="str">
            <v>MD-TNO-L</v>
          </cell>
          <cell r="F194" t="str">
            <v>Y</v>
          </cell>
          <cell r="G194">
            <v>916</v>
          </cell>
          <cell r="H194">
            <v>379</v>
          </cell>
          <cell r="I194" t="e">
            <v>#N/A</v>
          </cell>
          <cell r="J194">
            <v>0</v>
          </cell>
          <cell r="K194" t="e">
            <v>#N/A</v>
          </cell>
          <cell r="L194" t="e">
            <v>#N/A</v>
          </cell>
          <cell r="M194" t="e">
            <v>#N/A</v>
          </cell>
        </row>
        <row r="195">
          <cell r="E195" t="str">
            <v>MD-TNO-S</v>
          </cell>
          <cell r="F195" t="str">
            <v>Y</v>
          </cell>
          <cell r="G195">
            <v>562</v>
          </cell>
          <cell r="H195">
            <v>246</v>
          </cell>
          <cell r="I195" t="e">
            <v>#N/A</v>
          </cell>
          <cell r="J195">
            <v>0</v>
          </cell>
          <cell r="K195" t="e">
            <v>#N/A</v>
          </cell>
          <cell r="L195" t="e">
            <v>#N/A</v>
          </cell>
          <cell r="M195" t="e">
            <v>#N/A</v>
          </cell>
        </row>
        <row r="196">
          <cell r="E196" t="str">
            <v>PF-NAH-RO</v>
          </cell>
          <cell r="F196" t="str">
            <v>Y</v>
          </cell>
          <cell r="G196">
            <v>389</v>
          </cell>
          <cell r="H196" t="e">
            <v>#N/A</v>
          </cell>
          <cell r="I196" t="e">
            <v>#N/A</v>
          </cell>
          <cell r="J196">
            <v>0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E197" t="str">
            <v>PU-SDI-ST</v>
          </cell>
          <cell r="F197" t="str">
            <v>NL</v>
          </cell>
          <cell r="G197">
            <v>608</v>
          </cell>
          <cell r="H197">
            <v>367.55697413932501</v>
          </cell>
          <cell r="I197">
            <v>9.8797404000000029</v>
          </cell>
          <cell r="J197">
            <v>0</v>
          </cell>
          <cell r="K197">
            <v>617.87974039999995</v>
          </cell>
          <cell r="L197">
            <v>367.55697413932501</v>
          </cell>
          <cell r="M197" t="e">
            <v>#N/A</v>
          </cell>
        </row>
        <row r="198">
          <cell r="E198" t="str">
            <v>PU-SDI-ST</v>
          </cell>
          <cell r="F198" t="str">
            <v>Y</v>
          </cell>
          <cell r="G198">
            <v>607.64019654509411</v>
          </cell>
          <cell r="H198">
            <v>367.55697413932501</v>
          </cell>
          <cell r="I198">
            <v>9.8797404000000029</v>
          </cell>
          <cell r="J198">
            <v>5.9879049999999996</v>
          </cell>
          <cell r="K198">
            <v>623.50784194509401</v>
          </cell>
          <cell r="L198">
            <v>4214.1603390600003</v>
          </cell>
          <cell r="M198" t="e">
            <v>#N/A</v>
          </cell>
        </row>
        <row r="199">
          <cell r="E199" t="str">
            <v>RH-OT</v>
          </cell>
          <cell r="F199" t="str">
            <v>Y</v>
          </cell>
          <cell r="G199">
            <v>118.21852163934217</v>
          </cell>
          <cell r="H199">
            <v>60.102020046804988</v>
          </cell>
          <cell r="I199">
            <v>0</v>
          </cell>
          <cell r="J199">
            <v>18.177250000000001</v>
          </cell>
          <cell r="K199">
            <v>136.39577163934217</v>
          </cell>
          <cell r="L199">
            <v>879.81930799999986</v>
          </cell>
          <cell r="M199">
            <v>134</v>
          </cell>
        </row>
        <row r="200">
          <cell r="E200" t="str">
            <v>RH-RL</v>
          </cell>
          <cell r="F200" t="str">
            <v>Y</v>
          </cell>
          <cell r="G200">
            <v>96.240193988182483</v>
          </cell>
          <cell r="H200">
            <v>43.342017488182499</v>
          </cell>
          <cell r="I200">
            <v>0</v>
          </cell>
          <cell r="J200">
            <v>14.095549999999999</v>
          </cell>
          <cell r="K200">
            <v>110.33574398818249</v>
          </cell>
          <cell r="L200">
            <v>629.56397886518505</v>
          </cell>
          <cell r="M200">
            <v>113</v>
          </cell>
        </row>
        <row r="201">
          <cell r="E201" t="str">
            <v>RT-ALY</v>
          </cell>
          <cell r="F201" t="str">
            <v>Y</v>
          </cell>
          <cell r="G201">
            <v>1860.8376315680525</v>
          </cell>
          <cell r="H201">
            <v>905.22643326035984</v>
          </cell>
          <cell r="I201">
            <v>16.371544</v>
          </cell>
          <cell r="J201">
            <v>0</v>
          </cell>
          <cell r="K201">
            <v>1877.2091755680526</v>
          </cell>
          <cell r="L201">
            <v>26799.995162624004</v>
          </cell>
          <cell r="M201">
            <v>2047</v>
          </cell>
        </row>
        <row r="202">
          <cell r="E202" t="str">
            <v>RT-AT</v>
          </cell>
          <cell r="F202" t="str">
            <v>Y</v>
          </cell>
          <cell r="G202">
            <v>1162.6965373698497</v>
          </cell>
          <cell r="H202">
            <v>559.34105036984988</v>
          </cell>
          <cell r="I202">
            <v>12.5590016</v>
          </cell>
          <cell r="J202">
            <v>0</v>
          </cell>
          <cell r="K202">
            <v>1175.2555389698498</v>
          </cell>
          <cell r="L202">
            <v>17933.094356494912</v>
          </cell>
          <cell r="M202">
            <v>1382</v>
          </cell>
        </row>
        <row r="203">
          <cell r="E203" t="str">
            <v>RT-DR</v>
          </cell>
          <cell r="F203" t="str">
            <v>Y</v>
          </cell>
          <cell r="G203">
            <v>2657.9873564557265</v>
          </cell>
          <cell r="H203">
            <v>1321.6009690864948</v>
          </cell>
          <cell r="I203">
            <v>28.396728599999999</v>
          </cell>
          <cell r="J203">
            <v>0</v>
          </cell>
          <cell r="K203">
            <v>2686.3840850557267</v>
          </cell>
          <cell r="L203">
            <v>33515.277733227995</v>
          </cell>
          <cell r="M203">
            <v>3375</v>
          </cell>
        </row>
        <row r="204">
          <cell r="E204" t="str">
            <v>RT-FR</v>
          </cell>
          <cell r="F204" t="str">
            <v>Y</v>
          </cell>
          <cell r="G204">
            <v>1391</v>
          </cell>
          <cell r="H204">
            <v>641.30284839862497</v>
          </cell>
          <cell r="I204">
            <v>13.870504</v>
          </cell>
          <cell r="J204">
            <v>30.858799999999995</v>
          </cell>
          <cell r="K204">
            <v>1435.729304</v>
          </cell>
          <cell r="L204">
            <v>24103.343715999999</v>
          </cell>
          <cell r="M204">
            <v>2054</v>
          </cell>
        </row>
        <row r="205">
          <cell r="E205" t="str">
            <v>RT-RI</v>
          </cell>
          <cell r="F205" t="str">
            <v>Y</v>
          </cell>
          <cell r="G205">
            <v>831.54203085519987</v>
          </cell>
          <cell r="H205">
            <v>270.89621825519998</v>
          </cell>
          <cell r="I205">
            <v>5.4436448000000004</v>
          </cell>
          <cell r="J205">
            <v>19.140747499999996</v>
          </cell>
          <cell r="K205">
            <v>856.12642315519986</v>
          </cell>
          <cell r="L205">
            <v>10292.894447079068</v>
          </cell>
          <cell r="M205">
            <v>843</v>
          </cell>
        </row>
        <row r="206">
          <cell r="E206" t="str">
            <v>RT-RI-M</v>
          </cell>
          <cell r="F206" t="str">
            <v>Y</v>
          </cell>
          <cell r="G206">
            <v>588.62657337213466</v>
          </cell>
          <cell r="H206">
            <v>238.90855380674998</v>
          </cell>
          <cell r="I206">
            <v>7.5427164000000007</v>
          </cell>
          <cell r="J206">
            <v>0</v>
          </cell>
          <cell r="K206">
            <v>596.16928977213468</v>
          </cell>
          <cell r="L206">
            <v>4735.8063780000002</v>
          </cell>
          <cell r="M206">
            <v>581</v>
          </cell>
        </row>
        <row r="207">
          <cell r="E207" t="str">
            <v>S-AB</v>
          </cell>
          <cell r="F207" t="str">
            <v>Y</v>
          </cell>
          <cell r="G207">
            <v>405.648860496</v>
          </cell>
          <cell r="H207">
            <v>316.031310996</v>
          </cell>
          <cell r="I207">
            <v>11.17746464</v>
          </cell>
          <cell r="J207">
            <v>22.933207499999998</v>
          </cell>
          <cell r="K207">
            <v>439.75953263599996</v>
          </cell>
          <cell r="L207">
            <v>7238.5537309279453</v>
          </cell>
          <cell r="M207">
            <v>446</v>
          </cell>
        </row>
        <row r="208">
          <cell r="E208" t="str">
            <v>S-AE</v>
          </cell>
          <cell r="F208" t="str">
            <v>Y</v>
          </cell>
          <cell r="G208">
            <v>1058.416624</v>
          </cell>
          <cell r="H208">
            <v>886.53006400000015</v>
          </cell>
          <cell r="I208">
            <v>30.620230000000006</v>
          </cell>
          <cell r="J208">
            <v>18.313399999999998</v>
          </cell>
          <cell r="K208">
            <v>1107.3502539999999</v>
          </cell>
          <cell r="L208">
            <v>18637.89213152033</v>
          </cell>
          <cell r="M208">
            <v>1345</v>
          </cell>
        </row>
        <row r="209">
          <cell r="E209" t="str">
            <v>S-AI</v>
          </cell>
          <cell r="F209" t="str">
            <v>Y</v>
          </cell>
          <cell r="G209">
            <v>220.53944158999997</v>
          </cell>
          <cell r="H209">
            <v>160.03064859</v>
          </cell>
          <cell r="I209"/>
          <cell r="J209"/>
          <cell r="K209">
            <v>220.53944158999997</v>
          </cell>
          <cell r="L209">
            <v>3692.8785859999994</v>
          </cell>
          <cell r="M209">
            <v>241</v>
          </cell>
        </row>
        <row r="210">
          <cell r="E210" t="str">
            <v>S-AO</v>
          </cell>
          <cell r="F210" t="str">
            <v>Y</v>
          </cell>
          <cell r="G210">
            <v>317.08904994655762</v>
          </cell>
          <cell r="H210">
            <v>250.72676350424996</v>
          </cell>
          <cell r="I210">
            <v>5.8090266499999998</v>
          </cell>
          <cell r="J210">
            <v>14.241552499999999</v>
          </cell>
          <cell r="K210">
            <v>337.13962909655766</v>
          </cell>
          <cell r="L210">
            <v>6248.120050022776</v>
          </cell>
          <cell r="M210">
            <v>767</v>
          </cell>
        </row>
        <row r="211">
          <cell r="E211" t="str">
            <v>S-ATL</v>
          </cell>
          <cell r="F211" t="str">
            <v>Y</v>
          </cell>
          <cell r="G211">
            <v>212.12806767499998</v>
          </cell>
          <cell r="H211">
            <v>161.29283017499998</v>
          </cell>
          <cell r="I211"/>
          <cell r="J211"/>
          <cell r="K211">
            <v>212.12806767499998</v>
          </cell>
          <cell r="L211">
            <v>3369.9475699999994</v>
          </cell>
          <cell r="M211">
            <v>239</v>
          </cell>
        </row>
        <row r="212">
          <cell r="E212" t="str">
            <v>SB-ASG</v>
          </cell>
          <cell r="F212" t="str">
            <v>Y</v>
          </cell>
          <cell r="G212">
            <v>809.06699560427307</v>
          </cell>
          <cell r="H212">
            <v>674.62888425576</v>
          </cell>
          <cell r="I212">
            <v>18.316228399999996</v>
          </cell>
          <cell r="J212">
            <v>0</v>
          </cell>
          <cell r="K212">
            <v>827.38322400427307</v>
          </cell>
          <cell r="L212">
            <v>674.62888425576</v>
          </cell>
          <cell r="M212" t="e">
            <v>#N/A</v>
          </cell>
        </row>
        <row r="213">
          <cell r="E213" t="str">
            <v>SB-AXA-4</v>
          </cell>
          <cell r="F213" t="str">
            <v>Y</v>
          </cell>
          <cell r="G213">
            <v>1436.2303803093098</v>
          </cell>
          <cell r="H213">
            <v>1286.0003351093098</v>
          </cell>
          <cell r="I213">
            <v>15.090124800000002</v>
          </cell>
          <cell r="J213">
            <v>33.97171749999999</v>
          </cell>
          <cell r="K213">
            <v>1485.2922226093099</v>
          </cell>
          <cell r="L213">
            <v>29602.150873460054</v>
          </cell>
          <cell r="M213">
            <v>1513</v>
          </cell>
        </row>
        <row r="214">
          <cell r="E214" t="str">
            <v>SB-AXA-51</v>
          </cell>
          <cell r="F214" t="str">
            <v>Y</v>
          </cell>
          <cell r="G214">
            <v>1111.893768291133</v>
          </cell>
          <cell r="H214">
            <v>925.55268507337485</v>
          </cell>
          <cell r="I214">
            <v>14.538672</v>
          </cell>
          <cell r="J214">
            <v>28.131617499999994</v>
          </cell>
          <cell r="K214">
            <v>1154.5640577911329</v>
          </cell>
          <cell r="L214">
            <v>19400.372871588843</v>
          </cell>
          <cell r="M214">
            <v>1279</v>
          </cell>
        </row>
        <row r="215">
          <cell r="E215" t="str">
            <v>SB-AXA-52</v>
          </cell>
          <cell r="F215" t="str">
            <v>Y</v>
          </cell>
          <cell r="G215">
            <v>1650.8186407874839</v>
          </cell>
          <cell r="H215">
            <v>1456.46611862448</v>
          </cell>
          <cell r="I215">
            <v>19.113555599999998</v>
          </cell>
          <cell r="J215">
            <v>36.6286025</v>
          </cell>
          <cell r="K215">
            <v>1706.5607988874838</v>
          </cell>
          <cell r="L215">
            <v>30973.521165725437</v>
          </cell>
          <cell r="M215">
            <v>1946</v>
          </cell>
        </row>
        <row r="216">
          <cell r="E216" t="str">
            <v>SB-CA</v>
          </cell>
          <cell r="F216" t="str">
            <v>Y</v>
          </cell>
          <cell r="G216">
            <v>170.23521501249999</v>
          </cell>
          <cell r="H216">
            <v>121.53655001249999</v>
          </cell>
          <cell r="I216">
            <v>8.5662660000000006</v>
          </cell>
          <cell r="J216">
            <v>10.281460000000001</v>
          </cell>
          <cell r="K216">
            <v>189.08294101250002</v>
          </cell>
          <cell r="L216">
            <v>2996.66457665915</v>
          </cell>
          <cell r="M216">
            <v>195</v>
          </cell>
        </row>
        <row r="217">
          <cell r="E217" t="str">
            <v>SB-CB</v>
          </cell>
          <cell r="F217" t="str">
            <v>Y</v>
          </cell>
          <cell r="G217">
            <v>1226.6851074344038</v>
          </cell>
          <cell r="H217">
            <v>1047.5376220882499</v>
          </cell>
          <cell r="I217">
            <v>30.290191999999998</v>
          </cell>
          <cell r="J217">
            <v>0</v>
          </cell>
          <cell r="K217">
            <v>1256.9752994344037</v>
          </cell>
          <cell r="L217">
            <v>22345.207717199999</v>
          </cell>
          <cell r="M217">
            <v>1388</v>
          </cell>
        </row>
        <row r="218">
          <cell r="E218" t="str">
            <v>SB-CS-LA</v>
          </cell>
          <cell r="F218" t="str">
            <v>Y</v>
          </cell>
          <cell r="G218">
            <v>432.49121081923073</v>
          </cell>
          <cell r="H218">
            <v>335.54647304999992</v>
          </cell>
          <cell r="I218">
            <v>13.303758000000002</v>
          </cell>
          <cell r="J218">
            <v>12.914912499999998</v>
          </cell>
          <cell r="K218">
            <v>458.70988131923076</v>
          </cell>
          <cell r="L218">
            <v>7783.6330850269624</v>
          </cell>
          <cell r="M218">
            <v>487</v>
          </cell>
        </row>
        <row r="219">
          <cell r="E219" t="str">
            <v>SB-CS-ST</v>
          </cell>
          <cell r="F219" t="str">
            <v>Y</v>
          </cell>
          <cell r="G219">
            <v>219.08719165046153</v>
          </cell>
          <cell r="H219">
            <v>171.65503011199999</v>
          </cell>
          <cell r="I219">
            <v>8.6992875999999999</v>
          </cell>
          <cell r="J219">
            <v>0</v>
          </cell>
          <cell r="K219">
            <v>227.78647925046153</v>
          </cell>
          <cell r="L219">
            <v>3912.0798190786336</v>
          </cell>
          <cell r="M219">
            <v>244</v>
          </cell>
        </row>
        <row r="220">
          <cell r="E220" t="str">
            <v>SB-JMY</v>
          </cell>
          <cell r="F220" t="str">
            <v>NL</v>
          </cell>
          <cell r="G220">
            <v>1214</v>
          </cell>
          <cell r="H220">
            <v>976</v>
          </cell>
          <cell r="I220" t="e">
            <v>#N/A</v>
          </cell>
          <cell r="J220">
            <v>0</v>
          </cell>
          <cell r="K220" t="e">
            <v>#N/A</v>
          </cell>
          <cell r="L220" t="e">
            <v>#N/A</v>
          </cell>
          <cell r="M220" t="e">
            <v>#N/A</v>
          </cell>
        </row>
        <row r="221">
          <cell r="E221" t="str">
            <v>SB-LGN</v>
          </cell>
          <cell r="F221" t="str">
            <v>Y</v>
          </cell>
          <cell r="G221">
            <v>618.73628699046355</v>
          </cell>
          <cell r="H221">
            <v>510.14643191799991</v>
          </cell>
          <cell r="I221">
            <v>12.88532</v>
          </cell>
          <cell r="J221">
            <v>0</v>
          </cell>
          <cell r="K221">
            <v>631.62160699046353</v>
          </cell>
          <cell r="L221">
            <v>12946</v>
          </cell>
          <cell r="M221" t="e">
            <v>#N/A</v>
          </cell>
        </row>
        <row r="222">
          <cell r="E222" t="str">
            <v>SB-MOL</v>
          </cell>
          <cell r="F222" t="str">
            <v>Y</v>
          </cell>
          <cell r="G222">
            <v>1104.7565009086652</v>
          </cell>
          <cell r="H222">
            <v>838.04580177404978</v>
          </cell>
          <cell r="I222"/>
          <cell r="J222"/>
          <cell r="K222">
            <v>1104.7565009086652</v>
          </cell>
          <cell r="L222">
            <v>19357.318716239995</v>
          </cell>
          <cell r="M222">
            <v>1354</v>
          </cell>
        </row>
        <row r="223">
          <cell r="E223" t="str">
            <v>SB-MPL</v>
          </cell>
          <cell r="F223" t="str">
            <v>Y</v>
          </cell>
          <cell r="G223">
            <v>338.83927653499995</v>
          </cell>
          <cell r="H223">
            <v>254.070673785</v>
          </cell>
          <cell r="I223">
            <v>9.4550599999999996</v>
          </cell>
          <cell r="J223">
            <v>0</v>
          </cell>
          <cell r="K223">
            <v>348.29433653499996</v>
          </cell>
          <cell r="L223">
            <v>5887.7036339999995</v>
          </cell>
          <cell r="M223">
            <v>391</v>
          </cell>
        </row>
        <row r="224">
          <cell r="E224" t="str">
            <v>SB-MXL-LA</v>
          </cell>
          <cell r="F224" t="str">
            <v>N</v>
          </cell>
          <cell r="G224">
            <v>1164.7070088800801</v>
          </cell>
          <cell r="H224">
            <v>1024.7375562646955</v>
          </cell>
          <cell r="I224"/>
          <cell r="J224"/>
          <cell r="K224">
            <v>1164.7070088800801</v>
          </cell>
          <cell r="L224">
            <v>24424.470876166873</v>
          </cell>
          <cell r="M224">
            <v>1309</v>
          </cell>
        </row>
        <row r="225">
          <cell r="E225" t="str">
            <v>SB-MXL-ST</v>
          </cell>
          <cell r="F225" t="str">
            <v>Y</v>
          </cell>
          <cell r="G225">
            <v>604.00981841643522</v>
          </cell>
          <cell r="H225">
            <v>492.87396716682002</v>
          </cell>
          <cell r="I225"/>
          <cell r="J225"/>
          <cell r="K225">
            <v>604.00981841643522</v>
          </cell>
          <cell r="L225">
            <v>11627.002038834884</v>
          </cell>
          <cell r="M225">
            <v>681</v>
          </cell>
        </row>
        <row r="226">
          <cell r="E226" t="str">
            <v>SB-NBK</v>
          </cell>
          <cell r="F226" t="str">
            <v>Y</v>
          </cell>
          <cell r="G226">
            <v>1024</v>
          </cell>
          <cell r="H226">
            <v>857</v>
          </cell>
          <cell r="I226">
            <v>17.160582000000002</v>
          </cell>
          <cell r="J226">
            <v>0</v>
          </cell>
          <cell r="K226">
            <v>1041.160582</v>
          </cell>
          <cell r="L226">
            <v>25424</v>
          </cell>
          <cell r="M226" t="e">
            <v>#N/A</v>
          </cell>
        </row>
        <row r="227">
          <cell r="E227" t="str">
            <v>SB-PH</v>
          </cell>
          <cell r="F227" t="str">
            <v>Y</v>
          </cell>
          <cell r="G227">
            <v>120.41628950499999</v>
          </cell>
          <cell r="H227">
            <v>83.340134504999995</v>
          </cell>
          <cell r="I227">
            <v>6.5359219999999993</v>
          </cell>
          <cell r="J227">
            <v>7.410077499999999</v>
          </cell>
          <cell r="K227">
            <v>134.36228900499998</v>
          </cell>
          <cell r="L227">
            <v>1993.5528540139287</v>
          </cell>
          <cell r="M227">
            <v>134</v>
          </cell>
        </row>
        <row r="228">
          <cell r="E228" t="str">
            <v>S-BR-4</v>
          </cell>
          <cell r="F228" t="str">
            <v>Y</v>
          </cell>
          <cell r="G228">
            <v>226.72320183345386</v>
          </cell>
          <cell r="H228">
            <v>162.66988298729999</v>
          </cell>
          <cell r="I228">
            <v>7.9733944000000001</v>
          </cell>
          <cell r="J228">
            <v>0</v>
          </cell>
          <cell r="K228">
            <v>234.69659623345385</v>
          </cell>
          <cell r="L228">
            <v>3966.7730839718715</v>
          </cell>
          <cell r="M228">
            <v>258</v>
          </cell>
        </row>
        <row r="229">
          <cell r="E229" t="str">
            <v>S-BR-6</v>
          </cell>
          <cell r="F229" t="str">
            <v>Y</v>
          </cell>
          <cell r="G229">
            <v>301.08688327289281</v>
          </cell>
          <cell r="H229">
            <v>232.65542802289283</v>
          </cell>
          <cell r="I229">
            <v>10.103576</v>
          </cell>
          <cell r="J229">
            <v>15.822344999999995</v>
          </cell>
          <cell r="K229">
            <v>327.01280427289277</v>
          </cell>
          <cell r="L229">
            <v>5306.443301371256</v>
          </cell>
          <cell r="M229">
            <v>349</v>
          </cell>
        </row>
        <row r="230">
          <cell r="E230" t="str">
            <v>S-BR-F6</v>
          </cell>
          <cell r="F230" t="str">
            <v>Y</v>
          </cell>
          <cell r="G230">
            <v>379.94998580694647</v>
          </cell>
          <cell r="H230">
            <v>286.34103631350001</v>
          </cell>
          <cell r="I230">
            <v>16.341623999999999</v>
          </cell>
          <cell r="J230">
            <v>8.6898524999999989</v>
          </cell>
          <cell r="K230">
            <v>404.98146230694647</v>
          </cell>
          <cell r="L230">
            <v>6641.2181938191115</v>
          </cell>
          <cell r="M230">
            <v>404</v>
          </cell>
        </row>
        <row r="231">
          <cell r="E231" t="str">
            <v>SB-SN-D</v>
          </cell>
          <cell r="F231" t="str">
            <v>Y</v>
          </cell>
          <cell r="G231">
            <v>1833.6400262134832</v>
          </cell>
          <cell r="H231">
            <v>1438.2875723346372</v>
          </cell>
          <cell r="I231"/>
          <cell r="J231"/>
          <cell r="K231">
            <v>1833.6400262134832</v>
          </cell>
          <cell r="L231">
            <v>30989.688886831995</v>
          </cell>
          <cell r="M231">
            <v>2164</v>
          </cell>
        </row>
        <row r="232">
          <cell r="E232" t="str">
            <v>SB-SN-N</v>
          </cell>
          <cell r="F232" t="str">
            <v>Y</v>
          </cell>
          <cell r="G232">
            <v>1310.5117585532223</v>
          </cell>
          <cell r="H232">
            <v>1040.3826050397611</v>
          </cell>
          <cell r="I232"/>
          <cell r="J232"/>
          <cell r="K232">
            <v>1310.5117585532223</v>
          </cell>
          <cell r="L232">
            <v>25251.797173840478</v>
          </cell>
          <cell r="M232">
            <v>1649</v>
          </cell>
        </row>
        <row r="233">
          <cell r="E233" t="str">
            <v>SB-WA</v>
          </cell>
          <cell r="F233" t="str">
            <v>Y</v>
          </cell>
          <cell r="G233">
            <v>439.30734330019499</v>
          </cell>
          <cell r="H233">
            <v>328.06584407699995</v>
          </cell>
          <cell r="I233">
            <v>15.932604000000001</v>
          </cell>
          <cell r="J233">
            <v>0</v>
          </cell>
          <cell r="K233">
            <v>455.23994730019501</v>
          </cell>
          <cell r="L233">
            <v>7755.8802847764855</v>
          </cell>
          <cell r="M233">
            <v>545</v>
          </cell>
        </row>
        <row r="234">
          <cell r="E234" t="str">
            <v>SB-WA-WM</v>
          </cell>
          <cell r="F234" t="str">
            <v>Y</v>
          </cell>
          <cell r="G234">
            <v>440.41000304934613</v>
          </cell>
          <cell r="H234">
            <v>316.59521189550003</v>
          </cell>
          <cell r="I234">
            <v>11.655267999999998</v>
          </cell>
          <cell r="J234">
            <v>10.29588</v>
          </cell>
          <cell r="K234">
            <v>462.36115104934612</v>
          </cell>
          <cell r="L234">
            <v>7575.6294453454093</v>
          </cell>
          <cell r="M234">
            <v>495</v>
          </cell>
        </row>
        <row r="235">
          <cell r="E235" t="str">
            <v>SB-WLB</v>
          </cell>
          <cell r="F235" t="str">
            <v>Y</v>
          </cell>
          <cell r="G235">
            <v>922.2275550166537</v>
          </cell>
          <cell r="H235">
            <v>776.38711492049993</v>
          </cell>
          <cell r="I235">
            <v>24.2321332</v>
          </cell>
          <cell r="J235">
            <v>0</v>
          </cell>
          <cell r="K235">
            <v>946.45968821665372</v>
          </cell>
          <cell r="L235">
            <v>18097.9962682</v>
          </cell>
          <cell r="M235">
            <v>1016</v>
          </cell>
        </row>
        <row r="236">
          <cell r="E236" t="str">
            <v>S-CC</v>
          </cell>
          <cell r="F236" t="str">
            <v>Y</v>
          </cell>
          <cell r="G236">
            <v>800.84363137761522</v>
          </cell>
          <cell r="H236">
            <v>598.62587474299994</v>
          </cell>
          <cell r="I236">
            <v>15.182938</v>
          </cell>
          <cell r="J236">
            <v>0</v>
          </cell>
          <cell r="K236">
            <v>816.02656937761526</v>
          </cell>
          <cell r="L236">
            <v>14955.153386000002</v>
          </cell>
          <cell r="M236">
            <v>859</v>
          </cell>
        </row>
        <row r="237">
          <cell r="E237" t="str">
            <v>S-CRF</v>
          </cell>
          <cell r="F237" t="str">
            <v>Y</v>
          </cell>
          <cell r="G237">
            <v>458.02161925183668</v>
          </cell>
          <cell r="H237">
            <v>361.66040766000003</v>
          </cell>
          <cell r="I237">
            <v>11.530624000000001</v>
          </cell>
          <cell r="J237">
            <v>0</v>
          </cell>
          <cell r="K237">
            <v>469.55224325183667</v>
          </cell>
          <cell r="L237">
            <v>8267.8230640000002</v>
          </cell>
          <cell r="M237">
            <v>555</v>
          </cell>
        </row>
        <row r="238">
          <cell r="E238" t="str">
            <v>S-ETN</v>
          </cell>
          <cell r="F238" t="str">
            <v>Y</v>
          </cell>
          <cell r="G238">
            <v>268.32282980749994</v>
          </cell>
          <cell r="H238">
            <v>181.59772980749997</v>
          </cell>
          <cell r="I238">
            <v>8.7292280000000009</v>
          </cell>
          <cell r="J238">
            <v>0</v>
          </cell>
          <cell r="K238">
            <v>277.05205780749992</v>
          </cell>
          <cell r="L238">
            <v>3956.1227730000001</v>
          </cell>
          <cell r="M238">
            <v>286</v>
          </cell>
        </row>
        <row r="239">
          <cell r="E239" t="str">
            <v>S-GRB</v>
          </cell>
          <cell r="F239" t="str">
            <v>Y</v>
          </cell>
          <cell r="G239">
            <v>251.85780249999999</v>
          </cell>
          <cell r="H239">
            <v>184.26595874999998</v>
          </cell>
          <cell r="I239">
            <v>9.9687999999999999</v>
          </cell>
          <cell r="J239">
            <v>0</v>
          </cell>
          <cell r="K239">
            <v>261.82660249999998</v>
          </cell>
          <cell r="L239">
            <v>4129.1912499999999</v>
          </cell>
          <cell r="M239">
            <v>310</v>
          </cell>
        </row>
        <row r="240">
          <cell r="E240" t="str">
            <v>SH-CHR</v>
          </cell>
          <cell r="F240" t="str">
            <v>NL</v>
          </cell>
          <cell r="G240">
            <v>150</v>
          </cell>
          <cell r="H240">
            <v>134</v>
          </cell>
          <cell r="I240" t="e">
            <v>#N/A</v>
          </cell>
          <cell r="J240">
            <v>0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E241" t="str">
            <v>SH-DVN</v>
          </cell>
          <cell r="F241" t="str">
            <v>Y</v>
          </cell>
          <cell r="G241">
            <v>85</v>
          </cell>
          <cell r="H241">
            <v>53.472500100000005</v>
          </cell>
          <cell r="I241">
            <v>477</v>
          </cell>
          <cell r="J241"/>
          <cell r="K241"/>
          <cell r="L241"/>
          <cell r="M241"/>
        </row>
        <row r="242">
          <cell r="E242" t="str">
            <v>SH-YBO</v>
          </cell>
          <cell r="F242" t="str">
            <v>Y</v>
          </cell>
          <cell r="G242">
            <v>128</v>
          </cell>
          <cell r="H242">
            <v>91.528963046399994</v>
          </cell>
          <cell r="I242">
            <v>707</v>
          </cell>
          <cell r="J242"/>
          <cell r="K242"/>
          <cell r="L242"/>
          <cell r="M242"/>
        </row>
        <row r="243">
          <cell r="E243" t="str">
            <v>S-JVS</v>
          </cell>
          <cell r="F243" t="str">
            <v>Y</v>
          </cell>
          <cell r="G243">
            <v>380.91170280007452</v>
          </cell>
          <cell r="H243">
            <v>268.14176597361597</v>
          </cell>
          <cell r="I243">
            <v>0</v>
          </cell>
          <cell r="J243">
            <v>0</v>
          </cell>
          <cell r="K243">
            <v>380.91170280007452</v>
          </cell>
          <cell r="L243">
            <v>6917</v>
          </cell>
          <cell r="M243">
            <v>414</v>
          </cell>
        </row>
        <row r="244">
          <cell r="E244" t="str">
            <v>S-LO</v>
          </cell>
          <cell r="F244" t="str">
            <v>Y</v>
          </cell>
          <cell r="G244">
            <v>184.68609338999997</v>
          </cell>
          <cell r="H244">
            <v>141.01343588999998</v>
          </cell>
          <cell r="I244">
            <v>11.169204000000001</v>
          </cell>
          <cell r="J244">
            <v>8.8322499999999984</v>
          </cell>
          <cell r="K244">
            <v>204.68754738999996</v>
          </cell>
          <cell r="L244" t="e">
            <v>#REF!</v>
          </cell>
          <cell r="M244">
            <v>205</v>
          </cell>
        </row>
        <row r="245">
          <cell r="E245" t="str">
            <v>SL-VE-P</v>
          </cell>
          <cell r="F245" t="str">
            <v>Y</v>
          </cell>
          <cell r="G245">
            <v>94.02187047999999</v>
          </cell>
          <cell r="H245">
            <v>36.891870480000001</v>
          </cell>
          <cell r="I245">
            <v>1.759976</v>
          </cell>
          <cell r="J245">
            <v>0</v>
          </cell>
          <cell r="K245">
            <v>95.781846479999984</v>
          </cell>
          <cell r="L245">
            <v>1812.3625919999999</v>
          </cell>
          <cell r="M245">
            <v>292</v>
          </cell>
        </row>
        <row r="246">
          <cell r="E246" t="str">
            <v>S-PTE</v>
          </cell>
          <cell r="F246" t="str">
            <v>Y</v>
          </cell>
          <cell r="G246">
            <v>577.85958612937497</v>
          </cell>
          <cell r="H246">
            <v>456.06190557599996</v>
          </cell>
          <cell r="I246">
            <v>12.5219144</v>
          </cell>
          <cell r="J246">
            <v>0</v>
          </cell>
          <cell r="K246">
            <v>590.38150052937499</v>
          </cell>
          <cell r="L246">
            <v>10495.4364104</v>
          </cell>
          <cell r="M246">
            <v>665</v>
          </cell>
        </row>
        <row r="247">
          <cell r="E247" t="str">
            <v>SR-BKN-2</v>
          </cell>
          <cell r="F247" t="str">
            <v>Y</v>
          </cell>
          <cell r="G247">
            <v>1306.5475442947522</v>
          </cell>
          <cell r="H247">
            <v>984.65931743129102</v>
          </cell>
          <cell r="I247">
            <v>16.59696808</v>
          </cell>
          <cell r="J247">
            <v>34.916227499999998</v>
          </cell>
          <cell r="K247">
            <v>1358.0607398747522</v>
          </cell>
          <cell r="L247">
            <v>22110.984838681678</v>
          </cell>
          <cell r="M247">
            <v>1519</v>
          </cell>
        </row>
        <row r="248">
          <cell r="E248" t="str">
            <v>SR-BKN-2</v>
          </cell>
          <cell r="F248" t="str">
            <v>Y</v>
          </cell>
          <cell r="G248">
            <v>1306.5475442947522</v>
          </cell>
          <cell r="H248">
            <v>984.65931743129102</v>
          </cell>
          <cell r="I248">
            <v>16.59696808</v>
          </cell>
          <cell r="J248">
            <v>0</v>
          </cell>
          <cell r="K248">
            <v>1323.1445123747521</v>
          </cell>
          <cell r="L248">
            <v>22110.984838681678</v>
          </cell>
          <cell r="M248">
            <v>1519</v>
          </cell>
        </row>
        <row r="249">
          <cell r="E249" t="str">
            <v>SR-BKN-H</v>
          </cell>
          <cell r="F249" t="str">
            <v>Y</v>
          </cell>
          <cell r="G249">
            <v>3012</v>
          </cell>
          <cell r="H249"/>
          <cell r="I249"/>
          <cell r="J249"/>
          <cell r="K249"/>
          <cell r="L249"/>
          <cell r="M249"/>
        </row>
        <row r="250">
          <cell r="E250" t="str">
            <v>SR-BKN-T</v>
          </cell>
          <cell r="F250" t="str">
            <v>Y</v>
          </cell>
          <cell r="G250">
            <v>2181</v>
          </cell>
          <cell r="H250">
            <v>1765</v>
          </cell>
          <cell r="I250" t="e">
            <v>#N/A</v>
          </cell>
          <cell r="J250">
            <v>18.177250000000001</v>
          </cell>
          <cell r="K250" t="e">
            <v>#N/A</v>
          </cell>
          <cell r="L250" t="e">
            <v>#N/A</v>
          </cell>
          <cell r="M250" t="e">
            <v>#N/A</v>
          </cell>
        </row>
        <row r="251">
          <cell r="E251" t="str">
            <v>SR-CLE</v>
          </cell>
          <cell r="F251" t="str">
            <v>Y</v>
          </cell>
          <cell r="G251">
            <v>1113.04219375</v>
          </cell>
          <cell r="H251">
            <v>881.44219375</v>
          </cell>
          <cell r="I251">
            <v>17.813178000000001</v>
          </cell>
          <cell r="J251">
            <v>0</v>
          </cell>
          <cell r="K251">
            <v>1130.8553717500001</v>
          </cell>
          <cell r="L251">
            <v>21457</v>
          </cell>
          <cell r="M251" t="e">
            <v>#N/A</v>
          </cell>
        </row>
        <row r="252">
          <cell r="E252" t="str">
            <v>SR-CLM-2</v>
          </cell>
          <cell r="F252" t="str">
            <v>Y</v>
          </cell>
          <cell r="G252">
            <v>1177.5051692151364</v>
          </cell>
          <cell r="H252">
            <v>872.03438706128986</v>
          </cell>
          <cell r="I252">
            <v>19.587121199999999</v>
          </cell>
          <cell r="J252">
            <v>0</v>
          </cell>
          <cell r="K252">
            <v>1197.0922904151364</v>
          </cell>
          <cell r="L252">
            <v>17032.668326695999</v>
          </cell>
          <cell r="M252">
            <v>1330</v>
          </cell>
        </row>
        <row r="253">
          <cell r="E253" t="str">
            <v>SR-CLM-3</v>
          </cell>
          <cell r="F253" t="str">
            <v>Y</v>
          </cell>
          <cell r="G253">
            <v>1746.4114773615577</v>
          </cell>
          <cell r="H253">
            <v>1315.1561936692499</v>
          </cell>
          <cell r="I253">
            <v>28.773601599999999</v>
          </cell>
          <cell r="J253">
            <v>0</v>
          </cell>
          <cell r="K253">
            <v>1775.1850789615576</v>
          </cell>
          <cell r="L253">
            <v>25230.272261319995</v>
          </cell>
          <cell r="M253">
            <v>2060</v>
          </cell>
        </row>
        <row r="254">
          <cell r="E254" t="str">
            <v>SR-CLM-T</v>
          </cell>
          <cell r="F254" t="str">
            <v>NL</v>
          </cell>
          <cell r="G254">
            <v>2057</v>
          </cell>
          <cell r="H254">
            <v>1680</v>
          </cell>
          <cell r="I254" t="e">
            <v>#N/A</v>
          </cell>
          <cell r="J254">
            <v>0</v>
          </cell>
          <cell r="K254" t="e">
            <v>#N/A</v>
          </cell>
          <cell r="L254" t="e">
            <v>#N/A</v>
          </cell>
          <cell r="M254" t="e">
            <v>#N/A</v>
          </cell>
        </row>
        <row r="255">
          <cell r="E255" t="str">
            <v>SR-KPN</v>
          </cell>
          <cell r="F255" t="str">
            <v>Y</v>
          </cell>
          <cell r="G255">
            <v>1988.9602597383987</v>
          </cell>
          <cell r="H255">
            <v>1440.7290233922447</v>
          </cell>
          <cell r="I255">
            <v>28.305033999999999</v>
          </cell>
          <cell r="J255">
            <v>0</v>
          </cell>
          <cell r="K255">
            <v>2017.2652937383987</v>
          </cell>
          <cell r="L255">
            <v>30950.800312987994</v>
          </cell>
          <cell r="M255">
            <v>2428</v>
          </cell>
        </row>
        <row r="256">
          <cell r="E256" t="str">
            <v>SR-MVS</v>
          </cell>
          <cell r="F256" t="str">
            <v>Y</v>
          </cell>
          <cell r="G256">
            <v>1759.5879399038461</v>
          </cell>
          <cell r="H256">
            <v>1450.2990937499999</v>
          </cell>
          <cell r="I256">
            <v>17.813178000000001</v>
          </cell>
          <cell r="J256">
            <v>0</v>
          </cell>
          <cell r="K256">
            <v>1777.4011179038462</v>
          </cell>
          <cell r="L256">
            <v>21457</v>
          </cell>
          <cell r="M256" t="e">
            <v>#N/A</v>
          </cell>
        </row>
        <row r="257">
          <cell r="E257" t="str">
            <v>SR-MVS-I</v>
          </cell>
          <cell r="F257"/>
          <cell r="G257">
            <v>1173</v>
          </cell>
          <cell r="H257"/>
          <cell r="I257"/>
          <cell r="J257"/>
          <cell r="K257"/>
          <cell r="L257"/>
          <cell r="M257"/>
        </row>
        <row r="258">
          <cell r="E258" t="str">
            <v>SR-MVS-IT</v>
          </cell>
          <cell r="F258" t="str">
            <v>Y</v>
          </cell>
          <cell r="G258">
            <v>2589</v>
          </cell>
          <cell r="H258"/>
          <cell r="I258"/>
          <cell r="J258"/>
          <cell r="K258"/>
          <cell r="L258"/>
          <cell r="M258"/>
        </row>
        <row r="259">
          <cell r="E259" t="str">
            <v>SR-MVS-T</v>
          </cell>
          <cell r="F259"/>
          <cell r="G259">
            <v>1416</v>
          </cell>
          <cell r="H259"/>
          <cell r="I259"/>
          <cell r="J259"/>
          <cell r="K259"/>
          <cell r="L259"/>
          <cell r="M259"/>
        </row>
        <row r="260">
          <cell r="E260" t="str">
            <v>SR-OLY</v>
          </cell>
          <cell r="F260" t="str">
            <v>Y</v>
          </cell>
          <cell r="G260">
            <v>1764.4130085988943</v>
          </cell>
          <cell r="H260">
            <v>1348.4653468296635</v>
          </cell>
          <cell r="I260">
            <v>26.903693399999998</v>
          </cell>
          <cell r="J260">
            <v>0</v>
          </cell>
          <cell r="K260">
            <v>1791.3167019988944</v>
          </cell>
          <cell r="L260">
            <v>30408.454095567995</v>
          </cell>
          <cell r="M260">
            <v>2015</v>
          </cell>
        </row>
        <row r="261">
          <cell r="E261" t="str">
            <v>SR-PRG</v>
          </cell>
          <cell r="F261" t="str">
            <v>Y</v>
          </cell>
          <cell r="G261">
            <v>1753.7718916031897</v>
          </cell>
          <cell r="H261">
            <v>1401.5791691031898</v>
          </cell>
          <cell r="I261">
            <v>17.813178000000001</v>
          </cell>
          <cell r="J261">
            <v>0</v>
          </cell>
          <cell r="K261">
            <v>1771.5850696031898</v>
          </cell>
          <cell r="L261">
            <v>21457</v>
          </cell>
          <cell r="M261" t="e">
            <v>#N/A</v>
          </cell>
        </row>
        <row r="262">
          <cell r="E262" t="str">
            <v>SR-WHTO</v>
          </cell>
          <cell r="F262" t="str">
            <v>Y</v>
          </cell>
          <cell r="G262">
            <v>1716.2469116045409</v>
          </cell>
          <cell r="H262">
            <v>1332.4064277583873</v>
          </cell>
          <cell r="I262">
            <v>24.669706399999999</v>
          </cell>
          <cell r="J262">
            <v>0</v>
          </cell>
          <cell r="K262">
            <v>1740.9166180045409</v>
          </cell>
          <cell r="L262">
            <v>27779.19879377999</v>
          </cell>
          <cell r="M262">
            <v>1592</v>
          </cell>
        </row>
        <row r="263">
          <cell r="E263" t="str">
            <v>S-RY</v>
          </cell>
          <cell r="F263" t="str">
            <v>Y</v>
          </cell>
          <cell r="G263">
            <v>226.45656198750007</v>
          </cell>
          <cell r="H263">
            <v>157.47354948750001</v>
          </cell>
          <cell r="I263">
            <v>9.4695439999999991</v>
          </cell>
          <cell r="J263">
            <v>11.62252</v>
          </cell>
          <cell r="K263">
            <v>247.54862598750009</v>
          </cell>
          <cell r="L263">
            <v>3875.074100832428</v>
          </cell>
          <cell r="M263">
            <v>261</v>
          </cell>
        </row>
        <row r="264">
          <cell r="E264" t="str">
            <v>ST-AML</v>
          </cell>
          <cell r="F264" t="str">
            <v>Y</v>
          </cell>
          <cell r="G264">
            <v>1201.5199460376064</v>
          </cell>
          <cell r="H264">
            <v>893.57233919999987</v>
          </cell>
          <cell r="I264">
            <v>18.919028000000001</v>
          </cell>
          <cell r="J264">
            <v>0</v>
          </cell>
          <cell r="K264">
            <v>1220.4389740376064</v>
          </cell>
          <cell r="L264">
            <v>21677</v>
          </cell>
          <cell r="M264">
            <v>1557</v>
          </cell>
        </row>
        <row r="265">
          <cell r="E265" t="str">
            <v>ST-CBN</v>
          </cell>
          <cell r="F265" t="str">
            <v>Y</v>
          </cell>
          <cell r="G265">
            <v>1981.5426014275176</v>
          </cell>
          <cell r="H265">
            <v>1201.6549883225175</v>
          </cell>
          <cell r="I265">
            <v>24.0144108</v>
          </cell>
          <cell r="J265">
            <v>0</v>
          </cell>
          <cell r="K265">
            <v>2005.5570122275176</v>
          </cell>
          <cell r="L265">
            <v>26113.615866451993</v>
          </cell>
          <cell r="M265" t="e">
            <v>#N/A</v>
          </cell>
        </row>
        <row r="266">
          <cell r="E266" t="str">
            <v>ST-CBN-LS</v>
          </cell>
          <cell r="F266" t="str">
            <v>NL</v>
          </cell>
          <cell r="G266">
            <v>1183</v>
          </cell>
          <cell r="H266">
            <v>537</v>
          </cell>
          <cell r="I266" t="e">
            <v>#N/A</v>
          </cell>
          <cell r="J266">
            <v>0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E267" t="str">
            <v>ST-CBN-P</v>
          </cell>
          <cell r="F267" t="str">
            <v>Y</v>
          </cell>
          <cell r="G267">
            <v>991</v>
          </cell>
          <cell r="H267">
            <v>499.61004450000001</v>
          </cell>
          <cell r="I267"/>
          <cell r="J267"/>
          <cell r="K267"/>
          <cell r="L267"/>
          <cell r="M267"/>
        </row>
        <row r="268">
          <cell r="E268" t="str">
            <v>ST-CBN-S</v>
          </cell>
          <cell r="F268" t="str">
            <v>Y</v>
          </cell>
          <cell r="G268">
            <v>757.7930803884617</v>
          </cell>
          <cell r="H268">
            <v>359.69492385000001</v>
          </cell>
          <cell r="I268">
            <v>6.9100580000000003</v>
          </cell>
          <cell r="J268">
            <v>0</v>
          </cell>
          <cell r="K268">
            <v>764.70313838846175</v>
          </cell>
          <cell r="L268">
            <v>8159.0102400000014</v>
          </cell>
          <cell r="M268" t="e">
            <v>#N/A</v>
          </cell>
        </row>
        <row r="269">
          <cell r="E269" t="str">
            <v>ST-EFI-LA</v>
          </cell>
          <cell r="F269" t="str">
            <v>Y</v>
          </cell>
          <cell r="G269">
            <v>835.1366200779612</v>
          </cell>
          <cell r="H269">
            <v>610.25387353949986</v>
          </cell>
          <cell r="I269">
            <v>17.54213</v>
          </cell>
          <cell r="J269">
            <v>0</v>
          </cell>
          <cell r="K269">
            <v>852.67875007796124</v>
          </cell>
          <cell r="L269">
            <v>12624.845668199998</v>
          </cell>
          <cell r="M269">
            <v>920</v>
          </cell>
        </row>
        <row r="270">
          <cell r="E270" t="str">
            <v>ST-EFI-ST</v>
          </cell>
          <cell r="F270" t="str">
            <v>Y</v>
          </cell>
          <cell r="G270">
            <v>588.37563179511528</v>
          </cell>
          <cell r="H270">
            <v>438.89160541049995</v>
          </cell>
          <cell r="I270">
            <v>16.9292324</v>
          </cell>
          <cell r="J270">
            <v>0</v>
          </cell>
          <cell r="K270">
            <v>605.30486419511533</v>
          </cell>
          <cell r="L270">
            <v>9437.6034941999987</v>
          </cell>
          <cell r="M270">
            <v>684</v>
          </cell>
        </row>
        <row r="271">
          <cell r="E271" t="str">
            <v>ST-GSE-LA</v>
          </cell>
          <cell r="F271" t="str">
            <v>Y</v>
          </cell>
          <cell r="G271">
            <v>812.19872649023068</v>
          </cell>
          <cell r="H271">
            <v>431.50582472099995</v>
          </cell>
          <cell r="I271">
            <v>10.481009999999999</v>
          </cell>
          <cell r="J271">
            <v>0</v>
          </cell>
          <cell r="K271">
            <v>822.67973649023065</v>
          </cell>
          <cell r="L271">
            <v>14197.136993200002</v>
          </cell>
          <cell r="M271">
            <v>866</v>
          </cell>
        </row>
        <row r="272">
          <cell r="E272" t="str">
            <v>ST-GSE-ST</v>
          </cell>
          <cell r="F272" t="str">
            <v>Y</v>
          </cell>
          <cell r="G272">
            <v>643.25072273730757</v>
          </cell>
          <cell r="H272">
            <v>304.5831075449999</v>
          </cell>
          <cell r="I272">
            <v>7.3977539999999999</v>
          </cell>
          <cell r="J272">
            <v>0</v>
          </cell>
          <cell r="K272">
            <v>650.64847673730753</v>
          </cell>
          <cell r="L272">
            <v>9918.8895500000017</v>
          </cell>
          <cell r="M272">
            <v>726</v>
          </cell>
        </row>
        <row r="273">
          <cell r="E273" t="str">
            <v>ST-HE</v>
          </cell>
          <cell r="F273" t="str">
            <v>Y</v>
          </cell>
          <cell r="G273">
            <v>827.8963166599998</v>
          </cell>
          <cell r="H273">
            <v>192.04652615999998</v>
          </cell>
          <cell r="I273">
            <v>2.7430520000000005</v>
          </cell>
          <cell r="J273">
            <v>9.6974499999999999</v>
          </cell>
          <cell r="K273">
            <v>840.33681865999984</v>
          </cell>
          <cell r="L273">
            <v>7126.2316637976373</v>
          </cell>
          <cell r="M273">
            <v>868</v>
          </cell>
        </row>
        <row r="274">
          <cell r="E274" t="str">
            <v>ST-HES</v>
          </cell>
          <cell r="F274" t="str">
            <v>Y</v>
          </cell>
          <cell r="G274">
            <v>1076.0342863999999</v>
          </cell>
          <cell r="H274">
            <v>300.87512639999994</v>
          </cell>
          <cell r="I274">
            <v>6.2078560000000005</v>
          </cell>
          <cell r="J274">
            <v>11.0313</v>
          </cell>
          <cell r="K274">
            <v>1093.2734424</v>
          </cell>
          <cell r="L274">
            <v>8484.8912923182233</v>
          </cell>
          <cell r="M274">
            <v>1140</v>
          </cell>
        </row>
        <row r="275">
          <cell r="E275" t="str">
            <v>ST-KYA</v>
          </cell>
          <cell r="F275" t="str">
            <v>Y</v>
          </cell>
          <cell r="G275">
            <v>1374.6987002882793</v>
          </cell>
          <cell r="H275">
            <v>1113.3467179421252</v>
          </cell>
          <cell r="I275">
            <v>13.504052</v>
          </cell>
          <cell r="J275">
            <v>0</v>
          </cell>
          <cell r="K275">
            <v>1388.2027522882793</v>
          </cell>
          <cell r="L275">
            <v>1113.3467179421252</v>
          </cell>
          <cell r="M275" t="e">
            <v>#N/A</v>
          </cell>
        </row>
        <row r="276">
          <cell r="E276" t="str">
            <v>ST-MLM-L</v>
          </cell>
          <cell r="F276" t="str">
            <v>Y</v>
          </cell>
          <cell r="G276">
            <v>1086.7273100059374</v>
          </cell>
          <cell r="H276">
            <v>831.05676231362997</v>
          </cell>
          <cell r="I276">
            <v>0</v>
          </cell>
          <cell r="J276">
            <v>0</v>
          </cell>
          <cell r="K276">
            <v>1086.7273100059374</v>
          </cell>
          <cell r="L276">
            <v>19120.121426191999</v>
          </cell>
          <cell r="M276" t="e">
            <v>#N/A</v>
          </cell>
        </row>
        <row r="277">
          <cell r="E277" t="str">
            <v>ST-MLM-N</v>
          </cell>
          <cell r="F277" t="str">
            <v>Y</v>
          </cell>
          <cell r="G277">
            <v>898.89080269178385</v>
          </cell>
          <cell r="H277">
            <v>732.43520509562995</v>
          </cell>
          <cell r="I277">
            <v>11.917883999999999</v>
          </cell>
          <cell r="J277">
            <v>0</v>
          </cell>
          <cell r="K277">
            <v>910.80868669178381</v>
          </cell>
          <cell r="L277">
            <v>17683.295463840001</v>
          </cell>
          <cell r="M277" t="e">
            <v>#N/A</v>
          </cell>
        </row>
        <row r="278">
          <cell r="E278" t="str">
            <v>ST-RDO</v>
          </cell>
          <cell r="F278" t="str">
            <v>Y</v>
          </cell>
          <cell r="G278">
            <v>1301.9777317199041</v>
          </cell>
          <cell r="H278">
            <v>1077.9157493737498</v>
          </cell>
          <cell r="I278">
            <v>12.530632000000001</v>
          </cell>
          <cell r="J278">
            <v>0</v>
          </cell>
          <cell r="K278">
            <v>1314.5083637199041</v>
          </cell>
          <cell r="L278">
            <v>1077.9157493737498</v>
          </cell>
          <cell r="M278" t="e">
            <v>#N/A</v>
          </cell>
        </row>
        <row r="279">
          <cell r="E279" t="str">
            <v>ST-RE</v>
          </cell>
          <cell r="F279" t="str">
            <v>Y</v>
          </cell>
          <cell r="G279">
            <v>909.5218791905902</v>
          </cell>
          <cell r="H279">
            <v>708.34054634443623</v>
          </cell>
          <cell r="I279">
            <v>15.090709599999999</v>
          </cell>
          <cell r="J279">
            <v>0</v>
          </cell>
          <cell r="K279">
            <v>924.61258879059017</v>
          </cell>
          <cell r="L279">
            <v>16988.619626656357</v>
          </cell>
          <cell r="M279">
            <v>1026</v>
          </cell>
        </row>
        <row r="280">
          <cell r="E280" t="str">
            <v>ST-WLD</v>
          </cell>
          <cell r="F280" t="str">
            <v>Y</v>
          </cell>
          <cell r="G280">
            <v>2514.1909403886448</v>
          </cell>
          <cell r="H280">
            <v>2028.33633841749</v>
          </cell>
          <cell r="I280">
            <v>24.065200000000004</v>
          </cell>
          <cell r="J280">
            <v>0</v>
          </cell>
          <cell r="K280">
            <v>2538.2561403886448</v>
          </cell>
          <cell r="L280">
            <v>43405.831073696005</v>
          </cell>
          <cell r="M280" t="e">
            <v>#N/A</v>
          </cell>
        </row>
        <row r="281">
          <cell r="E281" t="str">
            <v>S-XD</v>
          </cell>
          <cell r="F281" t="str">
            <v>Y</v>
          </cell>
          <cell r="G281">
            <v>498.6727472222222</v>
          </cell>
          <cell r="H281">
            <v>357.600525</v>
          </cell>
          <cell r="I281">
            <v>10.500831999999999</v>
          </cell>
          <cell r="J281">
            <v>0</v>
          </cell>
          <cell r="K281">
            <v>509.1735792222222</v>
          </cell>
          <cell r="L281">
            <v>8246</v>
          </cell>
          <cell r="M281">
            <v>540</v>
          </cell>
        </row>
        <row r="282">
          <cell r="E282" t="str">
            <v>TP-MTA</v>
          </cell>
          <cell r="F282" t="str">
            <v>NL</v>
          </cell>
          <cell r="G282">
            <v>888</v>
          </cell>
          <cell r="H282">
            <v>722</v>
          </cell>
          <cell r="I282" t="e">
            <v>#N/A</v>
          </cell>
          <cell r="J282">
            <v>0</v>
          </cell>
          <cell r="K282" t="e">
            <v>#N/A</v>
          </cell>
          <cell r="L282" t="e">
            <v>#N/A</v>
          </cell>
          <cell r="M282" t="e">
            <v>#N/A</v>
          </cell>
        </row>
        <row r="283">
          <cell r="E283" t="str">
            <v>TS-FV</v>
          </cell>
          <cell r="F283" t="str">
            <v>Y</v>
          </cell>
          <cell r="G283">
            <v>314.85998195182839</v>
          </cell>
          <cell r="H283">
            <v>241.36275070182839</v>
          </cell>
          <cell r="I283">
            <v>12.17178376</v>
          </cell>
          <cell r="J283">
            <v>0</v>
          </cell>
          <cell r="K283">
            <v>327.03176571182837</v>
          </cell>
          <cell r="L283">
            <v>5648.73326968336</v>
          </cell>
          <cell r="M283">
            <v>357</v>
          </cell>
        </row>
        <row r="284">
          <cell r="E284" t="str">
            <v>TS-NL-A</v>
          </cell>
          <cell r="F284" t="str">
            <v>Y</v>
          </cell>
          <cell r="G284">
            <v>130.00905230000001</v>
          </cell>
          <cell r="H284">
            <v>53.786708999999995</v>
          </cell>
          <cell r="I284">
            <v>3.9528400000000001</v>
          </cell>
          <cell r="J284">
            <v>6.7089049999999988</v>
          </cell>
          <cell r="K284">
            <v>140.6707973</v>
          </cell>
          <cell r="L284">
            <v>1281.1013680000001</v>
          </cell>
          <cell r="M284">
            <v>153</v>
          </cell>
        </row>
        <row r="285">
          <cell r="E285" t="str">
            <v>TS-NL-LA</v>
          </cell>
          <cell r="F285" t="str">
            <v>Y</v>
          </cell>
          <cell r="G285">
            <v>216.99620587335383</v>
          </cell>
          <cell r="H285">
            <v>152.07350202719999</v>
          </cell>
          <cell r="I285">
            <v>7.2686016000000002</v>
          </cell>
          <cell r="J285">
            <v>5.9879049999999996</v>
          </cell>
          <cell r="K285">
            <v>230.25271247335385</v>
          </cell>
          <cell r="L285">
            <v>3364.420936</v>
          </cell>
          <cell r="M285" t="e">
            <v>#N/A</v>
          </cell>
        </row>
        <row r="286">
          <cell r="E286" t="str">
            <v>TS-NL-ST</v>
          </cell>
          <cell r="F286" t="str">
            <v>Y</v>
          </cell>
          <cell r="G286">
            <v>126.61183440000001</v>
          </cell>
          <cell r="H286">
            <v>83.3539344</v>
          </cell>
          <cell r="I286">
            <v>4.3941600000000003</v>
          </cell>
          <cell r="J286">
            <v>5.9879049999999996</v>
          </cell>
          <cell r="K286">
            <v>136.99389940000003</v>
          </cell>
          <cell r="L286">
            <v>1791.7077600000002</v>
          </cell>
          <cell r="M286" t="e">
            <v>#N/A</v>
          </cell>
        </row>
        <row r="287">
          <cell r="E287" t="str">
            <v>TU-ARO-LA</v>
          </cell>
          <cell r="F287" t="str">
            <v>Y</v>
          </cell>
          <cell r="G287">
            <v>342.38387037076916</v>
          </cell>
          <cell r="H287">
            <v>249.65775113999999</v>
          </cell>
          <cell r="I287">
            <v>6.5379279999999991</v>
          </cell>
          <cell r="J287">
            <v>13.282622499999999</v>
          </cell>
          <cell r="K287">
            <v>362.20442087076918</v>
          </cell>
          <cell r="L287">
            <v>6535.6482758508109</v>
          </cell>
          <cell r="M287">
            <v>390</v>
          </cell>
        </row>
        <row r="288">
          <cell r="E288" t="str">
            <v>TU-ARO-ST</v>
          </cell>
          <cell r="F288" t="str">
            <v>Y</v>
          </cell>
          <cell r="G288">
            <v>218.48413052207692</v>
          </cell>
          <cell r="H288">
            <v>140.51641734899999</v>
          </cell>
          <cell r="I288">
            <v>5.6787480000000006</v>
          </cell>
          <cell r="J288">
            <v>11.189920000000001</v>
          </cell>
          <cell r="K288">
            <v>235.35279852207694</v>
          </cell>
          <cell r="L288">
            <v>3482.8327095999994</v>
          </cell>
          <cell r="M288">
            <v>243</v>
          </cell>
        </row>
        <row r="289">
          <cell r="E289" t="str">
            <v>TU-ATD</v>
          </cell>
          <cell r="F289" t="str">
            <v>Y</v>
          </cell>
          <cell r="G289">
            <v>1180.7936503482017</v>
          </cell>
          <cell r="H289">
            <v>926.71312967512495</v>
          </cell>
          <cell r="I289">
            <v>12.354460999999999</v>
          </cell>
          <cell r="J289">
            <v>0</v>
          </cell>
          <cell r="K289">
            <v>1193.1481113482016</v>
          </cell>
          <cell r="L289">
            <v>20048.157132549994</v>
          </cell>
          <cell r="M289">
            <v>1227</v>
          </cell>
        </row>
        <row r="290">
          <cell r="E290" t="str">
            <v>TU-AYL</v>
          </cell>
          <cell r="F290" t="str">
            <v>Y</v>
          </cell>
          <cell r="G290">
            <v>897.69744740730766</v>
          </cell>
          <cell r="H290">
            <v>647.20613971499995</v>
          </cell>
          <cell r="I290">
            <v>9.9388799999999993</v>
          </cell>
          <cell r="J290">
            <v>0</v>
          </cell>
          <cell r="K290">
            <v>907.6363274073077</v>
          </cell>
          <cell r="L290">
            <v>16312.793256000001</v>
          </cell>
          <cell r="M290" t="e">
            <v>#N/A</v>
          </cell>
        </row>
        <row r="291">
          <cell r="E291" t="str">
            <v>TU-BKY</v>
          </cell>
          <cell r="F291" t="str">
            <v>NL</v>
          </cell>
          <cell r="G291">
            <v>1930</v>
          </cell>
          <cell r="H291">
            <v>1405</v>
          </cell>
          <cell r="I291" t="e">
            <v>#N/A</v>
          </cell>
          <cell r="J291">
            <v>0</v>
          </cell>
          <cell r="K291" t="e">
            <v>#N/A</v>
          </cell>
          <cell r="L291" t="e">
            <v>#N/A</v>
          </cell>
          <cell r="M291" t="e">
            <v>#N/A</v>
          </cell>
        </row>
        <row r="292">
          <cell r="E292" t="str">
            <v>TU-BKY-ST</v>
          </cell>
          <cell r="F292" t="str">
            <v>Y</v>
          </cell>
          <cell r="G292">
            <v>1437</v>
          </cell>
          <cell r="H292">
            <v>1042</v>
          </cell>
          <cell r="I292" t="e">
            <v>#N/A</v>
          </cell>
          <cell r="J292">
            <v>18.177250000000001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E293" t="str">
            <v>TU-BVN</v>
          </cell>
          <cell r="F293" t="str">
            <v>Y</v>
          </cell>
          <cell r="G293">
            <v>1478</v>
          </cell>
          <cell r="H293">
            <v>1235</v>
          </cell>
          <cell r="I293" t="e">
            <v>#N/A</v>
          </cell>
          <cell r="J293">
            <v>0</v>
          </cell>
          <cell r="K293" t="e">
            <v>#N/A</v>
          </cell>
          <cell r="L293" t="e">
            <v>#N/A</v>
          </cell>
          <cell r="M293" t="e">
            <v>#N/A</v>
          </cell>
        </row>
        <row r="294">
          <cell r="E294" t="str">
            <v>TU-CBR-LA</v>
          </cell>
          <cell r="F294" t="str">
            <v>Y</v>
          </cell>
          <cell r="G294">
            <v>464.06048389079984</v>
          </cell>
          <cell r="H294">
            <v>370.93859749079991</v>
          </cell>
          <cell r="I294">
            <v>8.9252175999999999</v>
          </cell>
          <cell r="J294">
            <v>12.141639999999999</v>
          </cell>
          <cell r="K294">
            <v>485.12734149079984</v>
          </cell>
          <cell r="L294">
            <v>8298.5044622708483</v>
          </cell>
          <cell r="M294">
            <v>546</v>
          </cell>
        </row>
        <row r="295">
          <cell r="E295" t="str">
            <v>TU-CBR-ST</v>
          </cell>
          <cell r="F295" t="str">
            <v>Y</v>
          </cell>
          <cell r="G295">
            <v>282.37317390775002</v>
          </cell>
          <cell r="H295">
            <v>222.97654940774999</v>
          </cell>
          <cell r="I295">
            <v>6.6027796000000007</v>
          </cell>
          <cell r="J295">
            <v>9.710067500000001</v>
          </cell>
          <cell r="K295">
            <v>298.68602100775001</v>
          </cell>
          <cell r="L295">
            <v>4987.4665149473858</v>
          </cell>
          <cell r="M295">
            <v>328</v>
          </cell>
        </row>
        <row r="296">
          <cell r="E296" t="str">
            <v>TU-CRL</v>
          </cell>
          <cell r="F296" t="str">
            <v>Y</v>
          </cell>
          <cell r="G296">
            <v>1528.3962882926999</v>
          </cell>
          <cell r="H296">
            <v>1270.3547832926999</v>
          </cell>
          <cell r="I296">
            <v>24.618373200000001</v>
          </cell>
          <cell r="J296">
            <v>0</v>
          </cell>
          <cell r="K296">
            <v>1553.0146614926998</v>
          </cell>
          <cell r="L296">
            <v>24666.917917480001</v>
          </cell>
          <cell r="M296">
            <v>1757</v>
          </cell>
        </row>
        <row r="297">
          <cell r="E297" t="str">
            <v>TU-DRN</v>
          </cell>
          <cell r="F297" t="str">
            <v>Y</v>
          </cell>
          <cell r="G297">
            <v>938.38831693630755</v>
          </cell>
          <cell r="H297">
            <v>713.16378389399983</v>
          </cell>
          <cell r="I297">
            <v>13.217635999999999</v>
          </cell>
          <cell r="J297">
            <v>0</v>
          </cell>
          <cell r="K297">
            <v>951.60595293630752</v>
          </cell>
          <cell r="L297">
            <v>15626.329231599995</v>
          </cell>
          <cell r="M297" t="e">
            <v>#N/A</v>
          </cell>
        </row>
        <row r="298">
          <cell r="E298" t="str">
            <v>TU-DSK</v>
          </cell>
          <cell r="F298" t="str">
            <v>NL</v>
          </cell>
          <cell r="G298">
            <v>1799</v>
          </cell>
          <cell r="H298">
            <v>1139</v>
          </cell>
          <cell r="I298" t="e">
            <v>#N/A</v>
          </cell>
          <cell r="J298">
            <v>0</v>
          </cell>
          <cell r="K298" t="e">
            <v>#N/A</v>
          </cell>
          <cell r="L298" t="e">
            <v>#N/A</v>
          </cell>
          <cell r="M298" t="e">
            <v>#N/A</v>
          </cell>
        </row>
        <row r="299">
          <cell r="E299" t="str">
            <v>TU-ETY-LA</v>
          </cell>
          <cell r="F299" t="str">
            <v>Y</v>
          </cell>
          <cell r="G299">
            <v>734.93757073949996</v>
          </cell>
          <cell r="H299">
            <v>593.68113073949985</v>
          </cell>
          <cell r="I299">
            <v>29.268628</v>
          </cell>
          <cell r="J299">
            <v>0</v>
          </cell>
          <cell r="K299">
            <v>764.2061987395</v>
          </cell>
          <cell r="L299">
            <v>13855.265305800001</v>
          </cell>
          <cell r="M299">
            <v>842</v>
          </cell>
        </row>
        <row r="300">
          <cell r="E300" t="str">
            <v>TU-ETY-M</v>
          </cell>
          <cell r="F300" t="str">
            <v>Y</v>
          </cell>
          <cell r="G300">
            <v>389.82110475999997</v>
          </cell>
          <cell r="H300">
            <v>308.64015726000002</v>
          </cell>
          <cell r="I300">
            <v>17.595748</v>
          </cell>
          <cell r="J300">
            <v>0</v>
          </cell>
          <cell r="K300">
            <v>407.41685275999998</v>
          </cell>
          <cell r="L300">
            <v>5655.1775039999984</v>
          </cell>
          <cell r="M300">
            <v>445</v>
          </cell>
        </row>
        <row r="301">
          <cell r="E301" t="str">
            <v>TU-ETY-ST</v>
          </cell>
          <cell r="F301" t="str">
            <v>Y</v>
          </cell>
          <cell r="G301">
            <v>601.14871930449999</v>
          </cell>
          <cell r="H301">
            <v>474.24751305450002</v>
          </cell>
          <cell r="I301">
            <v>25.158708000000001</v>
          </cell>
          <cell r="J301">
            <v>0</v>
          </cell>
          <cell r="K301">
            <v>626.30742730450004</v>
          </cell>
          <cell r="L301">
            <v>11053.271231799998</v>
          </cell>
          <cell r="M301">
            <v>686</v>
          </cell>
        </row>
        <row r="302">
          <cell r="E302" t="str">
            <v>TU-FL</v>
          </cell>
          <cell r="F302" t="str">
            <v>Y</v>
          </cell>
          <cell r="G302">
            <v>4406.735733330047</v>
          </cell>
          <cell r="H302">
            <v>3506.7991713773549</v>
          </cell>
          <cell r="I302">
            <v>51.912491999999986</v>
          </cell>
          <cell r="J302">
            <v>0</v>
          </cell>
          <cell r="K302">
            <v>4458.6482253300474</v>
          </cell>
          <cell r="L302">
            <v>71563.038988735992</v>
          </cell>
          <cell r="M302">
            <v>4946</v>
          </cell>
        </row>
        <row r="303">
          <cell r="E303" t="str">
            <v>TU-GAU</v>
          </cell>
          <cell r="F303" t="str">
            <v>Y</v>
          </cell>
          <cell r="G303">
            <v>1050.1552215437571</v>
          </cell>
          <cell r="H303">
            <v>818.70711675000007</v>
          </cell>
          <cell r="I303">
            <v>58.056564000000002</v>
          </cell>
          <cell r="J303">
            <v>25.249419999999997</v>
          </cell>
          <cell r="K303">
            <v>1133.4612055437572</v>
          </cell>
          <cell r="L303">
            <v>19574</v>
          </cell>
          <cell r="M303">
            <v>1378</v>
          </cell>
        </row>
        <row r="304">
          <cell r="E304" t="str">
            <v>TU-HMD</v>
          </cell>
          <cell r="F304" t="str">
            <v>Y</v>
          </cell>
          <cell r="G304">
            <v>1529.3419507394844</v>
          </cell>
          <cell r="H304">
            <v>1254.3715346240999</v>
          </cell>
          <cell r="I304">
            <v>22.213240400000004</v>
          </cell>
          <cell r="J304">
            <v>0</v>
          </cell>
          <cell r="K304">
            <v>1551.5551911394844</v>
          </cell>
          <cell r="L304">
            <v>28017.14444964</v>
          </cell>
          <cell r="M304">
            <v>1832</v>
          </cell>
        </row>
        <row r="305">
          <cell r="E305" t="str">
            <v>TU-KU-LA</v>
          </cell>
          <cell r="F305" t="str">
            <v>Y</v>
          </cell>
          <cell r="G305">
            <v>785</v>
          </cell>
          <cell r="H305">
            <v>481.28681556945003</v>
          </cell>
          <cell r="I305">
            <v>7.8228083999999996</v>
          </cell>
          <cell r="J305">
            <v>0</v>
          </cell>
          <cell r="K305">
            <v>792.82280839999999</v>
          </cell>
          <cell r="L305">
            <v>12739.110340423653</v>
          </cell>
          <cell r="M305">
            <v>742</v>
          </cell>
        </row>
        <row r="306">
          <cell r="E306" t="str">
            <v>TU-KU-ST</v>
          </cell>
          <cell r="F306" t="str">
            <v>Y</v>
          </cell>
          <cell r="G306">
            <v>336.68700656453854</v>
          </cell>
          <cell r="H306">
            <v>239.29414485300006</v>
          </cell>
          <cell r="I306">
            <v>5.7377039999999999</v>
          </cell>
          <cell r="J306">
            <v>15.544759999999997</v>
          </cell>
          <cell r="K306">
            <v>357.96947056453854</v>
          </cell>
          <cell r="L306">
            <v>6355.8931959390311</v>
          </cell>
          <cell r="M306">
            <v>381</v>
          </cell>
        </row>
        <row r="307">
          <cell r="E307" t="str">
            <v>TU-KVD-LA</v>
          </cell>
          <cell r="F307" t="str">
            <v>Y</v>
          </cell>
          <cell r="G307">
            <v>275.532556656</v>
          </cell>
          <cell r="H307">
            <v>187.81200843600001</v>
          </cell>
          <cell r="I307">
            <v>4.780672</v>
          </cell>
          <cell r="J307">
            <v>0</v>
          </cell>
          <cell r="K307">
            <v>280.31322865599998</v>
          </cell>
          <cell r="L307">
            <v>1658.5727156</v>
          </cell>
          <cell r="M307">
            <v>317</v>
          </cell>
        </row>
        <row r="308">
          <cell r="E308" t="str">
            <v>TU-KVD-ST</v>
          </cell>
          <cell r="F308" t="str">
            <v>Y</v>
          </cell>
          <cell r="G308">
            <v>196.19259261100004</v>
          </cell>
          <cell r="H308">
            <v>132.01350671099999</v>
          </cell>
          <cell r="I308">
            <v>4.2380320000000005</v>
          </cell>
          <cell r="J308">
            <v>0</v>
          </cell>
          <cell r="K308">
            <v>200.43062461100004</v>
          </cell>
          <cell r="L308">
            <v>1429.1156484000001</v>
          </cell>
          <cell r="M308">
            <v>225</v>
          </cell>
        </row>
        <row r="309">
          <cell r="E309" t="str">
            <v>TU-LE</v>
          </cell>
          <cell r="F309" t="str">
            <v>Y</v>
          </cell>
          <cell r="G309">
            <v>850.96772971525002</v>
          </cell>
          <cell r="H309">
            <v>673.14387471525004</v>
          </cell>
          <cell r="I309">
            <v>10.853718000000001</v>
          </cell>
          <cell r="J309">
            <v>15.335670000000002</v>
          </cell>
          <cell r="K309">
            <v>877.15711771525002</v>
          </cell>
          <cell r="L309">
            <v>16103.083993481443</v>
          </cell>
          <cell r="M309">
            <v>1167</v>
          </cell>
        </row>
        <row r="310">
          <cell r="E310" t="str">
            <v>TU-MA-LA</v>
          </cell>
          <cell r="F310" t="str">
            <v>Y</v>
          </cell>
          <cell r="G310">
            <v>253.12407448400003</v>
          </cell>
          <cell r="H310">
            <v>184.71030698400003</v>
          </cell>
          <cell r="I310" t="e">
            <v>#VALUE!</v>
          </cell>
          <cell r="J310">
            <v>0</v>
          </cell>
          <cell r="K310" t="e">
            <v>#VALUE!</v>
          </cell>
          <cell r="L310">
            <v>5448</v>
          </cell>
          <cell r="M310">
            <v>312</v>
          </cell>
        </row>
        <row r="311">
          <cell r="E311" t="str">
            <v>TU-MA-ST</v>
          </cell>
          <cell r="F311" t="str">
            <v>Y</v>
          </cell>
          <cell r="G311">
            <v>207.18450000000001</v>
          </cell>
          <cell r="H311">
            <v>131.28450000000001</v>
          </cell>
          <cell r="I311">
            <v>4.1515699999999995</v>
          </cell>
          <cell r="J311">
            <v>0</v>
          </cell>
          <cell r="K311">
            <v>211.33607000000001</v>
          </cell>
          <cell r="L311">
            <v>4182</v>
          </cell>
          <cell r="M311">
            <v>232</v>
          </cell>
        </row>
        <row r="312">
          <cell r="E312" t="str">
            <v>TU-MLE</v>
          </cell>
          <cell r="F312" t="str">
            <v>Y</v>
          </cell>
          <cell r="G312">
            <v>430</v>
          </cell>
          <cell r="H312">
            <v>328</v>
          </cell>
          <cell r="I312">
            <v>0</v>
          </cell>
          <cell r="J312">
            <v>0</v>
          </cell>
          <cell r="K312">
            <v>430</v>
          </cell>
          <cell r="L312">
            <v>3700.9682400000006</v>
          </cell>
          <cell r="M312">
            <v>263</v>
          </cell>
        </row>
        <row r="313">
          <cell r="E313" t="str">
            <v>TU-MYN</v>
          </cell>
          <cell r="F313" t="str">
            <v>Y</v>
          </cell>
          <cell r="G313">
            <v>2748.9730097783131</v>
          </cell>
          <cell r="H313">
            <v>1985.1444699706203</v>
          </cell>
          <cell r="I313">
            <v>35.824283600000001</v>
          </cell>
          <cell r="J313">
            <v>0</v>
          </cell>
          <cell r="K313">
            <v>2784.797293378313</v>
          </cell>
          <cell r="L313">
            <v>43885.071975488005</v>
          </cell>
          <cell r="M313" t="e">
            <v>#N/A</v>
          </cell>
        </row>
        <row r="314">
          <cell r="E314" t="str">
            <v>TU-OL</v>
          </cell>
          <cell r="F314" t="str">
            <v>Y</v>
          </cell>
          <cell r="G314">
            <v>614.91672300998061</v>
          </cell>
          <cell r="H314">
            <v>487.06996224074987</v>
          </cell>
          <cell r="I314">
            <v>9.6958819999999992</v>
          </cell>
          <cell r="J314">
            <v>14.461457499999996</v>
          </cell>
          <cell r="K314">
            <v>639.07406250998065</v>
          </cell>
          <cell r="L314">
            <v>12126.538757706037</v>
          </cell>
          <cell r="M314">
            <v>709</v>
          </cell>
        </row>
        <row r="315">
          <cell r="E315" t="str">
            <v>TU-PMG-LA</v>
          </cell>
          <cell r="F315" t="str">
            <v>Y</v>
          </cell>
          <cell r="G315">
            <v>1063</v>
          </cell>
          <cell r="H315">
            <v>836.1243729311999</v>
          </cell>
          <cell r="I315">
            <v>21.588585600000002</v>
          </cell>
          <cell r="J315">
            <v>0</v>
          </cell>
          <cell r="K315">
            <v>1084.5885856</v>
          </cell>
          <cell r="L315">
            <v>19554.898739519995</v>
          </cell>
          <cell r="M315">
            <v>1350</v>
          </cell>
        </row>
        <row r="316">
          <cell r="E316" t="str">
            <v>TU-PMG-ST</v>
          </cell>
          <cell r="F316" t="str">
            <v>Y</v>
          </cell>
          <cell r="G316">
            <v>884.6611318254478</v>
          </cell>
          <cell r="H316">
            <v>683.68447174852486</v>
          </cell>
          <cell r="I316">
            <v>18.4774156</v>
          </cell>
          <cell r="J316">
            <v>0</v>
          </cell>
          <cell r="K316">
            <v>903.13854742544777</v>
          </cell>
          <cell r="L316">
            <v>15160.749681179999</v>
          </cell>
          <cell r="M316">
            <v>1081</v>
          </cell>
        </row>
        <row r="317">
          <cell r="E317" t="str">
            <v>TU-PM-LA</v>
          </cell>
          <cell r="F317" t="str">
            <v>Y</v>
          </cell>
          <cell r="G317">
            <v>832.23420698595385</v>
          </cell>
          <cell r="H317">
            <v>629.7501421398</v>
          </cell>
          <cell r="I317">
            <v>0</v>
          </cell>
          <cell r="J317">
            <v>0</v>
          </cell>
          <cell r="K317">
            <v>832.23420698595385</v>
          </cell>
          <cell r="L317">
            <v>15550.432856239999</v>
          </cell>
          <cell r="M317">
            <v>983</v>
          </cell>
        </row>
        <row r="318">
          <cell r="E318" t="str">
            <v>TU-PMP-L</v>
          </cell>
          <cell r="F318" t="str">
            <v>Y</v>
          </cell>
          <cell r="G318">
            <v>968.39141382477283</v>
          </cell>
          <cell r="H318">
            <v>771.95885074784974</v>
          </cell>
          <cell r="I318">
            <v>20.087403999999999</v>
          </cell>
          <cell r="J318">
            <v>0</v>
          </cell>
          <cell r="K318">
            <v>988.47881782477282</v>
          </cell>
          <cell r="L318">
            <v>18770.268022139997</v>
          </cell>
          <cell r="M318">
            <v>1258</v>
          </cell>
        </row>
        <row r="319">
          <cell r="E319" t="str">
            <v>TU-PMS-LA</v>
          </cell>
          <cell r="F319" t="str">
            <v>Y</v>
          </cell>
          <cell r="G319">
            <v>622.25894975176925</v>
          </cell>
          <cell r="H319">
            <v>423.93094727100004</v>
          </cell>
          <cell r="I319">
            <v>6.0739640000000001</v>
          </cell>
          <cell r="J319">
            <v>0</v>
          </cell>
          <cell r="K319">
            <v>628.3329137517693</v>
          </cell>
          <cell r="L319">
            <v>11078.0083724</v>
          </cell>
          <cell r="M319">
            <v>780</v>
          </cell>
        </row>
        <row r="320">
          <cell r="E320" t="str">
            <v>TU-PMS-ST</v>
          </cell>
          <cell r="F320" t="str">
            <v>Y</v>
          </cell>
          <cell r="G320">
            <v>491.12114402984605</v>
          </cell>
          <cell r="H320">
            <v>333.72960162599992</v>
          </cell>
          <cell r="I320">
            <v>5.5584559999999996</v>
          </cell>
          <cell r="J320">
            <v>0</v>
          </cell>
          <cell r="K320">
            <v>496.67960002984603</v>
          </cell>
          <cell r="L320">
            <v>8735.3525671999996</v>
          </cell>
          <cell r="M320">
            <v>622</v>
          </cell>
        </row>
        <row r="321">
          <cell r="E321" t="str">
            <v>TU-PM-ST</v>
          </cell>
          <cell r="F321" t="str">
            <v>Y</v>
          </cell>
          <cell r="G321">
            <v>647.48517946969218</v>
          </cell>
          <cell r="H321">
            <v>476.72204416199997</v>
          </cell>
          <cell r="I321">
            <v>0</v>
          </cell>
          <cell r="J321">
            <v>0</v>
          </cell>
          <cell r="K321">
            <v>647.48517946969218</v>
          </cell>
          <cell r="L321">
            <v>11839.2643032</v>
          </cell>
          <cell r="M321">
            <v>816</v>
          </cell>
        </row>
        <row r="322">
          <cell r="E322" t="str">
            <v>TU-PTL</v>
          </cell>
          <cell r="F322" t="str">
            <v>Y</v>
          </cell>
          <cell r="G322">
            <v>1094</v>
          </cell>
          <cell r="H322">
            <v>886</v>
          </cell>
          <cell r="I322" t="e">
            <v>#N/A</v>
          </cell>
          <cell r="J322">
            <v>0</v>
          </cell>
          <cell r="K322" t="e">
            <v>#N/A</v>
          </cell>
          <cell r="L322" t="e">
            <v>#N/A</v>
          </cell>
          <cell r="M322" t="e">
            <v>#N/A</v>
          </cell>
        </row>
        <row r="323">
          <cell r="E323" t="str">
            <v>TU-RE-LA</v>
          </cell>
          <cell r="F323" t="str">
            <v>Y</v>
          </cell>
          <cell r="G323">
            <v>696.98359837979217</v>
          </cell>
          <cell r="H323">
            <v>551.19031107210003</v>
          </cell>
          <cell r="I323">
            <v>9.7005808000000009</v>
          </cell>
          <cell r="J323">
            <v>14.693979999999998</v>
          </cell>
          <cell r="K323">
            <v>721.37815917979219</v>
          </cell>
          <cell r="L323">
            <v>14034.912323055623</v>
          </cell>
          <cell r="M323">
            <v>855</v>
          </cell>
        </row>
        <row r="324">
          <cell r="E324" t="str">
            <v>TU-RWT-LA</v>
          </cell>
          <cell r="F324" t="str">
            <v>Y</v>
          </cell>
          <cell r="G324">
            <v>3467.5215302984643</v>
          </cell>
          <cell r="H324">
            <v>2794.8020427023098</v>
          </cell>
          <cell r="I324">
            <v>37.416699440000002</v>
          </cell>
          <cell r="J324">
            <v>0</v>
          </cell>
          <cell r="K324">
            <v>3504.9382297384645</v>
          </cell>
          <cell r="L324">
            <v>66955.838600514719</v>
          </cell>
          <cell r="M324">
            <v>3865</v>
          </cell>
        </row>
        <row r="325">
          <cell r="E325" t="str">
            <v>TU-RWT-M</v>
          </cell>
          <cell r="F325" t="str">
            <v>Y</v>
          </cell>
          <cell r="G325">
            <v>2204.3826619818487</v>
          </cell>
          <cell r="H325">
            <v>1741.7525402510796</v>
          </cell>
          <cell r="I325">
            <v>31.379055600000001</v>
          </cell>
          <cell r="J325">
            <v>0</v>
          </cell>
          <cell r="K325">
            <v>2235.7617175818486</v>
          </cell>
          <cell r="L325">
            <v>41292.035197599987</v>
          </cell>
          <cell r="M325">
            <v>2462</v>
          </cell>
        </row>
        <row r="326">
          <cell r="E326" t="str">
            <v>TU-RYE-LA</v>
          </cell>
          <cell r="F326" t="str">
            <v>Y</v>
          </cell>
          <cell r="G326">
            <v>1345.3211976999999</v>
          </cell>
          <cell r="H326">
            <v>1184.5801377</v>
          </cell>
          <cell r="I326">
            <v>21.701689999999999</v>
          </cell>
          <cell r="J326">
            <v>0</v>
          </cell>
          <cell r="K326">
            <v>1367.0228877</v>
          </cell>
          <cell r="L326">
            <v>29392.67108</v>
          </cell>
          <cell r="M326">
            <v>1572</v>
          </cell>
        </row>
        <row r="327">
          <cell r="E327" t="str">
            <v>TU-RYE-ST</v>
          </cell>
          <cell r="F327" t="str">
            <v>Y</v>
          </cell>
          <cell r="G327">
            <v>991.70649055499996</v>
          </cell>
          <cell r="H327">
            <v>858.93836845500016</v>
          </cell>
          <cell r="I327">
            <v>19.190449999999998</v>
          </cell>
          <cell r="J327">
            <v>0</v>
          </cell>
          <cell r="K327">
            <v>1010.8969405549999</v>
          </cell>
          <cell r="L327">
            <v>21543.485940000006</v>
          </cell>
          <cell r="M327">
            <v>1151</v>
          </cell>
        </row>
        <row r="328">
          <cell r="E328" t="str">
            <v>TU-SKD</v>
          </cell>
          <cell r="F328" t="str">
            <v>Y</v>
          </cell>
          <cell r="G328">
            <v>1480.4888387115689</v>
          </cell>
          <cell r="H328">
            <v>1174.7594789807999</v>
          </cell>
          <cell r="I328">
            <v>19.268085600000003</v>
          </cell>
          <cell r="J328">
            <v>0</v>
          </cell>
          <cell r="K328">
            <v>1499.7569243115688</v>
          </cell>
          <cell r="L328">
            <v>26928.730719120009</v>
          </cell>
          <cell r="M328">
            <v>1698</v>
          </cell>
        </row>
        <row r="329">
          <cell r="E329" t="str">
            <v>TU-SNQ-LA</v>
          </cell>
          <cell r="F329" t="str">
            <v>Y</v>
          </cell>
          <cell r="G329">
            <v>755.78590725638469</v>
          </cell>
          <cell r="H329">
            <v>571.20910739100009</v>
          </cell>
          <cell r="I329">
            <v>10.216456000000001</v>
          </cell>
          <cell r="J329">
            <v>0</v>
          </cell>
          <cell r="K329">
            <v>766.00236325638468</v>
          </cell>
          <cell r="L329">
            <v>13723.544336400004</v>
          </cell>
          <cell r="M329" t="e">
            <v>#N/A</v>
          </cell>
        </row>
        <row r="330">
          <cell r="E330" t="str">
            <v>TU-TK-LA</v>
          </cell>
          <cell r="F330" t="str">
            <v>Y</v>
          </cell>
          <cell r="G330">
            <v>451.52033703000001</v>
          </cell>
          <cell r="H330">
            <v>332.37378903000007</v>
          </cell>
          <cell r="I330">
            <v>14.54928</v>
          </cell>
          <cell r="J330">
            <v>0</v>
          </cell>
          <cell r="K330">
            <v>466.06961703000002</v>
          </cell>
          <cell r="L330">
            <v>8247.8435119999995</v>
          </cell>
          <cell r="M330">
            <v>536</v>
          </cell>
        </row>
        <row r="331">
          <cell r="E331" t="str">
            <v>TU-TK-ST</v>
          </cell>
          <cell r="F331" t="str">
            <v>Y</v>
          </cell>
          <cell r="G331">
            <v>368.59952135999987</v>
          </cell>
          <cell r="H331">
            <v>268.13237060999995</v>
          </cell>
          <cell r="I331">
            <v>13.80264</v>
          </cell>
          <cell r="J331">
            <v>0</v>
          </cell>
          <cell r="K331">
            <v>382.40216135999987</v>
          </cell>
          <cell r="L331">
            <v>5853.3314039999996</v>
          </cell>
          <cell r="M331">
            <v>438</v>
          </cell>
        </row>
        <row r="332">
          <cell r="E332" t="str">
            <v>TU-VCO</v>
          </cell>
          <cell r="F332" t="str">
            <v>Y</v>
          </cell>
          <cell r="G332">
            <v>950</v>
          </cell>
          <cell r="H332" t="e">
            <v>#N/A</v>
          </cell>
          <cell r="I332" t="e">
            <v>#N/A</v>
          </cell>
          <cell r="J332">
            <v>17.814107499999999</v>
          </cell>
          <cell r="K332" t="e">
            <v>#N/A</v>
          </cell>
          <cell r="L332" t="e">
            <v>#N/A</v>
          </cell>
          <cell r="M332" t="e">
            <v>#N/A</v>
          </cell>
        </row>
        <row r="333">
          <cell r="E333" t="str">
            <v>TU-VC</v>
          </cell>
          <cell r="F333" t="str">
            <v>Y</v>
          </cell>
          <cell r="G333">
            <v>751</v>
          </cell>
          <cell r="H333">
            <v>748.26142611224998</v>
          </cell>
          <cell r="I333"/>
          <cell r="J333"/>
          <cell r="K333"/>
          <cell r="L333"/>
          <cell r="M333"/>
        </row>
        <row r="334">
          <cell r="E334" t="str">
            <v>TU-WBM</v>
          </cell>
          <cell r="F334" t="str">
            <v>Y</v>
          </cell>
          <cell r="G334">
            <v>1717.784566453671</v>
          </cell>
          <cell r="H334">
            <v>1393.8970704998251</v>
          </cell>
          <cell r="I334">
            <v>21.226699799999999</v>
          </cell>
          <cell r="J334">
            <v>0</v>
          </cell>
          <cell r="K334">
            <v>1739.011266253671</v>
          </cell>
          <cell r="L334">
            <v>29223.856316510002</v>
          </cell>
          <cell r="M334" t="e">
            <v>#N/A</v>
          </cell>
        </row>
        <row r="335">
          <cell r="E335" t="str">
            <v>TU-WBM-ST</v>
          </cell>
          <cell r="F335" t="str">
            <v>Y</v>
          </cell>
          <cell r="G335">
            <v>1372</v>
          </cell>
          <cell r="H335">
            <v>1104</v>
          </cell>
          <cell r="I335" t="e">
            <v>#N/A</v>
          </cell>
          <cell r="J335">
            <v>18.177250000000001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E336" t="str">
            <v>W-AND-10N</v>
          </cell>
          <cell r="F336" t="str">
            <v>Y</v>
          </cell>
          <cell r="G336">
            <v>2325.1330424089338</v>
          </cell>
          <cell r="H336">
            <v>1902.4333428236498</v>
          </cell>
          <cell r="I336">
            <v>19.308872000000001</v>
          </cell>
          <cell r="J336">
            <v>0</v>
          </cell>
          <cell r="K336">
            <v>2344.4419144089338</v>
          </cell>
          <cell r="L336">
            <v>41683</v>
          </cell>
          <cell r="M336">
            <v>2640</v>
          </cell>
        </row>
        <row r="337">
          <cell r="E337" t="str">
            <v>W-AND-12N</v>
          </cell>
          <cell r="F337" t="str">
            <v>Y</v>
          </cell>
          <cell r="G337">
            <v>2799.914099489999</v>
          </cell>
          <cell r="H337">
            <v>2141.6978124999996</v>
          </cell>
          <cell r="I337">
            <v>28.009675999999999</v>
          </cell>
          <cell r="J337">
            <v>0</v>
          </cell>
          <cell r="K337">
            <v>2827.9237754899991</v>
          </cell>
          <cell r="L337">
            <v>45976</v>
          </cell>
          <cell r="M337">
            <v>3215</v>
          </cell>
        </row>
        <row r="338">
          <cell r="E338" t="str">
            <v>W-AND-2M</v>
          </cell>
          <cell r="F338" t="str">
            <v>Y</v>
          </cell>
          <cell r="G338">
            <v>4753.1964908714108</v>
          </cell>
          <cell r="H338">
            <v>3266.3412192875617</v>
          </cell>
          <cell r="I338">
            <v>38.219780800000002</v>
          </cell>
          <cell r="J338">
            <v>0</v>
          </cell>
          <cell r="K338">
            <v>4791.4162716714109</v>
          </cell>
          <cell r="L338">
            <v>77355.107445756046</v>
          </cell>
          <cell r="M338" t="e">
            <v>#N/A</v>
          </cell>
        </row>
        <row r="339">
          <cell r="E339" t="str">
            <v>W-AND-2N</v>
          </cell>
          <cell r="F339" t="str">
            <v>Y</v>
          </cell>
          <cell r="G339">
            <v>4318.8598398040585</v>
          </cell>
          <cell r="H339">
            <v>3223.4040246502118</v>
          </cell>
          <cell r="I339">
            <v>38.950678800000006</v>
          </cell>
          <cell r="J339">
            <v>0</v>
          </cell>
          <cell r="K339">
            <v>4357.8105186040584</v>
          </cell>
          <cell r="L339">
            <v>74375.364986956032</v>
          </cell>
          <cell r="M339" t="e">
            <v>#N/A</v>
          </cell>
        </row>
        <row r="340">
          <cell r="E340" t="str">
            <v>W-AND-3M</v>
          </cell>
          <cell r="F340" t="str">
            <v>Y</v>
          </cell>
          <cell r="G340">
            <v>6148.8987100003033</v>
          </cell>
          <cell r="H340">
            <v>4312.1705654233783</v>
          </cell>
          <cell r="I340">
            <v>51.411467999999999</v>
          </cell>
          <cell r="J340">
            <v>0</v>
          </cell>
          <cell r="K340">
            <v>6200.3101780003035</v>
          </cell>
          <cell r="L340">
            <v>100722.88016723203</v>
          </cell>
          <cell r="M340" t="e">
            <v>#N/A</v>
          </cell>
        </row>
        <row r="341">
          <cell r="E341" t="str">
            <v>W-AND-3N</v>
          </cell>
          <cell r="F341" t="str">
            <v>Y</v>
          </cell>
          <cell r="G341">
            <v>5841.7099974903022</v>
          </cell>
          <cell r="H341">
            <v>4335.5032576633776</v>
          </cell>
          <cell r="I341">
            <v>51.411467999999999</v>
          </cell>
          <cell r="J341">
            <v>0</v>
          </cell>
          <cell r="K341">
            <v>5893.1214654903024</v>
          </cell>
          <cell r="L341">
            <v>97826.793607232015</v>
          </cell>
          <cell r="M341" t="e">
            <v>#N/A</v>
          </cell>
        </row>
        <row r="342">
          <cell r="E342" t="str">
            <v>W-AND-4M</v>
          </cell>
          <cell r="F342" t="str">
            <v>Y</v>
          </cell>
          <cell r="G342">
            <v>8301.1772925933165</v>
          </cell>
          <cell r="H342">
            <v>5900.9100291050672</v>
          </cell>
          <cell r="I342">
            <v>72.266897999999998</v>
          </cell>
          <cell r="J342">
            <v>0</v>
          </cell>
          <cell r="K342">
            <v>8373.4441905933163</v>
          </cell>
          <cell r="L342">
            <v>134012.77975610146</v>
          </cell>
          <cell r="M342" t="e">
            <v>#N/A</v>
          </cell>
        </row>
        <row r="343">
          <cell r="E343" t="str">
            <v>W-AND-4N</v>
          </cell>
          <cell r="F343" t="str">
            <v>Y</v>
          </cell>
          <cell r="G343">
            <v>7971.0106994306898</v>
          </cell>
          <cell r="H343">
            <v>5900.9100291050672</v>
          </cell>
          <cell r="I343">
            <v>72.266897999999998</v>
          </cell>
          <cell r="J343">
            <v>0</v>
          </cell>
          <cell r="K343">
            <v>8043.2775974306896</v>
          </cell>
          <cell r="L343">
            <v>131155.04334207645</v>
          </cell>
          <cell r="M343" t="e">
            <v>#N/A</v>
          </cell>
        </row>
        <row r="344">
          <cell r="E344" t="str">
            <v>WA-PYS-N</v>
          </cell>
          <cell r="F344" t="str">
            <v>Y</v>
          </cell>
          <cell r="G344">
            <v>158</v>
          </cell>
          <cell r="H344">
            <v>28.613984255999998</v>
          </cell>
        </row>
        <row r="345">
          <cell r="E345" t="str">
            <v>WA-PYS-S</v>
          </cell>
          <cell r="F345" t="str">
            <v>Y</v>
          </cell>
          <cell r="G345">
            <v>194</v>
          </cell>
          <cell r="H345">
            <v>32.065887743999994</v>
          </cell>
        </row>
        <row r="346">
          <cell r="E346" t="str">
            <v>W-BNO</v>
          </cell>
          <cell r="F346" t="str">
            <v>Y</v>
          </cell>
          <cell r="G346">
            <v>2008</v>
          </cell>
          <cell r="H346"/>
        </row>
        <row r="347">
          <cell r="E347" t="str">
            <v>W-CLO-3</v>
          </cell>
          <cell r="F347" t="str">
            <v>Y</v>
          </cell>
          <cell r="G347">
            <v>1041</v>
          </cell>
          <cell r="H347"/>
        </row>
        <row r="348">
          <cell r="E348" t="str">
            <v>W-CLO-345</v>
          </cell>
          <cell r="F348" t="str">
            <v>Y</v>
          </cell>
          <cell r="G348">
            <v>4084</v>
          </cell>
          <cell r="H348"/>
        </row>
        <row r="349">
          <cell r="E349" t="str">
            <v>W-CLO-4</v>
          </cell>
          <cell r="F349" t="str">
            <v>Y</v>
          </cell>
          <cell r="G349">
            <v>1389</v>
          </cell>
          <cell r="H349"/>
        </row>
        <row r="350">
          <cell r="E350" t="str">
            <v>W-CLO-5</v>
          </cell>
          <cell r="F350" t="str">
            <v>Y</v>
          </cell>
          <cell r="G350">
            <v>1654</v>
          </cell>
          <cell r="H350"/>
        </row>
        <row r="351">
          <cell r="E351" t="str">
            <v>W-MLT-2N</v>
          </cell>
          <cell r="F351" t="str">
            <v>Y</v>
          </cell>
          <cell r="G351">
            <v>2718</v>
          </cell>
          <cell r="H351">
            <v>2270.32889022057</v>
          </cell>
          <cell r="I351">
            <v>22.246261199999999</v>
          </cell>
          <cell r="J351">
            <v>0</v>
          </cell>
          <cell r="K351">
            <v>2740.2462611999999</v>
          </cell>
          <cell r="L351">
            <v>51685.688050727993</v>
          </cell>
          <cell r="M351">
            <v>3438</v>
          </cell>
        </row>
        <row r="352">
          <cell r="E352" t="str">
            <v>W-MLT-3N</v>
          </cell>
          <cell r="F352" t="str">
            <v>Y</v>
          </cell>
          <cell r="G352">
            <v>3766</v>
          </cell>
          <cell r="H352">
            <v>3262.3597800215703</v>
          </cell>
          <cell r="I352">
            <v>35.190390999999998</v>
          </cell>
          <cell r="J352">
            <v>0</v>
          </cell>
          <cell r="K352">
            <v>3801.1903910000001</v>
          </cell>
          <cell r="L352">
            <v>72445.742531127966</v>
          </cell>
          <cell r="M352">
            <v>4895</v>
          </cell>
        </row>
        <row r="353">
          <cell r="E353" t="str">
            <v>W-MLT-4N</v>
          </cell>
          <cell r="F353" t="str">
            <v>Y</v>
          </cell>
          <cell r="G353">
            <v>5757</v>
          </cell>
          <cell r="H353">
            <v>4622.9816693850871</v>
          </cell>
          <cell r="I353">
            <v>55.784753360000003</v>
          </cell>
          <cell r="J353">
            <v>0</v>
          </cell>
          <cell r="K353">
            <v>5812.7847533599997</v>
          </cell>
          <cell r="L353">
            <v>100594.17783481549</v>
          </cell>
          <cell r="M353">
            <v>7109</v>
          </cell>
        </row>
        <row r="354">
          <cell r="E354" t="str">
            <v>W-MLT-M</v>
          </cell>
          <cell r="F354" t="str">
            <v>Y</v>
          </cell>
          <cell r="G354">
            <v>2494</v>
          </cell>
          <cell r="H354"/>
        </row>
        <row r="355">
          <cell r="E355" t="str">
            <v>B-MLT-D30T</v>
          </cell>
          <cell r="F355" t="str">
            <v>Y</v>
          </cell>
          <cell r="G355">
            <v>2344</v>
          </cell>
          <cell r="H355"/>
        </row>
        <row r="356">
          <cell r="E356" t="str">
            <v>PU-SNM</v>
          </cell>
          <cell r="F356" t="str">
            <v>Y</v>
          </cell>
          <cell r="G356">
            <v>2567</v>
          </cell>
          <cell r="H356"/>
        </row>
        <row r="357">
          <cell r="E357" t="str">
            <v>SB-BNA</v>
          </cell>
          <cell r="F357" t="str">
            <v>Y</v>
          </cell>
          <cell r="G357">
            <v>840</v>
          </cell>
          <cell r="H357"/>
        </row>
        <row r="358">
          <cell r="E358" t="str">
            <v>SF-WBR-4LI</v>
          </cell>
          <cell r="F358" t="str">
            <v>Y</v>
          </cell>
          <cell r="G358" t="e">
            <v>#N/A</v>
          </cell>
          <cell r="H358"/>
        </row>
        <row r="359">
          <cell r="E359" t="str">
            <v>SR-FYN</v>
          </cell>
          <cell r="F359" t="str">
            <v>Y</v>
          </cell>
          <cell r="G359">
            <v>2193</v>
          </cell>
          <cell r="H359"/>
        </row>
        <row r="360">
          <cell r="E360" t="str">
            <v>TU-SKDL</v>
          </cell>
          <cell r="F360" t="str">
            <v>Y</v>
          </cell>
          <cell r="G360">
            <v>1172</v>
          </cell>
          <cell r="H360"/>
        </row>
        <row r="361">
          <cell r="E361" t="str">
            <v>SB-VNO</v>
          </cell>
          <cell r="F361" t="str">
            <v>Y</v>
          </cell>
          <cell r="G361">
            <v>942</v>
          </cell>
          <cell r="H361"/>
        </row>
        <row r="362">
          <cell r="E362" t="str">
            <v>SH-GTA</v>
          </cell>
          <cell r="F362" t="str">
            <v>Y</v>
          </cell>
          <cell r="G362">
            <v>281</v>
          </cell>
          <cell r="H362"/>
        </row>
        <row r="363">
          <cell r="E363" t="str">
            <v>SR-WMO</v>
          </cell>
          <cell r="F363" t="str">
            <v>Y</v>
          </cell>
          <cell r="G363">
            <v>1894</v>
          </cell>
        </row>
        <row r="364">
          <cell r="E364" t="str">
            <v>PU-SUB</v>
          </cell>
          <cell r="F364" t="str">
            <v>Y</v>
          </cell>
          <cell r="G364">
            <v>1440</v>
          </cell>
        </row>
        <row r="365">
          <cell r="E365" t="str">
            <v>PU-SUB-ST</v>
          </cell>
          <cell r="F365" t="str">
            <v>Y</v>
          </cell>
          <cell r="G365">
            <v>757</v>
          </cell>
        </row>
        <row r="366">
          <cell r="E366" t="str">
            <v>PU-DRV</v>
          </cell>
          <cell r="F366" t="str">
            <v>Y</v>
          </cell>
          <cell r="G366">
            <v>285</v>
          </cell>
        </row>
        <row r="367">
          <cell r="E367" t="str">
            <v>ST-RDO-ST</v>
          </cell>
          <cell r="F367" t="str">
            <v>Y</v>
          </cell>
          <cell r="G367">
            <v>716</v>
          </cell>
        </row>
        <row r="368">
          <cell r="E368" t="str">
            <v>SH-DVN-ST</v>
          </cell>
          <cell r="F368" t="str">
            <v>Y</v>
          </cell>
          <cell r="G368">
            <v>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4z8S4i8ZkmUZfUCluYumFRGJwt0nVxEpT1AD7yUvSNylRma3rksSq3wcpVINi-Q" itemId="01JLS63UVVA3CYZGKTQZEJD5WKTAYSRLWJ">
      <xxl21:absoluteUrl r:id="rId2"/>
    </xxl21:alternateUrls>
    <sheetNames>
      <sheetName val="MTP"/>
      <sheetName val="Sheet1"/>
      <sheetName val="SKU.Mapping"/>
      <sheetName val="FNSKU Master"/>
      <sheetName val="All.ListingsB"/>
      <sheetName val="Amz.Active"/>
      <sheetName val="ARF.Amz"/>
      <sheetName val="FBA Fee Analysis"/>
      <sheetName val="FK-Listings"/>
      <sheetName val="Prod.Cat"/>
      <sheetName val="Rates"/>
      <sheetName val="HELP"/>
      <sheetName val="Sheet2"/>
    </sheetNames>
    <sheetDataSet>
      <sheetData sheetId="0"/>
      <sheetData sheetId="1"/>
      <sheetData sheetId="2">
        <row r="1">
          <cell r="B1" t="str">
            <v>MTP.SKU</v>
          </cell>
          <cell r="C1" t="str">
            <v>Chk</v>
          </cell>
        </row>
        <row r="2">
          <cell r="B2" t="str">
            <v>TU-SKD</v>
          </cell>
          <cell r="C2" t="str">
            <v>Y</v>
          </cell>
        </row>
        <row r="3">
          <cell r="B3" t="str">
            <v>TU-WBM</v>
          </cell>
          <cell r="C3" t="str">
            <v>Y</v>
          </cell>
        </row>
        <row r="4">
          <cell r="B4" t="str">
            <v>TU-SKD</v>
          </cell>
          <cell r="C4" t="str">
            <v>YD</v>
          </cell>
        </row>
        <row r="5">
          <cell r="B5" t="str">
            <v>TU-SKD</v>
          </cell>
          <cell r="C5" t="str">
            <v>Y</v>
          </cell>
        </row>
        <row r="6">
          <cell r="B6" t="str">
            <v>SR-KPN</v>
          </cell>
          <cell r="C6" t="str">
            <v>Y</v>
          </cell>
        </row>
        <row r="7">
          <cell r="B7" t="str">
            <v>ST-AML</v>
          </cell>
          <cell r="C7" t="str">
            <v>Y</v>
          </cell>
        </row>
        <row r="8">
          <cell r="B8" t="str">
            <v>TU-FL</v>
          </cell>
          <cell r="C8" t="str">
            <v>YD</v>
          </cell>
        </row>
        <row r="9">
          <cell r="B9" t="str">
            <v>TU-FL</v>
          </cell>
          <cell r="C9" t="str">
            <v>Y</v>
          </cell>
        </row>
        <row r="10">
          <cell r="B10" t="str">
            <v>SR-KPN</v>
          </cell>
          <cell r="C10" t="str">
            <v>YD</v>
          </cell>
        </row>
        <row r="11">
          <cell r="B11" t="str">
            <v>TU-DRN</v>
          </cell>
          <cell r="C11" t="str">
            <v>y</v>
          </cell>
        </row>
        <row r="12">
          <cell r="B12" t="str">
            <v>TU-PMG-LA</v>
          </cell>
          <cell r="C12" t="str">
            <v>Y</v>
          </cell>
        </row>
        <row r="13">
          <cell r="B13" t="e">
            <v>#N/A</v>
          </cell>
          <cell r="C13"/>
        </row>
        <row r="14">
          <cell r="B14" t="str">
            <v>B-RVB-QN</v>
          </cell>
          <cell r="C14" t="str">
            <v>YB</v>
          </cell>
        </row>
        <row r="15">
          <cell r="B15" t="str">
            <v>SR-CLM-3</v>
          </cell>
          <cell r="C15" t="str">
            <v>Y</v>
          </cell>
        </row>
        <row r="16">
          <cell r="B16" t="str">
            <v>ST-MLM-L</v>
          </cell>
          <cell r="C16" t="str">
            <v>Y</v>
          </cell>
        </row>
        <row r="17">
          <cell r="B17" t="str">
            <v>W-AND-3M</v>
          </cell>
          <cell r="C17" t="str">
            <v>Y</v>
          </cell>
        </row>
        <row r="18">
          <cell r="B18" t="str">
            <v>SB-AXA-52</v>
          </cell>
          <cell r="C18" t="str">
            <v>Y</v>
          </cell>
        </row>
        <row r="19">
          <cell r="B19" t="str">
            <v>TU-FL</v>
          </cell>
          <cell r="C19" t="str">
            <v>y</v>
          </cell>
        </row>
        <row r="20">
          <cell r="B20" t="str">
            <v>W-AND-2M</v>
          </cell>
          <cell r="C20" t="str">
            <v>Y</v>
          </cell>
        </row>
        <row r="21">
          <cell r="B21" t="str">
            <v>TU-RWT-LA</v>
          </cell>
          <cell r="C21" t="str">
            <v>Y</v>
          </cell>
        </row>
        <row r="22">
          <cell r="B22" t="str">
            <v>S-BR-F6</v>
          </cell>
          <cell r="C22" t="str">
            <v>Y</v>
          </cell>
        </row>
        <row r="23">
          <cell r="B23" t="str">
            <v>W-AND-4M</v>
          </cell>
          <cell r="C23" t="str">
            <v>Y</v>
          </cell>
        </row>
        <row r="24">
          <cell r="B24" t="str">
            <v>B-MLT-QT</v>
          </cell>
          <cell r="C24" t="e">
            <v>#N/A</v>
          </cell>
        </row>
        <row r="25">
          <cell r="B25" t="str">
            <v>SB-SN-D</v>
          </cell>
          <cell r="C25" t="str">
            <v>Y</v>
          </cell>
        </row>
        <row r="26">
          <cell r="B26" t="str">
            <v>W-AND-3N</v>
          </cell>
          <cell r="C26" t="str">
            <v>Y</v>
          </cell>
        </row>
        <row r="27">
          <cell r="B27" t="str">
            <v>TU-PM-LA</v>
          </cell>
          <cell r="C27" t="str">
            <v>Y</v>
          </cell>
        </row>
        <row r="28">
          <cell r="B28" t="str">
            <v>W-AND-4N</v>
          </cell>
          <cell r="C28" t="str">
            <v>Y</v>
          </cell>
        </row>
        <row r="29">
          <cell r="B29" t="str">
            <v>B-MLT-KT</v>
          </cell>
          <cell r="C29" t="e">
            <v>#N/A</v>
          </cell>
        </row>
        <row r="30">
          <cell r="B30" t="str">
            <v>SB-SN-N</v>
          </cell>
          <cell r="C30" t="str">
            <v>Y</v>
          </cell>
        </row>
        <row r="31">
          <cell r="B31" t="str">
            <v>S-CRF</v>
          </cell>
          <cell r="C31" t="str">
            <v>Y</v>
          </cell>
        </row>
        <row r="32">
          <cell r="B32" t="str">
            <v>SB-CB</v>
          </cell>
          <cell r="C32" t="str">
            <v>Y</v>
          </cell>
        </row>
        <row r="33">
          <cell r="B33" t="str">
            <v>RT-DR</v>
          </cell>
          <cell r="C33" t="str">
            <v>Y</v>
          </cell>
        </row>
        <row r="34">
          <cell r="B34" t="str">
            <v>S-BR-F6</v>
          </cell>
          <cell r="C34" t="str">
            <v>YB</v>
          </cell>
        </row>
        <row r="35">
          <cell r="B35" t="str">
            <v>TU-RWT-M</v>
          </cell>
          <cell r="C35" t="str">
            <v>Y</v>
          </cell>
        </row>
        <row r="36">
          <cell r="B36" t="str">
            <v>B-POL-QT</v>
          </cell>
          <cell r="C36" t="str">
            <v>Y</v>
          </cell>
        </row>
        <row r="37">
          <cell r="B37" t="str">
            <v>SR-CLM-2</v>
          </cell>
          <cell r="C37" t="str">
            <v>y</v>
          </cell>
        </row>
        <row r="38">
          <cell r="B38" t="str">
            <v>S-CC</v>
          </cell>
          <cell r="C38" t="str">
            <v>Y</v>
          </cell>
        </row>
        <row r="39">
          <cell r="B39" t="str">
            <v>W-AND-10N</v>
          </cell>
          <cell r="C39" t="str">
            <v>Y</v>
          </cell>
        </row>
        <row r="40">
          <cell r="B40" t="str">
            <v>SB-LGN</v>
          </cell>
          <cell r="C40" t="str">
            <v>Y</v>
          </cell>
        </row>
        <row r="41">
          <cell r="B41" t="str">
            <v>TU-MYN</v>
          </cell>
          <cell r="C41" t="str">
            <v>y</v>
          </cell>
        </row>
        <row r="42">
          <cell r="B42" t="str">
            <v>RT-FR</v>
          </cell>
          <cell r="C42" t="e">
            <v>#N/A</v>
          </cell>
        </row>
        <row r="43">
          <cell r="B43" t="str">
            <v>BT-OL-D</v>
          </cell>
          <cell r="C43" t="str">
            <v>Y</v>
          </cell>
        </row>
        <row r="44">
          <cell r="B44" t="str">
            <v>W-AND-4M</v>
          </cell>
          <cell r="C44" t="e">
            <v>#N/A</v>
          </cell>
        </row>
        <row r="45">
          <cell r="B45" t="str">
            <v>W-AND-2N</v>
          </cell>
          <cell r="C45" t="str">
            <v>Y</v>
          </cell>
        </row>
        <row r="46">
          <cell r="B46" t="str">
            <v>ST-MLM-L</v>
          </cell>
          <cell r="C46" t="str">
            <v>Y</v>
          </cell>
        </row>
        <row r="47">
          <cell r="B47" t="str">
            <v>SB-WA</v>
          </cell>
          <cell r="C47" t="str">
            <v>Y</v>
          </cell>
        </row>
        <row r="48">
          <cell r="B48" t="str">
            <v>DT-HE-4</v>
          </cell>
          <cell r="C48" t="str">
            <v>Y</v>
          </cell>
        </row>
        <row r="49">
          <cell r="B49" t="str">
            <v>SB-MXL-LA</v>
          </cell>
          <cell r="C49" t="str">
            <v>Y</v>
          </cell>
        </row>
        <row r="50">
          <cell r="B50" t="str">
            <v>TU-GAU</v>
          </cell>
          <cell r="C50" t="e">
            <v>#N/A</v>
          </cell>
        </row>
        <row r="51">
          <cell r="B51" t="str">
            <v>B-POL-KT</v>
          </cell>
          <cell r="C51" t="str">
            <v>Y</v>
          </cell>
        </row>
        <row r="52">
          <cell r="B52" t="str">
            <v>TU-RYE-LA</v>
          </cell>
          <cell r="C52" t="str">
            <v>Y</v>
          </cell>
        </row>
        <row r="53">
          <cell r="B53" t="str">
            <v>S-BR-6</v>
          </cell>
          <cell r="C53" t="str">
            <v>Y</v>
          </cell>
        </row>
        <row r="54">
          <cell r="B54" t="str">
            <v>TU-RYE-ST</v>
          </cell>
          <cell r="C54" t="str">
            <v>YH</v>
          </cell>
        </row>
        <row r="55">
          <cell r="B55" t="str">
            <v>TU-PMG-ST</v>
          </cell>
          <cell r="C55" t="str">
            <v>Y</v>
          </cell>
        </row>
        <row r="56">
          <cell r="B56" t="str">
            <v>KHS-SW-W1</v>
          </cell>
          <cell r="C56" t="str">
            <v>Y</v>
          </cell>
        </row>
        <row r="57">
          <cell r="B57" t="str">
            <v>SB-WA-WM</v>
          </cell>
          <cell r="C57" t="str">
            <v>Y</v>
          </cell>
        </row>
        <row r="58">
          <cell r="B58" t="str">
            <v>ST-EFI-ST</v>
          </cell>
          <cell r="C58" t="e">
            <v>#N/A</v>
          </cell>
        </row>
        <row r="59">
          <cell r="B59" t="str">
            <v>ST-MLM-N</v>
          </cell>
          <cell r="C59" t="str">
            <v>Y</v>
          </cell>
        </row>
        <row r="60">
          <cell r="B60" t="e">
            <v>#N/A</v>
          </cell>
          <cell r="C60" t="e">
            <v>#N/A</v>
          </cell>
        </row>
        <row r="61">
          <cell r="B61" t="e">
            <v>#N/A</v>
          </cell>
          <cell r="C61" t="e">
            <v>#N/A</v>
          </cell>
        </row>
        <row r="62">
          <cell r="B62" t="str">
            <v>ST-GSE-ST</v>
          </cell>
          <cell r="C62" t="e">
            <v>#N/A</v>
          </cell>
        </row>
        <row r="63">
          <cell r="B63" t="e">
            <v>#N/A</v>
          </cell>
          <cell r="C63" t="e">
            <v>#N/A</v>
          </cell>
        </row>
        <row r="64">
          <cell r="B64" t="str">
            <v>KR-JSD</v>
          </cell>
          <cell r="C64" t="str">
            <v>Y</v>
          </cell>
        </row>
        <row r="65">
          <cell r="B65" t="str">
            <v>KH-TO-18</v>
          </cell>
          <cell r="C65" t="str">
            <v>Y</v>
          </cell>
        </row>
        <row r="66">
          <cell r="B66" t="str">
            <v>S-BR-6</v>
          </cell>
          <cell r="C66" t="str">
            <v>YB</v>
          </cell>
        </row>
        <row r="67">
          <cell r="B67" t="str">
            <v>B-RVB-QN</v>
          </cell>
          <cell r="C67" t="e">
            <v>#N/A</v>
          </cell>
        </row>
        <row r="68">
          <cell r="B68" t="str">
            <v>SB-NBK</v>
          </cell>
          <cell r="C68" t="e">
            <v>#N/A</v>
          </cell>
        </row>
        <row r="69">
          <cell r="B69" t="str">
            <v>S-LO</v>
          </cell>
          <cell r="C69" t="str">
            <v>YB</v>
          </cell>
        </row>
        <row r="70">
          <cell r="B70" t="str">
            <v>S-XD</v>
          </cell>
          <cell r="C70" t="str">
            <v>Y</v>
          </cell>
        </row>
        <row r="71">
          <cell r="B71" t="str">
            <v>RT-ALY</v>
          </cell>
          <cell r="C71" t="str">
            <v>Y</v>
          </cell>
        </row>
        <row r="72">
          <cell r="B72" t="str">
            <v>ST-RE</v>
          </cell>
          <cell r="C72" t="str">
            <v>Y</v>
          </cell>
        </row>
        <row r="73">
          <cell r="B73" t="str">
            <v>S-PTE</v>
          </cell>
          <cell r="C73" t="str">
            <v>Y</v>
          </cell>
        </row>
        <row r="74">
          <cell r="B74" t="str">
            <v>S-JVS</v>
          </cell>
          <cell r="C74" t="str">
            <v>Y</v>
          </cell>
        </row>
        <row r="75">
          <cell r="B75" t="e">
            <v>#N/A</v>
          </cell>
          <cell r="C75" t="e">
            <v>#N/A</v>
          </cell>
        </row>
        <row r="76">
          <cell r="B76" t="str">
            <v>KH-TO-40</v>
          </cell>
          <cell r="C76" t="str">
            <v>Y</v>
          </cell>
        </row>
        <row r="77">
          <cell r="B77" t="str">
            <v>CT-TR-RTS</v>
          </cell>
          <cell r="C77" t="e">
            <v>#N/A</v>
          </cell>
        </row>
        <row r="78">
          <cell r="B78" t="e">
            <v>#N/A</v>
          </cell>
          <cell r="C78" t="e">
            <v>#N/A</v>
          </cell>
        </row>
        <row r="79">
          <cell r="B79" t="str">
            <v>SB-MOL</v>
          </cell>
          <cell r="C79" t="e">
            <v>#N/A</v>
          </cell>
        </row>
        <row r="80">
          <cell r="B80" t="str">
            <v>RT-RI-M</v>
          </cell>
          <cell r="C80" t="str">
            <v>Y</v>
          </cell>
        </row>
        <row r="81">
          <cell r="B81" t="str">
            <v>RH-RL</v>
          </cell>
          <cell r="C81" t="str">
            <v>Y</v>
          </cell>
        </row>
        <row r="82">
          <cell r="B82" t="str">
            <v>KH-SW-W21</v>
          </cell>
          <cell r="C82" t="str">
            <v>Y</v>
          </cell>
        </row>
        <row r="83">
          <cell r="B83" t="str">
            <v>SB-MPL</v>
          </cell>
          <cell r="C83" t="str">
            <v>Y</v>
          </cell>
        </row>
        <row r="84">
          <cell r="B84" t="str">
            <v>W-AND-11N</v>
          </cell>
          <cell r="C84" t="e">
            <v>#N/A</v>
          </cell>
        </row>
        <row r="85">
          <cell r="B85" t="str">
            <v>S-CC</v>
          </cell>
          <cell r="C85" t="e">
            <v>#N/A</v>
          </cell>
        </row>
        <row r="86">
          <cell r="B86" t="e">
            <v>#N/A</v>
          </cell>
          <cell r="C86" t="e">
            <v>#N/A</v>
          </cell>
        </row>
        <row r="87">
          <cell r="B87" t="str">
            <v>TU-PM-ST</v>
          </cell>
          <cell r="C87" t="str">
            <v>Y</v>
          </cell>
        </row>
        <row r="88">
          <cell r="B88" t="str">
            <v>TS-NL</v>
          </cell>
          <cell r="C88" t="str">
            <v>Y</v>
          </cell>
        </row>
        <row r="89">
          <cell r="B89" t="str">
            <v>TU-RE-LA</v>
          </cell>
          <cell r="C89" t="str">
            <v>YB</v>
          </cell>
        </row>
        <row r="90">
          <cell r="B90" t="str">
            <v>ST-GSE-ST</v>
          </cell>
          <cell r="C90" t="e">
            <v>#N/A</v>
          </cell>
        </row>
        <row r="91">
          <cell r="B91" t="str">
            <v>B-RVB-QN</v>
          </cell>
          <cell r="C91" t="e">
            <v>#N/A</v>
          </cell>
        </row>
        <row r="92">
          <cell r="B92" t="str">
            <v>CT-SH</v>
          </cell>
          <cell r="C92" t="str">
            <v>Y</v>
          </cell>
        </row>
        <row r="93">
          <cell r="B93" t="str">
            <v>TU-ETY-ST</v>
          </cell>
          <cell r="C93" t="e">
            <v>#N/A</v>
          </cell>
        </row>
        <row r="94">
          <cell r="B94" t="str">
            <v>CT-MT-RT</v>
          </cell>
          <cell r="C94" t="str">
            <v>Y</v>
          </cell>
        </row>
        <row r="95">
          <cell r="B95" t="e">
            <v>#N/A</v>
          </cell>
          <cell r="C95" t="e">
            <v>#N/A</v>
          </cell>
        </row>
        <row r="96">
          <cell r="B96" t="str">
            <v>BT-CO</v>
          </cell>
          <cell r="C96" t="str">
            <v>YHRL</v>
          </cell>
        </row>
        <row r="97">
          <cell r="B97" t="str">
            <v>ST-EFI-LA</v>
          </cell>
          <cell r="C97" t="e">
            <v>#N/A</v>
          </cell>
        </row>
        <row r="98">
          <cell r="B98" t="str">
            <v>S-CC</v>
          </cell>
          <cell r="C98" t="e">
            <v>#N/A</v>
          </cell>
        </row>
        <row r="99">
          <cell r="B99" t="e">
            <v>#N/A</v>
          </cell>
          <cell r="C99" t="e">
            <v>#N/A</v>
          </cell>
        </row>
        <row r="100">
          <cell r="B100" t="str">
            <v>TU-ETY-ST</v>
          </cell>
          <cell r="C100" t="e">
            <v>#N/A</v>
          </cell>
        </row>
        <row r="101">
          <cell r="B101" t="str">
            <v>KH-SW-W10</v>
          </cell>
          <cell r="C101" t="str">
            <v>Y</v>
          </cell>
        </row>
        <row r="102">
          <cell r="B102" t="str">
            <v>W-AND-12N</v>
          </cell>
          <cell r="C102" t="str">
            <v>Y</v>
          </cell>
        </row>
        <row r="103">
          <cell r="B103" t="str">
            <v>B-RVB-KN</v>
          </cell>
          <cell r="C103" t="str">
            <v>DI</v>
          </cell>
        </row>
        <row r="104">
          <cell r="B104" t="e">
            <v>#N/A</v>
          </cell>
          <cell r="C104" t="e">
            <v>#N/A</v>
          </cell>
        </row>
        <row r="105">
          <cell r="B105" t="str">
            <v>CT-MT-RO</v>
          </cell>
          <cell r="C105" t="str">
            <v>Y</v>
          </cell>
        </row>
        <row r="106">
          <cell r="B106" t="str">
            <v>B-POL-SN</v>
          </cell>
          <cell r="C106" t="str">
            <v>Y</v>
          </cell>
        </row>
        <row r="107">
          <cell r="B107" t="str">
            <v>RH-OT</v>
          </cell>
          <cell r="C107" t="str">
            <v>Y</v>
          </cell>
        </row>
        <row r="108">
          <cell r="B108" t="str">
            <v>SB-AXA-4</v>
          </cell>
          <cell r="C108" t="e">
            <v>#N/A</v>
          </cell>
        </row>
        <row r="109">
          <cell r="B109" t="str">
            <v>SB-CS-LA</v>
          </cell>
          <cell r="C109" t="e">
            <v>#N/A</v>
          </cell>
        </row>
        <row r="110">
          <cell r="B110" t="str">
            <v>S-T-16S4</v>
          </cell>
          <cell r="C110" t="e">
            <v>#N/A</v>
          </cell>
        </row>
        <row r="111">
          <cell r="B111" t="str">
            <v>S-RY</v>
          </cell>
          <cell r="C111" t="e">
            <v>#N/A</v>
          </cell>
        </row>
        <row r="112">
          <cell r="B112" t="str">
            <v>CT-KV-RT</v>
          </cell>
          <cell r="C112" t="str">
            <v>DI</v>
          </cell>
        </row>
        <row r="113">
          <cell r="B113" t="str">
            <v>CT-DOV</v>
          </cell>
          <cell r="C113" t="str">
            <v>RL</v>
          </cell>
        </row>
        <row r="114">
          <cell r="B114" t="str">
            <v>TS-FV</v>
          </cell>
          <cell r="C114" t="str">
            <v>Y</v>
          </cell>
        </row>
        <row r="115">
          <cell r="B115" t="str">
            <v>CT-GSE-RT2</v>
          </cell>
          <cell r="C115" t="e">
            <v>#N/A</v>
          </cell>
        </row>
        <row r="116">
          <cell r="B116" t="str">
            <v>SB-AA</v>
          </cell>
          <cell r="C116" t="str">
            <v>Y</v>
          </cell>
        </row>
        <row r="117">
          <cell r="B117" t="str">
            <v>SB-PH</v>
          </cell>
          <cell r="C117" t="e">
            <v>#N/A</v>
          </cell>
        </row>
        <row r="118">
          <cell r="B118" t="str">
            <v>SB-AXA-4</v>
          </cell>
          <cell r="C118" t="e">
            <v>#N/A</v>
          </cell>
        </row>
        <row r="119">
          <cell r="B119" t="e">
            <v>#N/A</v>
          </cell>
          <cell r="C119" t="e">
            <v>#N/A</v>
          </cell>
        </row>
        <row r="120">
          <cell r="B120" t="str">
            <v>TU-PR</v>
          </cell>
          <cell r="C120" t="e">
            <v>#N/A</v>
          </cell>
        </row>
        <row r="121">
          <cell r="B121" t="str">
            <v>CT-TLY</v>
          </cell>
          <cell r="C121" t="str">
            <v>Y</v>
          </cell>
        </row>
        <row r="122">
          <cell r="B122" t="e">
            <v>#N/A</v>
          </cell>
          <cell r="C122" t="e">
            <v>#N/A</v>
          </cell>
        </row>
        <row r="123">
          <cell r="B123" t="str">
            <v>TS-NL-A</v>
          </cell>
          <cell r="C123" t="str">
            <v>DI</v>
          </cell>
        </row>
        <row r="124">
          <cell r="B124" t="str">
            <v>CT-GSE-RT</v>
          </cell>
          <cell r="C124" t="e">
            <v>#N/A</v>
          </cell>
        </row>
        <row r="125">
          <cell r="B125" t="e">
            <v>#N/A</v>
          </cell>
          <cell r="C125" t="e">
            <v>#N/A</v>
          </cell>
        </row>
        <row r="126">
          <cell r="B126" t="str">
            <v>CT-KV-SQ</v>
          </cell>
          <cell r="C126" t="e">
            <v>#N/A</v>
          </cell>
        </row>
        <row r="127">
          <cell r="B127" t="str">
            <v>CT-ATD-ST</v>
          </cell>
          <cell r="C127" t="e">
            <v>#N/A</v>
          </cell>
        </row>
        <row r="128">
          <cell r="B128" t="str">
            <v>FT-EDR</v>
          </cell>
          <cell r="C128" t="str">
            <v>Y</v>
          </cell>
        </row>
        <row r="129">
          <cell r="B129" t="str">
            <v>CT-SY</v>
          </cell>
          <cell r="C129" t="e">
            <v>#N/A</v>
          </cell>
        </row>
        <row r="130">
          <cell r="B130" t="str">
            <v>TU-KVD-ST</v>
          </cell>
          <cell r="C130" t="str">
            <v>DI</v>
          </cell>
        </row>
        <row r="131">
          <cell r="B131" t="str">
            <v>ST-GSE-LA</v>
          </cell>
          <cell r="C131" t="e">
            <v>#N/A</v>
          </cell>
        </row>
        <row r="132">
          <cell r="B132" t="str">
            <v>ST-GSE-LA</v>
          </cell>
          <cell r="C132" t="e">
            <v>#N/A</v>
          </cell>
        </row>
        <row r="133">
          <cell r="B133" t="str">
            <v>GH-IS</v>
          </cell>
          <cell r="C133" t="e">
            <v>#N/A</v>
          </cell>
        </row>
        <row r="134">
          <cell r="B134" t="e">
            <v>#N/A</v>
          </cell>
          <cell r="C134" t="e">
            <v>#N/A</v>
          </cell>
        </row>
        <row r="135">
          <cell r="B135" t="str">
            <v>RT-AT</v>
          </cell>
          <cell r="C135" t="str">
            <v>Y</v>
          </cell>
        </row>
        <row r="136">
          <cell r="B136" t="str">
            <v>CT-SY</v>
          </cell>
          <cell r="C136" t="e">
            <v>#N/A</v>
          </cell>
        </row>
        <row r="137">
          <cell r="B137" t="str">
            <v>CT-MT-RO</v>
          </cell>
          <cell r="C137" t="str">
            <v>Y</v>
          </cell>
        </row>
        <row r="138">
          <cell r="B138" t="str">
            <v>CT-GSE-RT2</v>
          </cell>
          <cell r="C138" t="str">
            <v>DI</v>
          </cell>
        </row>
        <row r="139">
          <cell r="B139" t="e">
            <v>#N/A</v>
          </cell>
          <cell r="C139" t="e">
            <v>#N/A</v>
          </cell>
        </row>
        <row r="140">
          <cell r="B140" t="str">
            <v>KH-SW-WB</v>
          </cell>
          <cell r="C140" t="str">
            <v>Y</v>
          </cell>
        </row>
        <row r="141">
          <cell r="B141" t="str">
            <v>S-ETN</v>
          </cell>
          <cell r="C141" t="str">
            <v>Y</v>
          </cell>
        </row>
        <row r="142">
          <cell r="B142" t="str">
            <v>S-ATL</v>
          </cell>
          <cell r="C142" t="str">
            <v>Y</v>
          </cell>
        </row>
        <row r="143">
          <cell r="B143" t="str">
            <v>ST-GSE-WMN</v>
          </cell>
          <cell r="C143" t="e">
            <v>#N/A</v>
          </cell>
        </row>
        <row r="144">
          <cell r="B144" t="str">
            <v>RH-OT</v>
          </cell>
          <cell r="C144" t="e">
            <v>#N/A</v>
          </cell>
        </row>
        <row r="145">
          <cell r="B145" t="str">
            <v>CT-GSE-SQ</v>
          </cell>
          <cell r="C145" t="str">
            <v>DI</v>
          </cell>
        </row>
        <row r="146">
          <cell r="B146" t="str">
            <v>CT-GSE-SQ</v>
          </cell>
          <cell r="C146" t="str">
            <v>DI</v>
          </cell>
        </row>
        <row r="147">
          <cell r="B147" t="str">
            <v>S-AI</v>
          </cell>
          <cell r="C147" t="str">
            <v>Y</v>
          </cell>
        </row>
        <row r="148">
          <cell r="B148">
            <v>0</v>
          </cell>
          <cell r="C148" t="str">
            <v>DI</v>
          </cell>
        </row>
        <row r="149">
          <cell r="B149" t="e">
            <v>#N/A</v>
          </cell>
          <cell r="C149" t="e">
            <v>#N/A</v>
          </cell>
        </row>
        <row r="150">
          <cell r="B150" t="e">
            <v>#N/A</v>
          </cell>
          <cell r="C150" t="e">
            <v>#N/A</v>
          </cell>
        </row>
        <row r="151">
          <cell r="B151" t="str">
            <v>TU-RWT-M</v>
          </cell>
          <cell r="C151" t="e">
            <v>#N/A</v>
          </cell>
        </row>
        <row r="152">
          <cell r="B152" t="str">
            <v>TU-PMS-LA</v>
          </cell>
          <cell r="C152" t="str">
            <v>Y</v>
          </cell>
        </row>
        <row r="153">
          <cell r="B153" t="str">
            <v>TU-MLE</v>
          </cell>
          <cell r="C153" t="str">
            <v>Y</v>
          </cell>
        </row>
        <row r="154">
          <cell r="B154" t="str">
            <v>TU-KVD-LA</v>
          </cell>
          <cell r="C154" t="str">
            <v>Y</v>
          </cell>
        </row>
        <row r="155">
          <cell r="B155" t="str">
            <v>TU-KU-LA</v>
          </cell>
          <cell r="C155" t="str">
            <v>Y</v>
          </cell>
        </row>
        <row r="156">
          <cell r="B156" t="str">
            <v>TU-HMD</v>
          </cell>
          <cell r="C156" t="e">
            <v>#N/A</v>
          </cell>
        </row>
        <row r="157">
          <cell r="B157" t="str">
            <v>TU-ARO-LA</v>
          </cell>
          <cell r="C157" t="e">
            <v>#N/A</v>
          </cell>
        </row>
        <row r="158">
          <cell r="B158" t="str">
            <v>ST-HES</v>
          </cell>
          <cell r="C158" t="e">
            <v>#N/A</v>
          </cell>
        </row>
        <row r="159">
          <cell r="B159" t="str">
            <v>ST-HES</v>
          </cell>
          <cell r="C159" t="str">
            <v>DI</v>
          </cell>
        </row>
        <row r="160">
          <cell r="B160" t="str">
            <v>ST-HE</v>
          </cell>
          <cell r="C160" t="str">
            <v>Y</v>
          </cell>
        </row>
        <row r="161">
          <cell r="B161" t="str">
            <v>ST-HE</v>
          </cell>
          <cell r="C161" t="e">
            <v>#N/A</v>
          </cell>
        </row>
        <row r="162">
          <cell r="B162" t="e">
            <v>#N/A</v>
          </cell>
          <cell r="C162" t="e">
            <v>#N/A</v>
          </cell>
        </row>
        <row r="163">
          <cell r="B163" t="str">
            <v>S-SB-S3</v>
          </cell>
          <cell r="C163" t="e">
            <v>#N/A</v>
          </cell>
        </row>
        <row r="164">
          <cell r="B164" t="str">
            <v>S-MO-5</v>
          </cell>
          <cell r="C164" t="e">
            <v>#N/A</v>
          </cell>
        </row>
        <row r="165">
          <cell r="B165" t="e">
            <v>#N/A</v>
          </cell>
          <cell r="C165" t="e">
            <v>#N/A</v>
          </cell>
        </row>
        <row r="166">
          <cell r="B166" t="str">
            <v>SL-VE-P</v>
          </cell>
          <cell r="C166" t="str">
            <v>DI</v>
          </cell>
        </row>
        <row r="167">
          <cell r="B167" t="str">
            <v>S-LO</v>
          </cell>
          <cell r="C167" t="str">
            <v>Y</v>
          </cell>
        </row>
        <row r="168">
          <cell r="B168" t="str">
            <v>S-LO</v>
          </cell>
          <cell r="C168" t="str">
            <v>YB</v>
          </cell>
        </row>
        <row r="169">
          <cell r="B169" t="str">
            <v>S-GRB</v>
          </cell>
          <cell r="C169" t="str">
            <v>Y</v>
          </cell>
        </row>
        <row r="170">
          <cell r="B170" t="str">
            <v>SB-WLB</v>
          </cell>
          <cell r="C170" t="e">
            <v>#N/A</v>
          </cell>
        </row>
        <row r="171">
          <cell r="B171" t="str">
            <v>SB-WA</v>
          </cell>
          <cell r="C171" t="str">
            <v>YB</v>
          </cell>
        </row>
        <row r="172">
          <cell r="B172" t="e">
            <v>#N/A</v>
          </cell>
          <cell r="C172" t="e">
            <v>#N/A</v>
          </cell>
        </row>
        <row r="173">
          <cell r="B173" t="str">
            <v>SB-PH</v>
          </cell>
          <cell r="C173" t="str">
            <v>Y</v>
          </cell>
        </row>
        <row r="174">
          <cell r="B174" t="e">
            <v>#N/A</v>
          </cell>
          <cell r="C174" t="e">
            <v>#N/A</v>
          </cell>
        </row>
        <row r="175">
          <cell r="B175" t="str">
            <v>SB-AXA-51</v>
          </cell>
          <cell r="C175" t="e">
            <v>#N/A</v>
          </cell>
        </row>
        <row r="176">
          <cell r="B176" t="str">
            <v>S-ATL</v>
          </cell>
          <cell r="C176" t="e">
            <v>#N/A</v>
          </cell>
        </row>
        <row r="177">
          <cell r="B177" t="str">
            <v>S-AO</v>
          </cell>
          <cell r="C177" t="str">
            <v>Y</v>
          </cell>
        </row>
        <row r="178">
          <cell r="B178" t="str">
            <v>S-AE</v>
          </cell>
          <cell r="C178" t="str">
            <v>Y</v>
          </cell>
        </row>
        <row r="179">
          <cell r="B179" t="str">
            <v>S-AB</v>
          </cell>
          <cell r="C179" t="str">
            <v>Y</v>
          </cell>
        </row>
        <row r="180">
          <cell r="B180" t="str">
            <v>RT-RI</v>
          </cell>
          <cell r="C180" t="str">
            <v>YH</v>
          </cell>
        </row>
        <row r="181">
          <cell r="B181" t="str">
            <v>KH-AM</v>
          </cell>
          <cell r="C181" t="e">
            <v>#N/A</v>
          </cell>
        </row>
        <row r="182">
          <cell r="B182" t="str">
            <v>CT-VC</v>
          </cell>
          <cell r="C182" t="str">
            <v>Y</v>
          </cell>
        </row>
        <row r="183">
          <cell r="B183" t="e">
            <v>#N/A</v>
          </cell>
          <cell r="C183" t="e">
            <v>#N/A</v>
          </cell>
        </row>
        <row r="184">
          <cell r="B184" t="e">
            <v>#N/A</v>
          </cell>
          <cell r="C184" t="e">
            <v>#N/A</v>
          </cell>
        </row>
        <row r="185">
          <cell r="B185" t="e">
            <v>#N/A</v>
          </cell>
          <cell r="C185" t="e">
            <v>#N/A</v>
          </cell>
        </row>
        <row r="186">
          <cell r="B186" t="str">
            <v>CT-NO-SQ</v>
          </cell>
          <cell r="C186" t="e">
            <v>#N/A</v>
          </cell>
        </row>
        <row r="187">
          <cell r="B187" t="e">
            <v>#N/A</v>
          </cell>
          <cell r="C187" t="e">
            <v>#N/A</v>
          </cell>
        </row>
        <row r="188">
          <cell r="B188" t="str">
            <v>CT-MT-SQ</v>
          </cell>
          <cell r="C188" t="e">
            <v>#N/A</v>
          </cell>
        </row>
        <row r="189">
          <cell r="B189" t="str">
            <v>CT-MT-RT</v>
          </cell>
          <cell r="C189" t="str">
            <v>Y</v>
          </cell>
        </row>
        <row r="190">
          <cell r="B190" t="e">
            <v>#N/A</v>
          </cell>
          <cell r="C190" t="e">
            <v>#N/A</v>
          </cell>
        </row>
        <row r="191">
          <cell r="B191" t="str">
            <v>CT-LE</v>
          </cell>
          <cell r="C191" t="e">
            <v>#N/A</v>
          </cell>
        </row>
        <row r="192">
          <cell r="B192" t="str">
            <v>CT-GSE-SQ2</v>
          </cell>
          <cell r="C192" t="str">
            <v>DI</v>
          </cell>
        </row>
        <row r="193">
          <cell r="B193" t="str">
            <v>CT-GSE-SQ2</v>
          </cell>
          <cell r="C193" t="str">
            <v>DI</v>
          </cell>
        </row>
        <row r="194">
          <cell r="B194" t="str">
            <v>CT-GSE-RT</v>
          </cell>
          <cell r="C194" t="e">
            <v>#N/A</v>
          </cell>
        </row>
        <row r="195">
          <cell r="B195" t="e">
            <v>#N/A</v>
          </cell>
          <cell r="C195" t="e">
            <v>#N/A</v>
          </cell>
        </row>
        <row r="196">
          <cell r="B196" t="str">
            <v>B-POL-KN</v>
          </cell>
          <cell r="C196" t="e">
            <v>#N/A</v>
          </cell>
        </row>
        <row r="197">
          <cell r="B197" t="str">
            <v>W-AND-2N</v>
          </cell>
          <cell r="C197" t="e">
            <v>#N/A</v>
          </cell>
        </row>
        <row r="198">
          <cell r="B198" t="str">
            <v>W-AND-2M</v>
          </cell>
          <cell r="C198" t="e">
            <v>#N/A</v>
          </cell>
        </row>
        <row r="199">
          <cell r="B199" t="e">
            <v>#N/A</v>
          </cell>
          <cell r="C199" t="e">
            <v>#N/A</v>
          </cell>
        </row>
        <row r="200">
          <cell r="B200" t="str">
            <v>B-POL-SN</v>
          </cell>
          <cell r="C200" t="e">
            <v>#N/A</v>
          </cell>
        </row>
        <row r="201">
          <cell r="B201" t="str">
            <v>W-AND-11N</v>
          </cell>
          <cell r="C201" t="e">
            <v>#N/A</v>
          </cell>
        </row>
        <row r="202">
          <cell r="B202" t="e">
            <v>#N/A</v>
          </cell>
          <cell r="C202" t="e">
            <v>#N/A</v>
          </cell>
        </row>
        <row r="203">
          <cell r="B203" t="str">
            <v>TU-PMP-L</v>
          </cell>
          <cell r="C203" t="e">
            <v>#N/A</v>
          </cell>
        </row>
        <row r="204">
          <cell r="B204" t="str">
            <v>RT-ALY</v>
          </cell>
          <cell r="C204" t="e">
            <v>#N/A</v>
          </cell>
        </row>
        <row r="205">
          <cell r="B205" t="str">
            <v>FT-EDR</v>
          </cell>
          <cell r="C205" t="e">
            <v>#N/A</v>
          </cell>
        </row>
        <row r="206">
          <cell r="B206" t="str">
            <v>S-ERA</v>
          </cell>
          <cell r="C206" t="e">
            <v>#N/A</v>
          </cell>
        </row>
        <row r="207">
          <cell r="B207" t="e">
            <v>#N/A</v>
          </cell>
          <cell r="C207" t="e">
            <v>#N/A</v>
          </cell>
        </row>
        <row r="208">
          <cell r="B208" t="e">
            <v>#N/A</v>
          </cell>
          <cell r="C208" t="e">
            <v>#N/A</v>
          </cell>
        </row>
        <row r="209">
          <cell r="B209" t="e">
            <v>#N/A</v>
          </cell>
          <cell r="C209" t="e">
            <v>#N/A</v>
          </cell>
        </row>
        <row r="210">
          <cell r="B210">
            <v>0</v>
          </cell>
          <cell r="C210" t="e">
            <v>#N/A</v>
          </cell>
        </row>
        <row r="211">
          <cell r="B211" t="e">
            <v>#N/A</v>
          </cell>
          <cell r="C211" t="e">
            <v>#N/A</v>
          </cell>
        </row>
        <row r="212">
          <cell r="B212" t="e">
            <v>#N/A</v>
          </cell>
          <cell r="C212" t="e">
            <v>#N/A</v>
          </cell>
        </row>
        <row r="213">
          <cell r="B213" t="e">
            <v>#N/A</v>
          </cell>
          <cell r="C213" t="e">
            <v>#N/A</v>
          </cell>
        </row>
        <row r="214">
          <cell r="B214" t="e">
            <v>#N/A</v>
          </cell>
          <cell r="C214" t="e">
            <v>#N/A</v>
          </cell>
        </row>
        <row r="215">
          <cell r="B215" t="e">
            <v>#N/A</v>
          </cell>
          <cell r="C215" t="e">
            <v>#N/A</v>
          </cell>
        </row>
        <row r="216">
          <cell r="B216" t="e">
            <v>#N/A</v>
          </cell>
          <cell r="C216" t="e">
            <v>#N/A</v>
          </cell>
        </row>
        <row r="217">
          <cell r="B217" t="e">
            <v>#N/A</v>
          </cell>
          <cell r="C217" t="e">
            <v>#N/A</v>
          </cell>
        </row>
        <row r="218">
          <cell r="B218" t="e">
            <v>#N/A</v>
          </cell>
          <cell r="C218" t="e">
            <v>#N/A</v>
          </cell>
        </row>
        <row r="219">
          <cell r="B219" t="e">
            <v>#N/A</v>
          </cell>
          <cell r="C219" t="e">
            <v>#N/A</v>
          </cell>
        </row>
        <row r="220">
          <cell r="B220" t="e">
            <v>#N/A</v>
          </cell>
          <cell r="C220" t="e">
            <v>#N/A</v>
          </cell>
        </row>
        <row r="221">
          <cell r="B221" t="e">
            <v>#N/A</v>
          </cell>
          <cell r="C221" t="e">
            <v>#N/A</v>
          </cell>
        </row>
        <row r="222">
          <cell r="B222" t="e">
            <v>#N/A</v>
          </cell>
          <cell r="C222" t="e">
            <v>#N/A</v>
          </cell>
        </row>
        <row r="223">
          <cell r="B223" t="e">
            <v>#N/A</v>
          </cell>
          <cell r="C223" t="e">
            <v>#N/A</v>
          </cell>
        </row>
        <row r="224">
          <cell r="B224" t="e">
            <v>#N/A</v>
          </cell>
          <cell r="C224" t="e">
            <v>#N/A</v>
          </cell>
        </row>
        <row r="225">
          <cell r="B225" t="e">
            <v>#N/A</v>
          </cell>
          <cell r="C225" t="e">
            <v>#N/A</v>
          </cell>
        </row>
        <row r="226">
          <cell r="B226" t="e">
            <v>#N/A</v>
          </cell>
          <cell r="C226" t="e">
            <v>#N/A</v>
          </cell>
        </row>
        <row r="227">
          <cell r="B227" t="e">
            <v>#N/A</v>
          </cell>
          <cell r="C227" t="e">
            <v>#N/A</v>
          </cell>
        </row>
        <row r="228">
          <cell r="B228" t="e">
            <v>#N/A</v>
          </cell>
          <cell r="C228" t="e">
            <v>#N/A</v>
          </cell>
        </row>
        <row r="229">
          <cell r="B229" t="e">
            <v>#N/A</v>
          </cell>
          <cell r="C229" t="e">
            <v>#N/A</v>
          </cell>
        </row>
        <row r="230">
          <cell r="B230" t="e">
            <v>#N/A</v>
          </cell>
          <cell r="C230" t="e">
            <v>#N/A</v>
          </cell>
        </row>
        <row r="231">
          <cell r="B231" t="e">
            <v>#N/A</v>
          </cell>
          <cell r="C231" t="e">
            <v>#N/A</v>
          </cell>
        </row>
        <row r="232">
          <cell r="B232" t="e">
            <v>#N/A</v>
          </cell>
          <cell r="C232" t="e">
            <v>#N/A</v>
          </cell>
        </row>
        <row r="233">
          <cell r="B233" t="e">
            <v>#N/A</v>
          </cell>
          <cell r="C233" t="e">
            <v>#N/A</v>
          </cell>
        </row>
        <row r="234">
          <cell r="B234" t="e">
            <v>#N/A</v>
          </cell>
          <cell r="C234" t="e">
            <v>#N/A</v>
          </cell>
        </row>
        <row r="235">
          <cell r="B235" t="e">
            <v>#N/A</v>
          </cell>
          <cell r="C235" t="e">
            <v>#N/A</v>
          </cell>
        </row>
        <row r="236">
          <cell r="B236" t="e">
            <v>#N/A</v>
          </cell>
          <cell r="C236" t="e">
            <v>#N/A</v>
          </cell>
        </row>
        <row r="237">
          <cell r="B237" t="e">
            <v>#N/A</v>
          </cell>
          <cell r="C237" t="e">
            <v>#N/A</v>
          </cell>
        </row>
        <row r="238">
          <cell r="B238" t="e">
            <v>#N/A</v>
          </cell>
          <cell r="C238" t="e">
            <v>#N/A</v>
          </cell>
        </row>
        <row r="239">
          <cell r="B239" t="str">
            <v>ST-MLM-N</v>
          </cell>
          <cell r="C239" t="str">
            <v>Y</v>
          </cell>
        </row>
        <row r="240">
          <cell r="B240" t="e">
            <v>#N/A</v>
          </cell>
          <cell r="C240" t="e">
            <v>#N/A</v>
          </cell>
        </row>
        <row r="241">
          <cell r="B241" t="e">
            <v>#N/A</v>
          </cell>
          <cell r="C241" t="e">
            <v>#N/A</v>
          </cell>
        </row>
        <row r="242">
          <cell r="B242" t="e">
            <v>#N/A</v>
          </cell>
          <cell r="C242" t="e">
            <v>#N/A</v>
          </cell>
        </row>
        <row r="243">
          <cell r="B243" t="e">
            <v>#N/A</v>
          </cell>
          <cell r="C243" t="e">
            <v>#N/A</v>
          </cell>
        </row>
        <row r="244">
          <cell r="B244" t="e">
            <v>#N/A</v>
          </cell>
          <cell r="C244" t="e">
            <v>#N/A</v>
          </cell>
        </row>
        <row r="245">
          <cell r="B245" t="e">
            <v>#N/A</v>
          </cell>
          <cell r="C245" t="e">
            <v>#N/A</v>
          </cell>
        </row>
        <row r="246">
          <cell r="B246" t="e">
            <v>#N/A</v>
          </cell>
          <cell r="C246" t="e">
            <v>#N/A</v>
          </cell>
        </row>
        <row r="247">
          <cell r="B247" t="e">
            <v>#N/A</v>
          </cell>
          <cell r="C247" t="e">
            <v>#N/A</v>
          </cell>
        </row>
        <row r="248">
          <cell r="B248" t="e">
            <v>#N/A</v>
          </cell>
          <cell r="C248" t="e">
            <v>#N/A</v>
          </cell>
        </row>
        <row r="249">
          <cell r="B249" t="e">
            <v>#N/A</v>
          </cell>
          <cell r="C249" t="e">
            <v>#N/A</v>
          </cell>
        </row>
        <row r="250">
          <cell r="B250" t="e">
            <v>#N/A</v>
          </cell>
          <cell r="C250" t="e">
            <v>#N/A</v>
          </cell>
        </row>
        <row r="251">
          <cell r="B251" t="str">
            <v>SR-WHTO</v>
          </cell>
          <cell r="C251" t="e">
            <v>#N/A</v>
          </cell>
        </row>
        <row r="252">
          <cell r="B252" t="e">
            <v>#N/A</v>
          </cell>
          <cell r="C252" t="e">
            <v>#N/A</v>
          </cell>
        </row>
        <row r="253">
          <cell r="B253" t="e">
            <v>#N/A</v>
          </cell>
          <cell r="C253" t="e">
            <v>#N/A</v>
          </cell>
        </row>
        <row r="254">
          <cell r="B254" t="e">
            <v>#N/A</v>
          </cell>
          <cell r="C254" t="e">
            <v>#N/A</v>
          </cell>
        </row>
        <row r="255">
          <cell r="B255" t="e">
            <v>#N/A</v>
          </cell>
          <cell r="C255" t="e">
            <v>#N/A</v>
          </cell>
        </row>
        <row r="256">
          <cell r="B256" t="e">
            <v>#N/A</v>
          </cell>
          <cell r="C256" t="e">
            <v>#N/A</v>
          </cell>
        </row>
        <row r="257">
          <cell r="B257" t="str">
            <v>SR-KPN</v>
          </cell>
          <cell r="C257" t="str">
            <v>Y</v>
          </cell>
        </row>
        <row r="258">
          <cell r="B258" t="e">
            <v>#N/A</v>
          </cell>
          <cell r="C258" t="e">
            <v>#N/A</v>
          </cell>
        </row>
        <row r="259">
          <cell r="B259" t="e">
            <v>#N/A</v>
          </cell>
          <cell r="C259" t="e">
            <v>#N/A</v>
          </cell>
        </row>
        <row r="260">
          <cell r="B260" t="e">
            <v>#N/A</v>
          </cell>
          <cell r="C260" t="e">
            <v>#N/A</v>
          </cell>
        </row>
        <row r="261">
          <cell r="B261" t="e">
            <v>#N/A</v>
          </cell>
          <cell r="C261" t="e">
            <v>#N/A</v>
          </cell>
        </row>
        <row r="262">
          <cell r="B262" t="e">
            <v>#N/A</v>
          </cell>
          <cell r="C262" t="e">
            <v>#N/A</v>
          </cell>
        </row>
        <row r="263">
          <cell r="B263" t="e">
            <v>#N/A</v>
          </cell>
          <cell r="C263" t="e">
            <v>#N/A</v>
          </cell>
        </row>
        <row r="264">
          <cell r="B264" t="e">
            <v>#N/A</v>
          </cell>
          <cell r="C264" t="e">
            <v>#N/A</v>
          </cell>
        </row>
        <row r="265">
          <cell r="B265" t="e">
            <v>#N/A</v>
          </cell>
          <cell r="C265" t="e">
            <v>#N/A</v>
          </cell>
        </row>
        <row r="266">
          <cell r="B266" t="e">
            <v>#N/A</v>
          </cell>
          <cell r="C266" t="e">
            <v>#N/A</v>
          </cell>
        </row>
        <row r="267">
          <cell r="B267" t="e">
            <v>#N/A</v>
          </cell>
          <cell r="C267" t="e">
            <v>#N/A</v>
          </cell>
        </row>
        <row r="268">
          <cell r="B268" t="e">
            <v>#N/A</v>
          </cell>
          <cell r="C268" t="e">
            <v>#N/A</v>
          </cell>
        </row>
        <row r="269">
          <cell r="B269" t="e">
            <v>#N/A</v>
          </cell>
          <cell r="C269" t="e">
            <v>#N/A</v>
          </cell>
        </row>
        <row r="270">
          <cell r="B270" t="e">
            <v>#N/A</v>
          </cell>
          <cell r="C270" t="e">
            <v>#N/A</v>
          </cell>
        </row>
        <row r="271">
          <cell r="B271" t="e">
            <v>#N/A</v>
          </cell>
          <cell r="C271" t="e">
            <v>#N/A</v>
          </cell>
        </row>
        <row r="272">
          <cell r="B272" t="e">
            <v>#N/A</v>
          </cell>
          <cell r="C272" t="e">
            <v>#N/A</v>
          </cell>
        </row>
        <row r="273">
          <cell r="B273" t="e">
            <v>#N/A</v>
          </cell>
          <cell r="C273" t="e">
            <v>#N/A</v>
          </cell>
        </row>
        <row r="274">
          <cell r="B274" t="e">
            <v>#N/A</v>
          </cell>
          <cell r="C274" t="e">
            <v>#N/A</v>
          </cell>
        </row>
        <row r="275">
          <cell r="B275" t="e">
            <v>#N/A</v>
          </cell>
          <cell r="C275" t="e">
            <v>#N/A</v>
          </cell>
        </row>
        <row r="276">
          <cell r="B276" t="e">
            <v>#N/A</v>
          </cell>
          <cell r="C276" t="e">
            <v>#N/A</v>
          </cell>
        </row>
        <row r="277">
          <cell r="B277" t="e">
            <v>#N/A</v>
          </cell>
          <cell r="C277" t="e">
            <v>#N/A</v>
          </cell>
        </row>
        <row r="278">
          <cell r="B278" t="e">
            <v>#N/A</v>
          </cell>
          <cell r="C278" t="e">
            <v>#N/A</v>
          </cell>
        </row>
        <row r="279">
          <cell r="B279" t="e">
            <v>#N/A</v>
          </cell>
          <cell r="C279" t="e">
            <v>#N/A</v>
          </cell>
        </row>
        <row r="280">
          <cell r="B280" t="e">
            <v>#N/A</v>
          </cell>
          <cell r="C280" t="e">
            <v>#N/A</v>
          </cell>
        </row>
        <row r="281">
          <cell r="B281" t="e">
            <v>#N/A</v>
          </cell>
          <cell r="C281" t="e">
            <v>#N/A</v>
          </cell>
        </row>
        <row r="282">
          <cell r="B282" t="e">
            <v>#N/A</v>
          </cell>
          <cell r="C282" t="e">
            <v>#N/A</v>
          </cell>
        </row>
        <row r="283">
          <cell r="B283" t="e">
            <v>#N/A</v>
          </cell>
          <cell r="C283" t="e">
            <v>#N/A</v>
          </cell>
        </row>
        <row r="284">
          <cell r="B284" t="e">
            <v>#N/A</v>
          </cell>
          <cell r="C284" t="e">
            <v>#N/A</v>
          </cell>
        </row>
        <row r="285">
          <cell r="B285" t="e">
            <v>#N/A</v>
          </cell>
          <cell r="C285" t="e">
            <v>#N/A</v>
          </cell>
        </row>
        <row r="286">
          <cell r="B286" t="e">
            <v>#N/A</v>
          </cell>
          <cell r="C286" t="e">
            <v>#N/A</v>
          </cell>
        </row>
        <row r="287">
          <cell r="B287" t="e">
            <v>#N/A</v>
          </cell>
          <cell r="C287" t="e">
            <v>#N/A</v>
          </cell>
        </row>
        <row r="288">
          <cell r="B288" t="e">
            <v>#N/A</v>
          </cell>
          <cell r="C288" t="e">
            <v>#N/A</v>
          </cell>
        </row>
        <row r="289">
          <cell r="B289" t="e">
            <v>#N/A</v>
          </cell>
          <cell r="C289" t="e">
            <v>#N/A</v>
          </cell>
        </row>
        <row r="290">
          <cell r="B290" t="e">
            <v>#N/A</v>
          </cell>
          <cell r="C290" t="e">
            <v>#N/A</v>
          </cell>
        </row>
        <row r="291">
          <cell r="B291" t="e">
            <v>#N/A</v>
          </cell>
          <cell r="C291" t="e">
            <v>#N/A</v>
          </cell>
        </row>
        <row r="292">
          <cell r="B292" t="e">
            <v>#N/A</v>
          </cell>
          <cell r="C292" t="e">
            <v>#N/A</v>
          </cell>
        </row>
        <row r="293">
          <cell r="B293" t="e">
            <v>#N/A</v>
          </cell>
          <cell r="C293" t="e">
            <v>#N/A</v>
          </cell>
        </row>
        <row r="294">
          <cell r="B294" t="e">
            <v>#N/A</v>
          </cell>
          <cell r="C294" t="e">
            <v>#N/A</v>
          </cell>
        </row>
        <row r="295">
          <cell r="B295" t="e">
            <v>#N/A</v>
          </cell>
          <cell r="C295" t="e">
            <v>#N/A</v>
          </cell>
        </row>
        <row r="296">
          <cell r="B296" t="e">
            <v>#N/A</v>
          </cell>
          <cell r="C296" t="e">
            <v>#N/A</v>
          </cell>
        </row>
        <row r="297">
          <cell r="B297" t="e">
            <v>#N/A</v>
          </cell>
          <cell r="C297" t="e">
            <v>#N/A</v>
          </cell>
        </row>
        <row r="298">
          <cell r="B298" t="e">
            <v>#N/A</v>
          </cell>
          <cell r="C298" t="e">
            <v>#N/A</v>
          </cell>
        </row>
        <row r="299">
          <cell r="B299" t="e">
            <v>#N/A</v>
          </cell>
          <cell r="C299" t="e">
            <v>#N/A</v>
          </cell>
        </row>
        <row r="300">
          <cell r="B300" t="e">
            <v>#N/A</v>
          </cell>
          <cell r="C300" t="e">
            <v>#N/A</v>
          </cell>
        </row>
        <row r="301">
          <cell r="B301" t="e">
            <v>#N/A</v>
          </cell>
          <cell r="C301" t="e">
            <v>#N/A</v>
          </cell>
        </row>
        <row r="302">
          <cell r="B302" t="e">
            <v>#N/A</v>
          </cell>
          <cell r="C302" t="e">
            <v>#N/A</v>
          </cell>
        </row>
        <row r="303">
          <cell r="B303" t="e">
            <v>#N/A</v>
          </cell>
          <cell r="C303" t="e">
            <v>#N/A</v>
          </cell>
        </row>
        <row r="304">
          <cell r="B304" t="e">
            <v>#N/A</v>
          </cell>
          <cell r="C304" t="e">
            <v>#N/A</v>
          </cell>
        </row>
        <row r="305">
          <cell r="B305" t="e">
            <v>#N/A</v>
          </cell>
          <cell r="C305" t="e">
            <v>#N/A</v>
          </cell>
        </row>
        <row r="306">
          <cell r="B306" t="e">
            <v>#N/A</v>
          </cell>
          <cell r="C306" t="e">
            <v>#N/A</v>
          </cell>
        </row>
        <row r="307">
          <cell r="B307" t="e">
            <v>#N/A</v>
          </cell>
          <cell r="C307" t="e">
            <v>#N/A</v>
          </cell>
        </row>
        <row r="308">
          <cell r="B308" t="e">
            <v>#N/A</v>
          </cell>
          <cell r="C308" t="e">
            <v>#N/A</v>
          </cell>
        </row>
        <row r="309">
          <cell r="B309" t="e">
            <v>#N/A</v>
          </cell>
          <cell r="C309" t="e">
            <v>#N/A</v>
          </cell>
        </row>
        <row r="310">
          <cell r="B310" t="e">
            <v>#N/A</v>
          </cell>
          <cell r="C310" t="e">
            <v>#N/A</v>
          </cell>
        </row>
        <row r="311">
          <cell r="B311" t="e">
            <v>#N/A</v>
          </cell>
          <cell r="C311" t="e">
            <v>#N/A</v>
          </cell>
        </row>
        <row r="312">
          <cell r="B312" t="e">
            <v>#N/A</v>
          </cell>
          <cell r="C312" t="e">
            <v>#N/A</v>
          </cell>
        </row>
        <row r="313">
          <cell r="B313" t="e">
            <v>#N/A</v>
          </cell>
          <cell r="C313" t="e">
            <v>#N/A</v>
          </cell>
        </row>
        <row r="314">
          <cell r="B314" t="e">
            <v>#N/A</v>
          </cell>
          <cell r="C314" t="e">
            <v>#N/A</v>
          </cell>
        </row>
        <row r="315">
          <cell r="B315" t="e">
            <v>#N/A</v>
          </cell>
          <cell r="C315" t="e">
            <v>#N/A</v>
          </cell>
        </row>
        <row r="316">
          <cell r="B316" t="e">
            <v>#N/A</v>
          </cell>
          <cell r="C316" t="e">
            <v>#N/A</v>
          </cell>
        </row>
        <row r="317">
          <cell r="B317" t="e">
            <v>#N/A</v>
          </cell>
          <cell r="C317" t="e">
            <v>#N/A</v>
          </cell>
        </row>
        <row r="318">
          <cell r="B318" t="e">
            <v>#N/A</v>
          </cell>
          <cell r="C318" t="e">
            <v>#N/A</v>
          </cell>
        </row>
        <row r="319">
          <cell r="B319" t="e">
            <v>#N/A</v>
          </cell>
          <cell r="C319" t="e">
            <v>#N/A</v>
          </cell>
        </row>
        <row r="320">
          <cell r="B320" t="e">
            <v>#N/A</v>
          </cell>
          <cell r="C320" t="e">
            <v>#N/A</v>
          </cell>
        </row>
        <row r="321">
          <cell r="B321" t="e">
            <v>#N/A</v>
          </cell>
          <cell r="C321" t="e">
            <v>#N/A</v>
          </cell>
        </row>
        <row r="322">
          <cell r="B322" t="e">
            <v>#N/A</v>
          </cell>
          <cell r="C322" t="e">
            <v>#N/A</v>
          </cell>
        </row>
        <row r="323">
          <cell r="B323" t="e">
            <v>#N/A</v>
          </cell>
          <cell r="C323" t="e">
            <v>#N/A</v>
          </cell>
        </row>
        <row r="324">
          <cell r="B324" t="e">
            <v>#N/A</v>
          </cell>
          <cell r="C324" t="e">
            <v>#N/A</v>
          </cell>
        </row>
        <row r="325">
          <cell r="B325" t="e">
            <v>#N/A</v>
          </cell>
          <cell r="C325" t="e">
            <v>#N/A</v>
          </cell>
        </row>
        <row r="326">
          <cell r="B326" t="e">
            <v>#N/A</v>
          </cell>
          <cell r="C326" t="e">
            <v>#N/A</v>
          </cell>
        </row>
        <row r="327">
          <cell r="B327" t="e">
            <v>#N/A</v>
          </cell>
          <cell r="C327" t="e">
            <v>#N/A</v>
          </cell>
        </row>
        <row r="328">
          <cell r="B328" t="e">
            <v>#N/A</v>
          </cell>
          <cell r="C328" t="e">
            <v>#N/A</v>
          </cell>
        </row>
        <row r="329">
          <cell r="B329" t="e">
            <v>#N/A</v>
          </cell>
          <cell r="C329" t="e">
            <v>#N/A</v>
          </cell>
        </row>
        <row r="330">
          <cell r="B330" t="e">
            <v>#N/A</v>
          </cell>
          <cell r="C330" t="e">
            <v>#N/A</v>
          </cell>
        </row>
        <row r="331">
          <cell r="B331" t="e">
            <v>#N/A</v>
          </cell>
          <cell r="C331" t="e">
            <v>#N/A</v>
          </cell>
        </row>
        <row r="332">
          <cell r="B332" t="e">
            <v>#N/A</v>
          </cell>
          <cell r="C332" t="e">
            <v>#N/A</v>
          </cell>
        </row>
        <row r="333">
          <cell r="B333" t="e">
            <v>#N/A</v>
          </cell>
          <cell r="C333" t="e">
            <v>#N/A</v>
          </cell>
        </row>
        <row r="334">
          <cell r="B334" t="e">
            <v>#N/A</v>
          </cell>
          <cell r="C334" t="e">
            <v>#N/A</v>
          </cell>
        </row>
        <row r="335">
          <cell r="B335" t="e">
            <v>#N/A</v>
          </cell>
          <cell r="C335" t="e">
            <v>#N/A</v>
          </cell>
        </row>
        <row r="336">
          <cell r="B336" t="e">
            <v>#N/A</v>
          </cell>
          <cell r="C336" t="e">
            <v>#N/A</v>
          </cell>
        </row>
        <row r="337">
          <cell r="B337" t="e">
            <v>#N/A</v>
          </cell>
          <cell r="C337" t="e">
            <v>#N/A</v>
          </cell>
        </row>
        <row r="338">
          <cell r="B338" t="e">
            <v>#N/A</v>
          </cell>
          <cell r="C338" t="e">
            <v>#N/A</v>
          </cell>
        </row>
        <row r="339">
          <cell r="B339" t="e">
            <v>#N/A</v>
          </cell>
          <cell r="C339" t="e">
            <v>#N/A</v>
          </cell>
        </row>
        <row r="340">
          <cell r="B340" t="e">
            <v>#N/A</v>
          </cell>
          <cell r="C340" t="e">
            <v>#N/A</v>
          </cell>
        </row>
        <row r="341">
          <cell r="B341" t="e">
            <v>#N/A</v>
          </cell>
          <cell r="C341" t="e">
            <v>#N/A</v>
          </cell>
        </row>
        <row r="342">
          <cell r="B342" t="e">
            <v>#N/A</v>
          </cell>
          <cell r="C342" t="e">
            <v>#N/A</v>
          </cell>
        </row>
        <row r="343">
          <cell r="B343" t="e">
            <v>#N/A</v>
          </cell>
          <cell r="C343" t="e">
            <v>#N/A</v>
          </cell>
        </row>
        <row r="344">
          <cell r="B344" t="e">
            <v>#N/A</v>
          </cell>
          <cell r="C344" t="e">
            <v>#N/A</v>
          </cell>
        </row>
        <row r="345">
          <cell r="B345" t="e">
            <v>#N/A</v>
          </cell>
          <cell r="C345" t="e">
            <v>#N/A</v>
          </cell>
        </row>
        <row r="346">
          <cell r="B346" t="e">
            <v>#N/A</v>
          </cell>
          <cell r="C346" t="e">
            <v>#N/A</v>
          </cell>
        </row>
        <row r="347">
          <cell r="B347" t="str">
            <v>SR-CLE</v>
          </cell>
          <cell r="C347" t="str">
            <v>Y</v>
          </cell>
        </row>
        <row r="348">
          <cell r="B348" t="str">
            <v>SR-MVS</v>
          </cell>
          <cell r="C348" t="str">
            <v>Y</v>
          </cell>
        </row>
        <row r="349">
          <cell r="B349" t="str">
            <v>SR-PRG</v>
          </cell>
          <cell r="C349" t="str">
            <v>Y</v>
          </cell>
        </row>
        <row r="350">
          <cell r="B350" t="str">
            <v>ST-CBN-S</v>
          </cell>
          <cell r="C350" t="str">
            <v>RL</v>
          </cell>
        </row>
        <row r="351">
          <cell r="B351" t="str">
            <v>TU-AYL</v>
          </cell>
          <cell r="C351" t="str">
            <v>Y</v>
          </cell>
        </row>
        <row r="352">
          <cell r="B352" t="str">
            <v>CT-ETE</v>
          </cell>
          <cell r="C352" t="str">
            <v>Y</v>
          </cell>
        </row>
        <row r="353">
          <cell r="B353" t="str">
            <v>B-MLT-KT</v>
          </cell>
          <cell r="C353" t="str">
            <v>y</v>
          </cell>
        </row>
        <row r="354">
          <cell r="B354" t="str">
            <v>B-MLT-QT</v>
          </cell>
          <cell r="C354" t="str">
            <v>y</v>
          </cell>
        </row>
        <row r="355">
          <cell r="B355" t="str">
            <v>B-POL-SN</v>
          </cell>
          <cell r="C355" t="e">
            <v>#N/A</v>
          </cell>
        </row>
        <row r="356">
          <cell r="B356" t="str">
            <v>B-RVB-KN</v>
          </cell>
          <cell r="C356" t="str">
            <v>Y</v>
          </cell>
        </row>
        <row r="357">
          <cell r="B357" t="str">
            <v>B-RVB-QN</v>
          </cell>
          <cell r="C357" t="str">
            <v>Y</v>
          </cell>
        </row>
        <row r="358">
          <cell r="B358" t="str">
            <v>B-RVB-SN</v>
          </cell>
          <cell r="C358" t="str">
            <v>Y</v>
          </cell>
        </row>
        <row r="359">
          <cell r="B359" t="str">
            <v>CT-ATD</v>
          </cell>
          <cell r="C359" t="str">
            <v>Y</v>
          </cell>
        </row>
        <row r="360">
          <cell r="B360" t="str">
            <v>CT-DOV</v>
          </cell>
          <cell r="C360" t="e">
            <v>#N/A</v>
          </cell>
        </row>
        <row r="361">
          <cell r="B361" t="str">
            <v>CT-ETE</v>
          </cell>
          <cell r="C361" t="str">
            <v>Y</v>
          </cell>
        </row>
        <row r="362">
          <cell r="B362" t="str">
            <v>CT-NO-RT</v>
          </cell>
          <cell r="C362" t="str">
            <v>Y</v>
          </cell>
        </row>
        <row r="363">
          <cell r="B363" t="str">
            <v>DC-CLV</v>
          </cell>
          <cell r="C363" t="str">
            <v>y</v>
          </cell>
        </row>
        <row r="364">
          <cell r="B364" t="str">
            <v>DC-MYN-LA</v>
          </cell>
          <cell r="C364" t="str">
            <v>y</v>
          </cell>
        </row>
        <row r="365">
          <cell r="B365" t="str">
            <v>KH-LKN-6</v>
          </cell>
          <cell r="C365" t="str">
            <v>DI</v>
          </cell>
        </row>
        <row r="366">
          <cell r="B366" t="e">
            <v>#N/A</v>
          </cell>
          <cell r="C366" t="e">
            <v>#N/A</v>
          </cell>
        </row>
        <row r="367">
          <cell r="B367" t="e">
            <v>#N/A</v>
          </cell>
          <cell r="C367" t="e">
            <v>#N/A</v>
          </cell>
        </row>
        <row r="368">
          <cell r="B368" t="str">
            <v>RT-DR</v>
          </cell>
          <cell r="C368" t="str">
            <v>y</v>
          </cell>
        </row>
        <row r="369">
          <cell r="B369" t="e">
            <v>#N/A</v>
          </cell>
          <cell r="C369" t="e">
            <v>#N/A</v>
          </cell>
        </row>
        <row r="370">
          <cell r="B370" t="e">
            <v>#N/A</v>
          </cell>
          <cell r="C370" t="e">
            <v>#N/A</v>
          </cell>
        </row>
        <row r="371">
          <cell r="B371">
            <v>0</v>
          </cell>
          <cell r="C371" t="e">
            <v>#N/A</v>
          </cell>
        </row>
        <row r="372">
          <cell r="B372" t="str">
            <v>S-JVS</v>
          </cell>
          <cell r="C372" t="str">
            <v>Y</v>
          </cell>
        </row>
        <row r="373">
          <cell r="B373" t="str">
            <v>S-PTE</v>
          </cell>
          <cell r="C373" t="str">
            <v>y</v>
          </cell>
        </row>
        <row r="374">
          <cell r="B374" t="str">
            <v>SB-AXA-4</v>
          </cell>
          <cell r="C374" t="str">
            <v>Y</v>
          </cell>
        </row>
        <row r="375">
          <cell r="B375" t="str">
            <v>SB-AXA-51</v>
          </cell>
          <cell r="C375" t="str">
            <v>Y</v>
          </cell>
        </row>
        <row r="376">
          <cell r="B376" t="str">
            <v>SB-AXA-52</v>
          </cell>
          <cell r="C376" t="str">
            <v>y</v>
          </cell>
        </row>
        <row r="377">
          <cell r="B377" t="e">
            <v>#N/A</v>
          </cell>
          <cell r="C377" t="e">
            <v>#N/A</v>
          </cell>
        </row>
        <row r="378">
          <cell r="B378" t="str">
            <v>SB-CB</v>
          </cell>
          <cell r="C378" t="str">
            <v>Y</v>
          </cell>
        </row>
        <row r="379">
          <cell r="B379" t="e">
            <v>#N/A</v>
          </cell>
          <cell r="C379" t="e">
            <v>#N/A</v>
          </cell>
        </row>
        <row r="380">
          <cell r="B380" t="str">
            <v>SB-CS-LA</v>
          </cell>
          <cell r="C380" t="str">
            <v>Y</v>
          </cell>
        </row>
        <row r="381">
          <cell r="B381" t="str">
            <v>SB-LGN</v>
          </cell>
          <cell r="C381" t="str">
            <v>Y</v>
          </cell>
        </row>
        <row r="382">
          <cell r="B382" t="str">
            <v>SB-MXL-LA</v>
          </cell>
          <cell r="C382" t="str">
            <v>DI</v>
          </cell>
        </row>
        <row r="383">
          <cell r="B383" t="str">
            <v>SB-MXL-ST</v>
          </cell>
          <cell r="C383" t="e">
            <v>#N/A</v>
          </cell>
        </row>
        <row r="384">
          <cell r="B384" t="str">
            <v>SB-NBK</v>
          </cell>
          <cell r="C384" t="e">
            <v>#N/A</v>
          </cell>
        </row>
        <row r="385">
          <cell r="B385" t="e">
            <v>#N/A</v>
          </cell>
          <cell r="C385" t="e">
            <v>#N/A</v>
          </cell>
        </row>
        <row r="386">
          <cell r="B386" t="e">
            <v>#N/A</v>
          </cell>
          <cell r="C386" t="e">
            <v>#N/A</v>
          </cell>
        </row>
        <row r="387">
          <cell r="B387" t="str">
            <v>SB-SN-D</v>
          </cell>
          <cell r="C387" t="str">
            <v>Y</v>
          </cell>
        </row>
        <row r="388">
          <cell r="B388" t="str">
            <v>SB-SN-N</v>
          </cell>
          <cell r="C388" t="str">
            <v>Y</v>
          </cell>
        </row>
        <row r="389">
          <cell r="B389" t="str">
            <v>SB-WA</v>
          </cell>
          <cell r="C389" t="str">
            <v>Y</v>
          </cell>
        </row>
        <row r="390">
          <cell r="B390" t="str">
            <v>SB-WA</v>
          </cell>
          <cell r="C390" t="str">
            <v>Y</v>
          </cell>
        </row>
        <row r="391">
          <cell r="B391" t="str">
            <v>SR-BKN-2</v>
          </cell>
          <cell r="C391" t="str">
            <v>Y</v>
          </cell>
        </row>
        <row r="392">
          <cell r="B392" t="str">
            <v>SR-BKN-2</v>
          </cell>
          <cell r="C392" t="str">
            <v>Y</v>
          </cell>
        </row>
        <row r="393">
          <cell r="B393" t="str">
            <v>SR-CLE</v>
          </cell>
          <cell r="C393" t="str">
            <v>Y</v>
          </cell>
        </row>
        <row r="394">
          <cell r="B394" t="str">
            <v>SR-CLM-2</v>
          </cell>
          <cell r="C394" t="str">
            <v>y</v>
          </cell>
        </row>
        <row r="395">
          <cell r="B395" t="str">
            <v>SR-CLM-3</v>
          </cell>
          <cell r="C395" t="str">
            <v>y</v>
          </cell>
        </row>
        <row r="396">
          <cell r="B396" t="str">
            <v>SR-MVS</v>
          </cell>
          <cell r="C396" t="str">
            <v>Y</v>
          </cell>
        </row>
        <row r="397">
          <cell r="B397" t="str">
            <v>SR-OLY</v>
          </cell>
          <cell r="C397" t="str">
            <v>Y</v>
          </cell>
        </row>
        <row r="398">
          <cell r="B398" t="str">
            <v>SR-PRG</v>
          </cell>
          <cell r="C398" t="str">
            <v>Y</v>
          </cell>
        </row>
        <row r="399">
          <cell r="B399" t="str">
            <v>SR-WHTO</v>
          </cell>
          <cell r="C399" t="str">
            <v>Y</v>
          </cell>
        </row>
        <row r="400">
          <cell r="B400" t="str">
            <v>ST-CBN</v>
          </cell>
          <cell r="C400" t="str">
            <v>y</v>
          </cell>
        </row>
        <row r="401">
          <cell r="B401" t="str">
            <v>ST-CBN-S</v>
          </cell>
          <cell r="C401" t="str">
            <v>RL</v>
          </cell>
        </row>
        <row r="402">
          <cell r="B402" t="str">
            <v>ST-WLD</v>
          </cell>
          <cell r="C402" t="str">
            <v>RL</v>
          </cell>
        </row>
        <row r="403">
          <cell r="B403" t="e">
            <v>#N/A</v>
          </cell>
          <cell r="C403" t="e">
            <v>#N/A</v>
          </cell>
        </row>
        <row r="404">
          <cell r="B404" t="str">
            <v>TS-NL-LA</v>
          </cell>
          <cell r="C404" t="str">
            <v>Y</v>
          </cell>
        </row>
        <row r="405">
          <cell r="B405" t="str">
            <v>TS-NL-ST</v>
          </cell>
          <cell r="C405" t="str">
            <v>Y</v>
          </cell>
        </row>
        <row r="406">
          <cell r="B406" t="str">
            <v>TU-ATD</v>
          </cell>
          <cell r="C406" t="str">
            <v>y</v>
          </cell>
        </row>
        <row r="407">
          <cell r="B407" t="str">
            <v>TU-AYL</v>
          </cell>
          <cell r="C407" t="str">
            <v>Y</v>
          </cell>
        </row>
        <row r="408">
          <cell r="B408" t="e">
            <v>#N/A</v>
          </cell>
          <cell r="C408" t="e">
            <v>#N/A</v>
          </cell>
        </row>
        <row r="409">
          <cell r="B409" t="str">
            <v>TU-CRL</v>
          </cell>
          <cell r="C409" t="str">
            <v>y</v>
          </cell>
        </row>
        <row r="410">
          <cell r="B410" t="str">
            <v>TU-ETY-LA</v>
          </cell>
          <cell r="C410" t="str">
            <v>Y</v>
          </cell>
        </row>
        <row r="411">
          <cell r="B411" t="str">
            <v>TU-ETY-M</v>
          </cell>
          <cell r="C411" t="str">
            <v>Y</v>
          </cell>
        </row>
        <row r="412">
          <cell r="B412" t="str">
            <v>TU-HMD</v>
          </cell>
          <cell r="C412" t="str">
            <v>y</v>
          </cell>
        </row>
        <row r="413">
          <cell r="B413" t="str">
            <v>TU-MA-LA</v>
          </cell>
          <cell r="C413" t="str">
            <v>Y</v>
          </cell>
        </row>
        <row r="414">
          <cell r="B414" t="str">
            <v>TU-MA-ST</v>
          </cell>
          <cell r="C414" t="str">
            <v>Y</v>
          </cell>
        </row>
        <row r="415">
          <cell r="B415" t="str">
            <v>TU-OL</v>
          </cell>
          <cell r="C415" t="str">
            <v>Y</v>
          </cell>
        </row>
        <row r="416">
          <cell r="B416" t="str">
            <v>TU-PMG-LA</v>
          </cell>
          <cell r="C416" t="str">
            <v>Y</v>
          </cell>
        </row>
        <row r="417">
          <cell r="B417" t="str">
            <v>TU-PMG-ST</v>
          </cell>
          <cell r="C417" t="str">
            <v>Y</v>
          </cell>
        </row>
        <row r="418">
          <cell r="B418" t="str">
            <v>TU-PMS-ST</v>
          </cell>
          <cell r="C418" t="str">
            <v>Y</v>
          </cell>
        </row>
        <row r="419">
          <cell r="B419" t="str">
            <v>TU-RE-LA</v>
          </cell>
          <cell r="C419" t="str">
            <v>y</v>
          </cell>
        </row>
        <row r="420">
          <cell r="B420" t="str">
            <v>TU-RWT-LA</v>
          </cell>
          <cell r="C420" t="str">
            <v>Y</v>
          </cell>
        </row>
        <row r="421">
          <cell r="B421" t="e">
            <v>#N/A</v>
          </cell>
          <cell r="C421" t="e">
            <v>#N/A</v>
          </cell>
        </row>
        <row r="422">
          <cell r="B422" t="str">
            <v>TU-TK-LA</v>
          </cell>
          <cell r="C422" t="str">
            <v>Y</v>
          </cell>
        </row>
        <row r="423">
          <cell r="B423" t="str">
            <v>TU-TK-ST</v>
          </cell>
          <cell r="C423" t="str">
            <v>Y</v>
          </cell>
        </row>
        <row r="424">
          <cell r="B424" t="str">
            <v>W-AND-10N</v>
          </cell>
          <cell r="C424" t="e">
            <v>#N/A</v>
          </cell>
        </row>
        <row r="425">
          <cell r="B425" t="str">
            <v>W-AND-2M</v>
          </cell>
          <cell r="C425" t="str">
            <v>DI</v>
          </cell>
        </row>
        <row r="426">
          <cell r="B426" t="str">
            <v>W-AND-2N</v>
          </cell>
          <cell r="C426" t="str">
            <v>DI</v>
          </cell>
        </row>
        <row r="427">
          <cell r="B427" t="e">
            <v>#N/A</v>
          </cell>
          <cell r="C427" t="e">
            <v>#N/A</v>
          </cell>
        </row>
        <row r="428">
          <cell r="B428" t="str">
            <v>W-AND-3M</v>
          </cell>
          <cell r="C428" t="str">
            <v>DI</v>
          </cell>
        </row>
        <row r="429">
          <cell r="B429" t="str">
            <v>W-AND-3N</v>
          </cell>
          <cell r="C429" t="e">
            <v>#N/A</v>
          </cell>
        </row>
        <row r="430">
          <cell r="B430" t="str">
            <v>W-AND-4M</v>
          </cell>
          <cell r="C430" t="str">
            <v>y</v>
          </cell>
        </row>
        <row r="431">
          <cell r="B431" t="str">
            <v>W-AND-4N</v>
          </cell>
          <cell r="C431" t="str">
            <v>Y</v>
          </cell>
        </row>
        <row r="432">
          <cell r="B432" t="str">
            <v>W-MLT-3N</v>
          </cell>
          <cell r="C432" t="e">
            <v>#N/A</v>
          </cell>
        </row>
        <row r="433">
          <cell r="B433" t="str">
            <v>B-POL-KT</v>
          </cell>
          <cell r="C433" t="e">
            <v>#N/A</v>
          </cell>
        </row>
        <row r="434">
          <cell r="B434" t="str">
            <v>B-POL-QT</v>
          </cell>
          <cell r="C434" t="e">
            <v>#N/A</v>
          </cell>
        </row>
        <row r="435">
          <cell r="B435" t="e">
            <v>#N/A</v>
          </cell>
          <cell r="C435" t="e">
            <v>#N/A</v>
          </cell>
        </row>
        <row r="436">
          <cell r="B436" t="str">
            <v>B-POL-SN</v>
          </cell>
          <cell r="C436" t="e">
            <v>#N/A</v>
          </cell>
        </row>
        <row r="437">
          <cell r="B437" t="str">
            <v>B-POL-SN</v>
          </cell>
          <cell r="C437" t="str">
            <v>Y</v>
          </cell>
        </row>
        <row r="438">
          <cell r="B438" t="str">
            <v>CT-SY</v>
          </cell>
          <cell r="C438" t="str">
            <v>Y</v>
          </cell>
        </row>
        <row r="439">
          <cell r="B439" t="e">
            <v>#N/A</v>
          </cell>
          <cell r="C439" t="e">
            <v>#N/A</v>
          </cell>
        </row>
        <row r="440">
          <cell r="B440" t="str">
            <v>DC-MYN-ST</v>
          </cell>
          <cell r="C440" t="str">
            <v>y</v>
          </cell>
        </row>
        <row r="441">
          <cell r="B441" t="str">
            <v>PU-SDI-ST</v>
          </cell>
          <cell r="C441" t="str">
            <v>y</v>
          </cell>
        </row>
        <row r="442">
          <cell r="B442">
            <v>0</v>
          </cell>
          <cell r="C442" t="e">
            <v>#N/A</v>
          </cell>
        </row>
        <row r="443">
          <cell r="B443" t="e">
            <v>#N/A</v>
          </cell>
          <cell r="C443" t="e">
            <v>#N/A</v>
          </cell>
        </row>
        <row r="444">
          <cell r="B444" t="str">
            <v>S-BR-F6</v>
          </cell>
          <cell r="C444" t="str">
            <v>YB</v>
          </cell>
        </row>
        <row r="445">
          <cell r="B445" t="str">
            <v>S-BR-F6</v>
          </cell>
          <cell r="C445" t="str">
            <v>y</v>
          </cell>
        </row>
        <row r="446">
          <cell r="B446" t="str">
            <v>S-SB-S3</v>
          </cell>
          <cell r="C446" t="e">
            <v>#N/A</v>
          </cell>
        </row>
        <row r="447">
          <cell r="B447" t="str">
            <v>SB-MXL-LA</v>
          </cell>
          <cell r="C447" t="str">
            <v>Y</v>
          </cell>
        </row>
        <row r="448">
          <cell r="B448" t="e">
            <v>#N/A</v>
          </cell>
          <cell r="C448" t="e">
            <v>#N/A</v>
          </cell>
        </row>
        <row r="449">
          <cell r="B449" t="str">
            <v>SB-WLB</v>
          </cell>
          <cell r="C449" t="str">
            <v>Y</v>
          </cell>
        </row>
        <row r="450">
          <cell r="B450" t="str">
            <v>TU-CBR-LA</v>
          </cell>
          <cell r="C450" t="str">
            <v>Y</v>
          </cell>
        </row>
        <row r="451">
          <cell r="B451" t="e">
            <v>#N/A</v>
          </cell>
          <cell r="C451" t="e">
            <v>#N/A</v>
          </cell>
        </row>
        <row r="452">
          <cell r="B452" t="e">
            <v>#N/A</v>
          </cell>
          <cell r="C452" t="e">
            <v>#N/A</v>
          </cell>
        </row>
        <row r="453">
          <cell r="B453" t="str">
            <v>TU-ETY-ST</v>
          </cell>
          <cell r="C453" t="str">
            <v>Y</v>
          </cell>
        </row>
        <row r="454">
          <cell r="B454" t="e">
            <v>#N/A</v>
          </cell>
          <cell r="C454" t="e">
            <v>#N/A</v>
          </cell>
        </row>
        <row r="455">
          <cell r="B455" t="e">
            <v>#N/A</v>
          </cell>
          <cell r="C455" t="e">
            <v>#N/A</v>
          </cell>
        </row>
        <row r="456">
          <cell r="B456" t="str">
            <v>TU-PM-ST</v>
          </cell>
          <cell r="C456" t="e">
            <v>#N/A</v>
          </cell>
        </row>
        <row r="457">
          <cell r="B457" t="e">
            <v>#N/A</v>
          </cell>
          <cell r="C457" t="e">
            <v>#N/A</v>
          </cell>
        </row>
        <row r="458">
          <cell r="B458" t="str">
            <v>TU-RYE-LA</v>
          </cell>
          <cell r="C458" t="str">
            <v>Y</v>
          </cell>
        </row>
        <row r="459">
          <cell r="B459" t="str">
            <v>TU-RYE-ST</v>
          </cell>
          <cell r="C459" t="str">
            <v>Y</v>
          </cell>
        </row>
        <row r="460">
          <cell r="B460" t="str">
            <v>BT-OL</v>
          </cell>
          <cell r="C460" t="str">
            <v>Y</v>
          </cell>
        </row>
        <row r="461">
          <cell r="B461" t="str">
            <v>CT-DOV</v>
          </cell>
          <cell r="C461" t="e">
            <v>#N/A</v>
          </cell>
        </row>
        <row r="462">
          <cell r="B462" t="e">
            <v>#N/A</v>
          </cell>
          <cell r="C462" t="e">
            <v>#N/A</v>
          </cell>
        </row>
        <row r="463">
          <cell r="B463" t="str">
            <v>CT-TR-RT</v>
          </cell>
          <cell r="C463" t="str">
            <v>Y</v>
          </cell>
        </row>
        <row r="464">
          <cell r="B464" t="e">
            <v>#N/A</v>
          </cell>
          <cell r="C464" t="e">
            <v>#N/A</v>
          </cell>
        </row>
        <row r="465">
          <cell r="B465" t="str">
            <v>SB-ASG</v>
          </cell>
          <cell r="C465" t="str">
            <v>y</v>
          </cell>
        </row>
        <row r="466">
          <cell r="B466" t="str">
            <v>S-CRF</v>
          </cell>
          <cell r="C466" t="str">
            <v>y</v>
          </cell>
        </row>
        <row r="467">
          <cell r="B467" t="str">
            <v>ST-EFI-LA</v>
          </cell>
          <cell r="C467" t="str">
            <v>Y</v>
          </cell>
        </row>
        <row r="468">
          <cell r="B468" t="str">
            <v>TU-GAU</v>
          </cell>
          <cell r="C468" t="str">
            <v>Y</v>
          </cell>
        </row>
        <row r="469">
          <cell r="B469" t="str">
            <v>TU-LE</v>
          </cell>
          <cell r="C469" t="str">
            <v>Y</v>
          </cell>
        </row>
        <row r="470">
          <cell r="B470" t="str">
            <v>CT-OSN-RT</v>
          </cell>
          <cell r="C470" t="str">
            <v>Y</v>
          </cell>
        </row>
        <row r="471">
          <cell r="B471" t="str">
            <v>SR-WHTO</v>
          </cell>
          <cell r="C471" t="str">
            <v>Y</v>
          </cell>
        </row>
        <row r="472">
          <cell r="B472" t="e">
            <v>#N/A</v>
          </cell>
          <cell r="C472" t="e">
            <v>#N/A</v>
          </cell>
        </row>
        <row r="473">
          <cell r="B473" t="str">
            <v>ST-EFI-ST</v>
          </cell>
          <cell r="C473" t="str">
            <v>Y</v>
          </cell>
        </row>
        <row r="474">
          <cell r="B474" t="str">
            <v>S-BR-6</v>
          </cell>
          <cell r="C474" t="str">
            <v>Y</v>
          </cell>
        </row>
        <row r="475">
          <cell r="B475" t="str">
            <v>S-CC</v>
          </cell>
          <cell r="C475" t="str">
            <v>Y</v>
          </cell>
        </row>
        <row r="476">
          <cell r="B476" t="e">
            <v>#N/A</v>
          </cell>
          <cell r="C476" t="e">
            <v>#N/A</v>
          </cell>
        </row>
        <row r="477">
          <cell r="B477" t="e">
            <v>#N/A</v>
          </cell>
          <cell r="C477" t="e">
            <v>#N/A</v>
          </cell>
        </row>
        <row r="478">
          <cell r="B478" t="str">
            <v>CT-OL</v>
          </cell>
          <cell r="C478" t="str">
            <v>Y</v>
          </cell>
        </row>
        <row r="479">
          <cell r="B479" t="e">
            <v>#N/A</v>
          </cell>
          <cell r="C479" t="e">
            <v>#N/A</v>
          </cell>
        </row>
        <row r="480">
          <cell r="B480" t="str">
            <v>TU-ETY-ST</v>
          </cell>
          <cell r="C480" t="e">
            <v>#N/A</v>
          </cell>
        </row>
        <row r="481">
          <cell r="B481" t="str">
            <v>B-RVB-D36N</v>
          </cell>
          <cell r="C481" t="str">
            <v>Y</v>
          </cell>
        </row>
        <row r="482">
          <cell r="B482" t="str">
            <v>PF-MIS-RT</v>
          </cell>
          <cell r="C482" t="str">
            <v>Y</v>
          </cell>
        </row>
        <row r="483">
          <cell r="B483" t="str">
            <v>PF-MIS-RT</v>
          </cell>
          <cell r="C483" t="str">
            <v>Y</v>
          </cell>
        </row>
        <row r="484">
          <cell r="B484" t="str">
            <v>PF-NAH-RO</v>
          </cell>
          <cell r="C484" t="str">
            <v>Y</v>
          </cell>
        </row>
        <row r="485">
          <cell r="B485" t="str">
            <v>PF-NAH-RO</v>
          </cell>
          <cell r="C485" t="str">
            <v>Y</v>
          </cell>
        </row>
        <row r="486">
          <cell r="B486" t="str">
            <v>PF-NAH-RT</v>
          </cell>
          <cell r="C486" t="e">
            <v>#N/A</v>
          </cell>
        </row>
        <row r="487">
          <cell r="B487" t="str">
            <v>PF-NAH-RT</v>
          </cell>
          <cell r="C487" t="e">
            <v>#N/A</v>
          </cell>
        </row>
        <row r="488">
          <cell r="B488" t="str">
            <v>ST-RDO</v>
          </cell>
          <cell r="C488" t="str">
            <v>Y</v>
          </cell>
        </row>
        <row r="489">
          <cell r="B489" t="str">
            <v>ST-KYA</v>
          </cell>
          <cell r="C489" t="str">
            <v>Y</v>
          </cell>
        </row>
        <row r="490">
          <cell r="B490" t="str">
            <v>TU-PTL</v>
          </cell>
          <cell r="C490" t="str">
            <v>Y</v>
          </cell>
        </row>
        <row r="491">
          <cell r="B491" t="str">
            <v>TU-BVN</v>
          </cell>
          <cell r="C491" t="str">
            <v>Y</v>
          </cell>
        </row>
        <row r="492">
          <cell r="B492" t="str">
            <v>MD-TNO-S</v>
          </cell>
          <cell r="C492" t="str">
            <v>Y</v>
          </cell>
        </row>
        <row r="493">
          <cell r="B493" t="str">
            <v>MD-TNO-L</v>
          </cell>
          <cell r="C493" t="str">
            <v>Y</v>
          </cell>
        </row>
        <row r="494">
          <cell r="B494" t="str">
            <v>B-RVB-SN</v>
          </cell>
          <cell r="C494"/>
        </row>
        <row r="495">
          <cell r="B495" t="str">
            <v>B-RVB-KN</v>
          </cell>
          <cell r="C495"/>
        </row>
        <row r="496">
          <cell r="B496" t="str">
            <v>B-RVB-QN</v>
          </cell>
          <cell r="C496"/>
        </row>
        <row r="497">
          <cell r="B497" t="e">
            <v>#N/A</v>
          </cell>
          <cell r="C497"/>
        </row>
        <row r="498">
          <cell r="B498">
            <v>0</v>
          </cell>
          <cell r="C498"/>
        </row>
        <row r="499">
          <cell r="B499" t="e">
            <v>#N/A</v>
          </cell>
          <cell r="C499"/>
        </row>
        <row r="500">
          <cell r="B500" t="e">
            <v>#N/A</v>
          </cell>
          <cell r="C500"/>
        </row>
        <row r="501">
          <cell r="B501">
            <v>0</v>
          </cell>
          <cell r="C501"/>
        </row>
        <row r="502">
          <cell r="B502" t="e">
            <v>#N/A</v>
          </cell>
          <cell r="C502"/>
        </row>
        <row r="503">
          <cell r="B503" t="e">
            <v>#N/A</v>
          </cell>
          <cell r="C503"/>
        </row>
        <row r="504">
          <cell r="B504">
            <v>0</v>
          </cell>
          <cell r="C504"/>
        </row>
        <row r="505">
          <cell r="B505" t="e">
            <v>#N/A</v>
          </cell>
          <cell r="C505"/>
        </row>
        <row r="506">
          <cell r="B506">
            <v>0</v>
          </cell>
          <cell r="C506"/>
        </row>
        <row r="507">
          <cell r="B507" t="str">
            <v>KH-VD</v>
          </cell>
          <cell r="C507"/>
        </row>
        <row r="508">
          <cell r="B508" t="str">
            <v>KH-VD</v>
          </cell>
          <cell r="C508"/>
        </row>
        <row r="509">
          <cell r="B509" t="e">
            <v>#N/A</v>
          </cell>
          <cell r="C509"/>
        </row>
        <row r="510">
          <cell r="B510" t="e">
            <v>#N/A</v>
          </cell>
          <cell r="C510"/>
        </row>
        <row r="511">
          <cell r="B511" t="str">
            <v>TU-SNQ-LA</v>
          </cell>
          <cell r="C511" t="str">
            <v>Y</v>
          </cell>
        </row>
        <row r="512">
          <cell r="B512" t="str">
            <v>W-MLT-2N</v>
          </cell>
          <cell r="C512"/>
        </row>
        <row r="513">
          <cell r="B513" t="str">
            <v>W-MLT-4N</v>
          </cell>
          <cell r="C513"/>
        </row>
        <row r="514">
          <cell r="B514">
            <v>0</v>
          </cell>
          <cell r="C514"/>
        </row>
        <row r="515">
          <cell r="B515" t="str">
            <v>KH-RMT</v>
          </cell>
          <cell r="C515"/>
        </row>
        <row r="516">
          <cell r="B516" t="str">
            <v>SH-CHR</v>
          </cell>
          <cell r="C516"/>
        </row>
        <row r="517">
          <cell r="B517" t="str">
            <v>ST-CBN-LS</v>
          </cell>
          <cell r="C517"/>
        </row>
        <row r="518">
          <cell r="B518" t="str">
            <v>TP-MTA</v>
          </cell>
          <cell r="C518"/>
        </row>
        <row r="519">
          <cell r="B519" t="str">
            <v>TU-BKY</v>
          </cell>
          <cell r="C519"/>
        </row>
        <row r="520">
          <cell r="B520" t="str">
            <v>TU-DSK</v>
          </cell>
          <cell r="C520"/>
        </row>
        <row r="521">
          <cell r="B521" t="str">
            <v>KH-EDL</v>
          </cell>
          <cell r="C521"/>
        </row>
        <row r="522">
          <cell r="B522" t="str">
            <v>SR-CLM-T</v>
          </cell>
          <cell r="C522"/>
        </row>
        <row r="523">
          <cell r="B523" t="str">
            <v>SB-JMY</v>
          </cell>
          <cell r="C523"/>
        </row>
        <row r="524">
          <cell r="B524" t="str">
            <v>KH-WLR</v>
          </cell>
          <cell r="C524"/>
        </row>
        <row r="525">
          <cell r="B525" t="str">
            <v>TU-BKMT</v>
          </cell>
          <cell r="C525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381096-01E0-44FC-B505-5C70C2CBC082}" name="Table1" displayName="Table1" ref="A3:Y305" totalsRowShown="0">
  <autoFilter ref="A3:Y305" xr:uid="{F0381096-01E0-44FC-B505-5C70C2CBC0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sortState xmlns:xlrd2="http://schemas.microsoft.com/office/spreadsheetml/2017/richdata2" ref="A4:Y283">
    <sortCondition ref="A3:A283"/>
  </sortState>
  <tableColumns count="25">
    <tableColumn id="1" xr3:uid="{DBBBD2CF-54B2-41A1-A02B-E9082CDC1158}" name="MTP SKU Code" dataDxfId="213"/>
    <tableColumn id="2" xr3:uid="{941295D9-F36D-40FF-893A-1F30B2C40678}" name="SB/MB" dataDxfId="212"/>
    <tableColumn id="3" xr3:uid="{8E01BCC5-4376-492E-A857-41CDEBDF2AA1}" name="Lcm" dataDxfId="211"/>
    <tableColumn id="4" xr3:uid="{06D9F211-AF78-4AC9-924E-C06193E9971E}" name="Bcm" dataDxfId="210"/>
    <tableColumn id="5" xr3:uid="{454C8903-FACB-41FC-B864-E882A263C286}" name="Hcm" dataDxfId="209"/>
    <tableColumn id="6" xr3:uid="{DBED6801-3561-48E1-B144-FB05A9DA4581}" name="PW(gm)" dataDxfId="208" dataCellStyle="Comma"/>
    <tableColumn id="7" xr3:uid="{4378EEC1-B387-44A0-ABEF-B51F2E870781}" name="Lcm2" dataDxfId="207" dataCellStyle="Comma"/>
    <tableColumn id="8" xr3:uid="{CFF4F39F-9E0E-4E8B-8964-F418104A6ACC}" name="Bcm3" dataDxfId="206" dataCellStyle="Comma"/>
    <tableColumn id="9" xr3:uid="{B47BD5F3-A0BD-4ADE-A7D0-0782EE734F91}" name="Hcm4" dataDxfId="205" dataCellStyle="Comma"/>
    <tableColumn id="10" xr3:uid="{AC654126-0ED2-4F3B-9B23-9D386CF92150}" name="PW(gm)5" dataDxfId="204" dataCellStyle="Comma"/>
    <tableColumn id="11" xr3:uid="{90E2CC91-7FC6-4012-A1E2-7048D502796D}" name="Lcm6" dataDxfId="203" dataCellStyle="Comma"/>
    <tableColumn id="12" xr3:uid="{B2402AB9-BE58-42D3-A575-DF5BB869C7DD}" name="Bcm7" dataDxfId="202" dataCellStyle="Comma"/>
    <tableColumn id="13" xr3:uid="{666640FD-2BA8-4EF4-B238-9F36D94EC512}" name="Hcm8" dataDxfId="201" dataCellStyle="Comma"/>
    <tableColumn id="14" xr3:uid="{3D0D0485-8D88-40DD-BACF-86542801921F}" name="PW(gm)9" dataDxfId="200" dataCellStyle="Comma"/>
    <tableColumn id="22" xr3:uid="{FD5CBA19-1F17-4096-BAE3-2E6929567013}" name="Column15" dataDxfId="199" dataCellStyle="Comma"/>
    <tableColumn id="15" xr3:uid="{24713E49-78A5-42E1-BC27-CE1BCA71E94A}" name="Kgs" dataDxfId="198" dataCellStyle="Comma">
      <calculatedColumnFormula>F4+J4+N4</calculatedColumnFormula>
    </tableColumn>
    <tableColumn id="16" xr3:uid="{8EBA2BF4-2EE1-499A-BA3F-E4AD787B0A99}" name="Gms" dataDxfId="197" dataCellStyle="Comma"/>
    <tableColumn id="17" xr3:uid="{F40ED5A5-104D-4B52-858F-844AD4139680}" name="Kgs10" dataDxfId="196" dataCellStyle="Comma">
      <calculatedColumnFormula>MAX(Q4,O4)</calculatedColumnFormula>
    </tableColumn>
    <tableColumn id="18" xr3:uid="{7F9F4869-1F2E-4C0D-98EB-93A736FBD4CE}" name="Column11" dataDxfId="195" dataCellStyle="Comma">
      <calculatedColumnFormula>MAX(R4,P4)</calculatedColumnFormula>
    </tableColumn>
    <tableColumn id="19" xr3:uid="{03749AD6-3658-4AFA-9EA0-C510A722BFEF}" name="Column12" dataDxfId="194" dataCellStyle="Comma">
      <calculatedColumnFormula>MAX(S4,Q4)</calculatedColumnFormula>
    </tableColumn>
    <tableColumn id="20" xr3:uid="{5C5403C7-6C65-44D5-810E-3465E488F9B6}" name="Column13" dataDxfId="193"/>
    <tableColumn id="21" xr3:uid="{92EF2108-73A9-4CDC-AC7A-81E44C26D3CF}" name="Column14" dataDxfId="192"/>
    <tableColumn id="23" xr3:uid="{0118618A-E30C-42CF-A9DB-DCB88637A3A8}" name="Column16" dataDxfId="191"/>
    <tableColumn id="24" xr3:uid="{97F5A415-1757-45C2-8BCB-0642378A3936}" name="x" dataDxfId="190"/>
    <tableColumn id="25" xr3:uid="{56F88C71-9CB7-401E-9210-B3BA68C0DE9D}" name="Remark" dataDxfId="18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1BA32E9B-D0DE-4E3A-99EA-699DBDFAC3C2}">
    <text xml:space="preserve">Physical Weight (variable)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0B04E303-E462-4D1A-B753-0273328B7E36}">
    <text xml:space="preserve">Physical Weight (variable)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5B76CBE9-0D33-4A4D-A9AB-DFC6216122A7}">
    <text xml:space="preserve">Physical Weight (variable)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424D909C-EB74-419B-96B9-71DDDD1E5381}">
    <text xml:space="preserve">Physical Weight (variable)
</text>
  </threadedComment>
  <threadedComment ref="G2" dT="2023-11-30T08:28:40.24" personId="{00000000-0000-0000-0000-000000000000}" id="{477B20A6-48E1-4EB1-ACE8-CB5BFE4D1746}">
    <text xml:space="preserve">System Loading Weight (fixed)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758FCBBB-46CD-4A2C-A50B-42798231690C}">
    <text xml:space="preserve">Physical Weight (variable)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ellercentral.amazon.in/skucentral?mSku=TU-PMP-SWF&amp;ref=myi_skuc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sellercentral.amazon.in/skucentral?mSku=TU-PMP-SWF&amp;ref=myi_skuc" TargetMode="Externa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https://sellercentral.amazon.in/skucentral?mSku=TU-PMP-SWF&amp;ref=myi_skuc" TargetMode="Externa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D499-CB91-4255-9500-87A8C05B32BB}">
  <dimension ref="A1:Y305"/>
  <sheetViews>
    <sheetView tabSelected="1" workbookViewId="0">
      <pane ySplit="3" topLeftCell="A4" activePane="bottomLeft" state="frozen"/>
      <selection pane="bottomLeft" activeCell="A7" sqref="A7"/>
    </sheetView>
  </sheetViews>
  <sheetFormatPr defaultColWidth="8.85546875" defaultRowHeight="12.75"/>
  <cols>
    <col min="1" max="1" width="14.85546875" style="125" customWidth="1"/>
    <col min="2" max="2" width="6.7109375" style="59" customWidth="1"/>
    <col min="3" max="5" width="6.140625" style="203" customWidth="1"/>
    <col min="6" max="6" width="7.42578125" style="228" customWidth="1"/>
    <col min="7" max="10" width="6.5703125" style="87" customWidth="1"/>
    <col min="11" max="14" width="7.140625" style="204" customWidth="1"/>
    <col min="15" max="15" width="8.42578125" style="92" customWidth="1"/>
    <col min="16" max="16" width="10.5703125" style="89" customWidth="1"/>
    <col min="17" max="18" width="8.42578125" style="89" customWidth="1"/>
    <col min="19" max="19" width="10" style="89" customWidth="1"/>
    <col min="20" max="20" width="8.42578125" style="90" customWidth="1"/>
    <col min="21" max="22" width="8.42578125" style="91" customWidth="1"/>
    <col min="23" max="23" width="13.42578125" style="93" customWidth="1"/>
    <col min="24" max="24" width="6.5703125" style="53" customWidth="1"/>
    <col min="25" max="16384" width="8.85546875" style="53"/>
  </cols>
  <sheetData>
    <row r="1" spans="1:25" ht="12.75" customHeight="1">
      <c r="A1" s="184" t="s">
        <v>0</v>
      </c>
      <c r="B1" s="133"/>
      <c r="C1" s="340" t="s">
        <v>1</v>
      </c>
      <c r="D1" s="340"/>
      <c r="E1" s="340"/>
      <c r="F1" s="340"/>
      <c r="G1" s="341" t="s">
        <v>2</v>
      </c>
      <c r="H1" s="341"/>
      <c r="I1" s="341"/>
      <c r="J1" s="341"/>
      <c r="K1" s="342" t="s">
        <v>3</v>
      </c>
      <c r="L1" s="342"/>
      <c r="M1" s="342"/>
      <c r="N1" s="342"/>
      <c r="O1" s="214"/>
      <c r="P1" s="215" t="s">
        <v>4</v>
      </c>
      <c r="Q1" s="343" t="s">
        <v>5</v>
      </c>
      <c r="R1" s="343"/>
      <c r="S1" s="217" t="s">
        <v>6</v>
      </c>
      <c r="T1" s="344" t="s">
        <v>7</v>
      </c>
      <c r="U1" s="344"/>
      <c r="V1" s="344"/>
      <c r="W1" s="64"/>
    </row>
    <row r="2" spans="1:25">
      <c r="A2" s="132"/>
      <c r="B2" s="133"/>
      <c r="C2" s="195" t="s">
        <v>8</v>
      </c>
      <c r="D2" s="195" t="s">
        <v>9</v>
      </c>
      <c r="E2" s="195" t="s">
        <v>10</v>
      </c>
      <c r="F2" s="227" t="s">
        <v>11</v>
      </c>
      <c r="G2" s="139" t="s">
        <v>8</v>
      </c>
      <c r="H2" s="139" t="s">
        <v>9</v>
      </c>
      <c r="I2" s="139" t="s">
        <v>10</v>
      </c>
      <c r="J2" s="139" t="s">
        <v>11</v>
      </c>
      <c r="K2" s="196" t="s">
        <v>8</v>
      </c>
      <c r="L2" s="196" t="s">
        <v>9</v>
      </c>
      <c r="M2" s="196" t="s">
        <v>10</v>
      </c>
      <c r="N2" s="196" t="s">
        <v>11</v>
      </c>
      <c r="O2" s="218" t="s">
        <v>12</v>
      </c>
      <c r="P2" s="219">
        <v>6</v>
      </c>
      <c r="Q2" s="217" t="s">
        <v>13</v>
      </c>
      <c r="R2" s="217" t="s">
        <v>14</v>
      </c>
      <c r="S2" s="217"/>
      <c r="T2" s="135"/>
      <c r="U2" s="141" t="s">
        <v>15</v>
      </c>
      <c r="V2" s="141" t="s">
        <v>16</v>
      </c>
      <c r="W2" s="71" t="s">
        <v>17</v>
      </c>
      <c r="Y2" s="53" t="s">
        <v>18</v>
      </c>
    </row>
    <row r="3" spans="1:25">
      <c r="A3" s="132" t="s">
        <v>19</v>
      </c>
      <c r="B3" s="133" t="s">
        <v>20</v>
      </c>
      <c r="C3" s="209" t="s">
        <v>21</v>
      </c>
      <c r="D3" s="209" t="s">
        <v>22</v>
      </c>
      <c r="E3" s="209" t="s">
        <v>23</v>
      </c>
      <c r="F3" s="229" t="s">
        <v>24</v>
      </c>
      <c r="G3" s="209" t="s">
        <v>25</v>
      </c>
      <c r="H3" s="209" t="s">
        <v>26</v>
      </c>
      <c r="I3" s="209" t="s">
        <v>27</v>
      </c>
      <c r="J3" s="210" t="s">
        <v>28</v>
      </c>
      <c r="K3" s="209" t="s">
        <v>29</v>
      </c>
      <c r="L3" s="209" t="s">
        <v>30</v>
      </c>
      <c r="M3" s="209" t="s">
        <v>31</v>
      </c>
      <c r="N3" s="210" t="s">
        <v>32</v>
      </c>
      <c r="O3" s="220" t="s">
        <v>33</v>
      </c>
      <c r="P3" s="221" t="s">
        <v>34</v>
      </c>
      <c r="Q3" s="216" t="s">
        <v>35</v>
      </c>
      <c r="R3" s="216" t="s">
        <v>36</v>
      </c>
      <c r="S3" s="216" t="s">
        <v>37</v>
      </c>
      <c r="T3" s="211" t="s">
        <v>38</v>
      </c>
      <c r="U3" s="212" t="s">
        <v>39</v>
      </c>
      <c r="V3" s="212" t="s">
        <v>40</v>
      </c>
      <c r="W3" s="213" t="s">
        <v>41</v>
      </c>
      <c r="X3" s="53" t="s">
        <v>42</v>
      </c>
      <c r="Y3" s="53" t="s">
        <v>18</v>
      </c>
    </row>
    <row r="4" spans="1:25" ht="12.4" customHeight="1">
      <c r="A4" s="132" t="s">
        <v>43</v>
      </c>
      <c r="B4" s="193" t="s">
        <v>44</v>
      </c>
      <c r="C4" s="197">
        <v>204</v>
      </c>
      <c r="D4" s="197">
        <v>39</v>
      </c>
      <c r="E4" s="197">
        <v>6</v>
      </c>
      <c r="F4" s="230">
        <v>26800</v>
      </c>
      <c r="G4" s="198">
        <v>190</v>
      </c>
      <c r="H4" s="198">
        <v>80</v>
      </c>
      <c r="I4" s="198">
        <v>6</v>
      </c>
      <c r="J4" s="198">
        <v>32100</v>
      </c>
      <c r="K4" s="199">
        <v>107</v>
      </c>
      <c r="L4" s="199">
        <v>96</v>
      </c>
      <c r="M4" s="199">
        <v>7</v>
      </c>
      <c r="N4" s="199">
        <v>40400</v>
      </c>
      <c r="O4" s="222">
        <f t="shared" ref="O4:O67" si="0">((IFERROR((C4*D4*E4),0)+IFERROR((G4*H4*I4),0)+IFERROR((K4*L4*M4),0))/1000000)*35.32</f>
        <v>7.4468687999999998</v>
      </c>
      <c r="P4" s="223">
        <f t="shared" ref="P4:P67" si="1">F4+J4+N4</f>
        <v>99300</v>
      </c>
      <c r="Q4" s="224">
        <f t="shared" ref="Q4:Q12" si="2">F4+J4+N4</f>
        <v>99300</v>
      </c>
      <c r="R4" s="225">
        <f t="shared" ref="R4:R67" si="3">MAX(Q4,O4)</f>
        <v>99300</v>
      </c>
      <c r="S4" s="225">
        <f t="shared" ref="S4:S67" si="4">MAX(R4,P4)</f>
        <v>99300</v>
      </c>
      <c r="T4" s="135">
        <f t="shared" ref="T4:T67" si="5">MAX(S4,Q4)</f>
        <v>99300</v>
      </c>
      <c r="U4" s="149">
        <f t="shared" ref="U4:U67" si="6">T4-Q4</f>
        <v>0</v>
      </c>
      <c r="V4" s="150">
        <f t="shared" ref="V4:V67" si="7">U4/T4</f>
        <v>0</v>
      </c>
      <c r="W4" s="80">
        <f t="shared" ref="W4:W67" si="8">R4/O4</f>
        <v>13334.463472755153</v>
      </c>
      <c r="Y4" s="53" t="s">
        <v>45</v>
      </c>
    </row>
    <row r="5" spans="1:25" ht="12.4" customHeight="1">
      <c r="A5" s="132" t="s">
        <v>46</v>
      </c>
      <c r="B5" s="194" t="s">
        <v>44</v>
      </c>
      <c r="C5" s="200">
        <v>204</v>
      </c>
      <c r="D5" s="200">
        <v>39</v>
      </c>
      <c r="E5" s="200">
        <v>7</v>
      </c>
      <c r="F5" s="231">
        <v>25770</v>
      </c>
      <c r="G5" s="201">
        <v>162</v>
      </c>
      <c r="H5" s="201">
        <v>81</v>
      </c>
      <c r="I5" s="201">
        <v>5</v>
      </c>
      <c r="J5" s="201">
        <v>28000</v>
      </c>
      <c r="K5" s="202">
        <v>104</v>
      </c>
      <c r="L5" s="202">
        <v>80</v>
      </c>
      <c r="M5" s="202">
        <v>7</v>
      </c>
      <c r="N5" s="202">
        <v>35000</v>
      </c>
      <c r="O5" s="222">
        <f t="shared" si="0"/>
        <v>6.3414234400000007</v>
      </c>
      <c r="P5" s="223">
        <f t="shared" si="1"/>
        <v>88770</v>
      </c>
      <c r="Q5" s="224">
        <f t="shared" si="2"/>
        <v>88770</v>
      </c>
      <c r="R5" s="225">
        <f t="shared" si="3"/>
        <v>88770</v>
      </c>
      <c r="S5" s="225">
        <f t="shared" si="4"/>
        <v>88770</v>
      </c>
      <c r="T5" s="135">
        <f t="shared" si="5"/>
        <v>88770</v>
      </c>
      <c r="U5" s="149">
        <f t="shared" si="6"/>
        <v>0</v>
      </c>
      <c r="V5" s="150">
        <f t="shared" si="7"/>
        <v>0</v>
      </c>
      <c r="W5" s="80">
        <f t="shared" si="8"/>
        <v>13998.434395669372</v>
      </c>
      <c r="Y5" s="53" t="s">
        <v>47</v>
      </c>
    </row>
    <row r="6" spans="1:25">
      <c r="A6" s="132" t="s">
        <v>48</v>
      </c>
      <c r="B6" s="194" t="s">
        <v>44</v>
      </c>
      <c r="C6" s="200">
        <v>205</v>
      </c>
      <c r="D6" s="200">
        <v>54</v>
      </c>
      <c r="E6" s="200">
        <v>10</v>
      </c>
      <c r="F6" s="231">
        <v>35000</v>
      </c>
      <c r="G6" s="201">
        <v>105</v>
      </c>
      <c r="H6" s="201">
        <v>94</v>
      </c>
      <c r="I6" s="201">
        <v>5</v>
      </c>
      <c r="J6" s="201">
        <v>35000</v>
      </c>
      <c r="K6" s="202"/>
      <c r="L6" s="202"/>
      <c r="M6" s="202"/>
      <c r="N6" s="202"/>
      <c r="O6" s="222">
        <f t="shared" si="0"/>
        <v>5.6529660000000002</v>
      </c>
      <c r="P6" s="223">
        <f t="shared" si="1"/>
        <v>70000</v>
      </c>
      <c r="Q6" s="224">
        <f t="shared" si="2"/>
        <v>70000</v>
      </c>
      <c r="R6" s="225">
        <f t="shared" si="3"/>
        <v>70000</v>
      </c>
      <c r="S6" s="225">
        <f t="shared" si="4"/>
        <v>70000</v>
      </c>
      <c r="T6" s="135">
        <f t="shared" si="5"/>
        <v>70000</v>
      </c>
      <c r="U6" s="149">
        <f t="shared" si="6"/>
        <v>0</v>
      </c>
      <c r="V6" s="150">
        <f t="shared" si="7"/>
        <v>0</v>
      </c>
      <c r="W6" s="80">
        <f t="shared" si="8"/>
        <v>12382.8800668534</v>
      </c>
      <c r="Y6" s="53" t="s">
        <v>45</v>
      </c>
    </row>
    <row r="7" spans="1:25">
      <c r="A7" s="132" t="s">
        <v>49</v>
      </c>
      <c r="B7" s="194" t="s">
        <v>44</v>
      </c>
      <c r="C7" s="200">
        <v>207</v>
      </c>
      <c r="D7" s="200">
        <v>38</v>
      </c>
      <c r="E7" s="200">
        <v>8</v>
      </c>
      <c r="F7" s="231">
        <v>34800</v>
      </c>
      <c r="G7" s="201">
        <v>192</v>
      </c>
      <c r="H7" s="201">
        <v>40</v>
      </c>
      <c r="I7" s="201">
        <v>6</v>
      </c>
      <c r="J7" s="201">
        <v>22700</v>
      </c>
      <c r="K7" s="202">
        <v>105</v>
      </c>
      <c r="L7" s="202">
        <v>96</v>
      </c>
      <c r="M7" s="202">
        <v>7</v>
      </c>
      <c r="N7" s="202">
        <v>38800</v>
      </c>
      <c r="O7" s="222">
        <f t="shared" si="0"/>
        <v>6.3423417600000001</v>
      </c>
      <c r="P7" s="223">
        <f t="shared" si="1"/>
        <v>96300</v>
      </c>
      <c r="Q7" s="224">
        <f t="shared" si="2"/>
        <v>96300</v>
      </c>
      <c r="R7" s="225">
        <f t="shared" si="3"/>
        <v>96300</v>
      </c>
      <c r="S7" s="225">
        <f t="shared" si="4"/>
        <v>96300</v>
      </c>
      <c r="T7" s="135">
        <f t="shared" si="5"/>
        <v>96300</v>
      </c>
      <c r="U7" s="149">
        <f t="shared" si="6"/>
        <v>0</v>
      </c>
      <c r="V7" s="150">
        <f t="shared" si="7"/>
        <v>0</v>
      </c>
      <c r="W7" s="80">
        <f t="shared" si="8"/>
        <v>15183.666166863894</v>
      </c>
      <c r="Y7" s="53" t="s">
        <v>47</v>
      </c>
    </row>
    <row r="8" spans="1:25">
      <c r="A8" s="132" t="s">
        <v>50</v>
      </c>
      <c r="B8" s="194" t="s">
        <v>44</v>
      </c>
      <c r="C8" s="200">
        <v>206</v>
      </c>
      <c r="D8" s="200">
        <v>50</v>
      </c>
      <c r="E8" s="200">
        <v>10</v>
      </c>
      <c r="F8" s="231">
        <v>46000</v>
      </c>
      <c r="G8" s="201">
        <v>102</v>
      </c>
      <c r="H8" s="201">
        <v>79</v>
      </c>
      <c r="I8" s="201">
        <v>5</v>
      </c>
      <c r="J8" s="201">
        <v>24000</v>
      </c>
      <c r="K8" s="202"/>
      <c r="L8" s="202"/>
      <c r="M8" s="202"/>
      <c r="N8" s="202"/>
      <c r="O8" s="222">
        <f t="shared" si="0"/>
        <v>5.0610027999999998</v>
      </c>
      <c r="P8" s="223">
        <f t="shared" si="1"/>
        <v>70000</v>
      </c>
      <c r="Q8" s="224">
        <f t="shared" si="2"/>
        <v>70000</v>
      </c>
      <c r="R8" s="225">
        <f t="shared" si="3"/>
        <v>70000</v>
      </c>
      <c r="S8" s="225">
        <f t="shared" si="4"/>
        <v>70000</v>
      </c>
      <c r="T8" s="135">
        <f t="shared" si="5"/>
        <v>70000</v>
      </c>
      <c r="U8" s="149">
        <f t="shared" si="6"/>
        <v>0</v>
      </c>
      <c r="V8" s="150">
        <f t="shared" si="7"/>
        <v>0</v>
      </c>
      <c r="W8" s="80">
        <f t="shared" si="8"/>
        <v>13831.250992392259</v>
      </c>
      <c r="Y8" s="53" t="s">
        <v>45</v>
      </c>
    </row>
    <row r="9" spans="1:25">
      <c r="A9" s="132" t="s">
        <v>51</v>
      </c>
      <c r="B9" s="194" t="s">
        <v>44</v>
      </c>
      <c r="C9" s="200">
        <v>202</v>
      </c>
      <c r="D9" s="200">
        <v>40</v>
      </c>
      <c r="E9" s="200">
        <v>9</v>
      </c>
      <c r="F9" s="231">
        <v>34290</v>
      </c>
      <c r="G9" s="201">
        <v>162</v>
      </c>
      <c r="H9" s="201">
        <v>40</v>
      </c>
      <c r="I9" s="201">
        <v>6</v>
      </c>
      <c r="J9" s="201">
        <v>18850</v>
      </c>
      <c r="K9" s="202">
        <v>104</v>
      </c>
      <c r="L9" s="202">
        <v>82</v>
      </c>
      <c r="M9" s="202">
        <v>7</v>
      </c>
      <c r="N9" s="202">
        <v>37400</v>
      </c>
      <c r="O9" s="222">
        <f t="shared" si="0"/>
        <v>6.0501747200000002</v>
      </c>
      <c r="P9" s="223">
        <f t="shared" si="1"/>
        <v>90540</v>
      </c>
      <c r="Q9" s="224">
        <f t="shared" si="2"/>
        <v>90540</v>
      </c>
      <c r="R9" s="225">
        <f t="shared" si="3"/>
        <v>90540</v>
      </c>
      <c r="S9" s="225">
        <f t="shared" si="4"/>
        <v>90540</v>
      </c>
      <c r="T9" s="135">
        <f t="shared" si="5"/>
        <v>90540</v>
      </c>
      <c r="U9" s="149">
        <f t="shared" si="6"/>
        <v>0</v>
      </c>
      <c r="V9" s="150">
        <f t="shared" si="7"/>
        <v>0</v>
      </c>
      <c r="W9" s="80">
        <f t="shared" si="8"/>
        <v>14964.857081019967</v>
      </c>
      <c r="Y9" s="53" t="s">
        <v>47</v>
      </c>
    </row>
    <row r="10" spans="1:25">
      <c r="A10" s="157" t="s">
        <v>52</v>
      </c>
      <c r="B10" s="194" t="s">
        <v>44</v>
      </c>
      <c r="C10" s="200">
        <v>204</v>
      </c>
      <c r="D10" s="200">
        <v>48</v>
      </c>
      <c r="E10" s="200">
        <v>6</v>
      </c>
      <c r="F10" s="231">
        <v>31000</v>
      </c>
      <c r="G10" s="201">
        <v>106</v>
      </c>
      <c r="H10" s="201">
        <v>96</v>
      </c>
      <c r="I10" s="201">
        <v>3</v>
      </c>
      <c r="J10" s="201">
        <v>15100</v>
      </c>
      <c r="K10" s="202"/>
      <c r="L10" s="202"/>
      <c r="M10" s="202"/>
      <c r="N10" s="202"/>
      <c r="O10" s="222">
        <f t="shared" si="0"/>
        <v>3.1533696</v>
      </c>
      <c r="P10" s="223">
        <f t="shared" si="1"/>
        <v>46100</v>
      </c>
      <c r="Q10" s="226">
        <f t="shared" si="2"/>
        <v>46100</v>
      </c>
      <c r="R10" s="225">
        <f t="shared" si="3"/>
        <v>46100</v>
      </c>
      <c r="S10" s="225">
        <f t="shared" si="4"/>
        <v>46100</v>
      </c>
      <c r="T10" s="135">
        <f t="shared" si="5"/>
        <v>46100</v>
      </c>
      <c r="U10" s="149">
        <f t="shared" si="6"/>
        <v>0</v>
      </c>
      <c r="V10" s="150">
        <f t="shared" si="7"/>
        <v>0</v>
      </c>
      <c r="W10" s="80">
        <f t="shared" si="8"/>
        <v>14619.28217992588</v>
      </c>
      <c r="Y10" s="53" t="s">
        <v>47</v>
      </c>
    </row>
    <row r="11" spans="1:25" ht="12.4" customHeight="1">
      <c r="A11" s="159" t="s">
        <v>53</v>
      </c>
      <c r="B11" s="194" t="s">
        <v>54</v>
      </c>
      <c r="C11" s="200"/>
      <c r="D11" s="200"/>
      <c r="E11" s="200"/>
      <c r="F11" s="231"/>
      <c r="G11" s="201"/>
      <c r="H11" s="201"/>
      <c r="I11" s="201"/>
      <c r="J11" s="201"/>
      <c r="K11" s="202"/>
      <c r="L11" s="202"/>
      <c r="M11" s="202"/>
      <c r="N11" s="202"/>
      <c r="O11" s="222">
        <f t="shared" si="0"/>
        <v>0</v>
      </c>
      <c r="P11" s="223">
        <f t="shared" si="1"/>
        <v>0</v>
      </c>
      <c r="Q11" s="226">
        <f t="shared" si="2"/>
        <v>0</v>
      </c>
      <c r="R11" s="225">
        <f t="shared" si="3"/>
        <v>0</v>
      </c>
      <c r="S11" s="225">
        <f t="shared" si="4"/>
        <v>0</v>
      </c>
      <c r="T11" s="135">
        <f t="shared" si="5"/>
        <v>0</v>
      </c>
      <c r="U11" s="149">
        <f t="shared" si="6"/>
        <v>0</v>
      </c>
      <c r="V11" s="150" t="e">
        <f t="shared" si="7"/>
        <v>#DIV/0!</v>
      </c>
      <c r="W11" s="80" t="e">
        <f t="shared" si="8"/>
        <v>#DIV/0!</v>
      </c>
      <c r="Y11" s="53" t="s">
        <v>45</v>
      </c>
    </row>
    <row r="12" spans="1:25" ht="12.4" customHeight="1">
      <c r="A12" s="159" t="s">
        <v>55</v>
      </c>
      <c r="B12" s="194" t="s">
        <v>56</v>
      </c>
      <c r="C12" s="200">
        <v>188</v>
      </c>
      <c r="D12" s="200">
        <v>44</v>
      </c>
      <c r="E12" s="200">
        <v>9</v>
      </c>
      <c r="F12" s="231">
        <v>33270</v>
      </c>
      <c r="G12" s="201"/>
      <c r="H12" s="201"/>
      <c r="I12" s="201"/>
      <c r="J12" s="201"/>
      <c r="K12" s="202"/>
      <c r="L12" s="202"/>
      <c r="M12" s="202"/>
      <c r="N12" s="202"/>
      <c r="O12" s="222">
        <f t="shared" si="0"/>
        <v>2.6295033600000002</v>
      </c>
      <c r="P12" s="223">
        <f t="shared" si="1"/>
        <v>33270</v>
      </c>
      <c r="Q12" s="226">
        <f t="shared" si="2"/>
        <v>33270</v>
      </c>
      <c r="R12" s="225">
        <f t="shared" si="3"/>
        <v>33270</v>
      </c>
      <c r="S12" s="225">
        <f t="shared" si="4"/>
        <v>33270</v>
      </c>
      <c r="T12" s="135">
        <f t="shared" si="5"/>
        <v>33270</v>
      </c>
      <c r="U12" s="149">
        <f t="shared" si="6"/>
        <v>0</v>
      </c>
      <c r="V12" s="150">
        <f t="shared" si="7"/>
        <v>0</v>
      </c>
      <c r="W12" s="80">
        <f t="shared" si="8"/>
        <v>12652.579382899134</v>
      </c>
      <c r="Y12" s="53" t="s">
        <v>47</v>
      </c>
    </row>
    <row r="13" spans="1:25">
      <c r="A13" s="132" t="s">
        <v>57</v>
      </c>
      <c r="B13" s="194" t="s">
        <v>44</v>
      </c>
      <c r="C13" s="200">
        <v>206</v>
      </c>
      <c r="D13" s="200">
        <v>50</v>
      </c>
      <c r="E13" s="200">
        <v>8</v>
      </c>
      <c r="F13" s="231">
        <v>45600</v>
      </c>
      <c r="G13" s="201">
        <v>105</v>
      </c>
      <c r="H13" s="201">
        <v>96</v>
      </c>
      <c r="I13" s="201">
        <v>5</v>
      </c>
      <c r="J13" s="201">
        <v>27600</v>
      </c>
      <c r="K13" s="202"/>
      <c r="L13" s="202"/>
      <c r="M13" s="202"/>
      <c r="N13" s="202"/>
      <c r="O13" s="222">
        <f t="shared" si="0"/>
        <v>4.6904960000000004</v>
      </c>
      <c r="P13" s="223">
        <f t="shared" si="1"/>
        <v>73200</v>
      </c>
      <c r="Q13" s="226">
        <f>IFERROR(F13,0)+IFERROR(J13,0)+IFERROR(N13,0)</f>
        <v>73200</v>
      </c>
      <c r="R13" s="225">
        <f t="shared" si="3"/>
        <v>73200</v>
      </c>
      <c r="S13" s="225">
        <f t="shared" si="4"/>
        <v>73200</v>
      </c>
      <c r="T13" s="135">
        <f t="shared" si="5"/>
        <v>73200</v>
      </c>
      <c r="U13" s="149">
        <f t="shared" si="6"/>
        <v>0</v>
      </c>
      <c r="V13" s="150">
        <f t="shared" si="7"/>
        <v>0</v>
      </c>
      <c r="W13" s="80">
        <f t="shared" si="8"/>
        <v>15606.025460846784</v>
      </c>
      <c r="Y13" s="53" t="s">
        <v>47</v>
      </c>
    </row>
    <row r="14" spans="1:25">
      <c r="A14" s="132" t="s">
        <v>58</v>
      </c>
      <c r="B14" s="194" t="s">
        <v>44</v>
      </c>
      <c r="C14" s="200">
        <v>205</v>
      </c>
      <c r="D14" s="200">
        <v>50</v>
      </c>
      <c r="E14" s="200">
        <v>8</v>
      </c>
      <c r="F14" s="231">
        <v>41950</v>
      </c>
      <c r="G14" s="201">
        <v>104</v>
      </c>
      <c r="H14" s="201">
        <v>84</v>
      </c>
      <c r="I14" s="201">
        <v>5</v>
      </c>
      <c r="J14" s="201">
        <v>23100</v>
      </c>
      <c r="K14" s="202"/>
      <c r="L14" s="202"/>
      <c r="M14" s="202"/>
      <c r="N14" s="202"/>
      <c r="O14" s="222">
        <f t="shared" si="0"/>
        <v>4.4390175999999997</v>
      </c>
      <c r="P14" s="223">
        <f t="shared" si="1"/>
        <v>65050</v>
      </c>
      <c r="Q14" s="226">
        <f t="shared" ref="Q14:Q77" si="9">F14+J14+N14</f>
        <v>65050</v>
      </c>
      <c r="R14" s="225">
        <f t="shared" si="3"/>
        <v>65050</v>
      </c>
      <c r="S14" s="225">
        <f t="shared" si="4"/>
        <v>65050</v>
      </c>
      <c r="T14" s="135">
        <f t="shared" si="5"/>
        <v>65050</v>
      </c>
      <c r="U14" s="149">
        <f t="shared" si="6"/>
        <v>0</v>
      </c>
      <c r="V14" s="150">
        <f t="shared" si="7"/>
        <v>0</v>
      </c>
      <c r="W14" s="80">
        <f t="shared" si="8"/>
        <v>14654.143295129086</v>
      </c>
      <c r="Y14" s="53" t="s">
        <v>47</v>
      </c>
    </row>
    <row r="15" spans="1:25">
      <c r="A15" s="132" t="s">
        <v>59</v>
      </c>
      <c r="B15" s="194" t="s">
        <v>44</v>
      </c>
      <c r="C15" s="200">
        <v>199</v>
      </c>
      <c r="D15" s="200">
        <v>38</v>
      </c>
      <c r="E15" s="200">
        <v>9</v>
      </c>
      <c r="F15" s="231">
        <v>30460</v>
      </c>
      <c r="G15" s="201">
        <v>99</v>
      </c>
      <c r="H15" s="201">
        <v>54</v>
      </c>
      <c r="I15" s="201">
        <v>5</v>
      </c>
      <c r="J15" s="201">
        <v>16000</v>
      </c>
      <c r="K15" s="202"/>
      <c r="L15" s="202"/>
      <c r="M15" s="202"/>
      <c r="N15" s="202"/>
      <c r="O15" s="222">
        <f t="shared" si="0"/>
        <v>3.3479121599999999</v>
      </c>
      <c r="P15" s="223">
        <f t="shared" si="1"/>
        <v>46460</v>
      </c>
      <c r="Q15" s="226">
        <f t="shared" si="9"/>
        <v>46460</v>
      </c>
      <c r="R15" s="225">
        <f t="shared" si="3"/>
        <v>46460</v>
      </c>
      <c r="S15" s="225">
        <f t="shared" si="4"/>
        <v>46460</v>
      </c>
      <c r="T15" s="135">
        <f t="shared" si="5"/>
        <v>46460</v>
      </c>
      <c r="U15" s="149">
        <f t="shared" si="6"/>
        <v>0</v>
      </c>
      <c r="V15" s="150">
        <f t="shared" si="7"/>
        <v>0</v>
      </c>
      <c r="W15" s="80">
        <f t="shared" si="8"/>
        <v>13877.305550334391</v>
      </c>
      <c r="Y15" s="53" t="s">
        <v>47</v>
      </c>
    </row>
    <row r="16" spans="1:25">
      <c r="A16" s="132" t="s">
        <v>60</v>
      </c>
      <c r="B16" s="194" t="s">
        <v>56</v>
      </c>
      <c r="C16" s="200">
        <v>72</v>
      </c>
      <c r="D16" s="200">
        <v>39</v>
      </c>
      <c r="E16" s="200">
        <v>5</v>
      </c>
      <c r="F16" s="231">
        <v>6470</v>
      </c>
      <c r="G16" s="201"/>
      <c r="H16" s="201"/>
      <c r="I16" s="201"/>
      <c r="J16" s="201"/>
      <c r="K16" s="202"/>
      <c r="L16" s="202"/>
      <c r="M16" s="202"/>
      <c r="N16" s="202"/>
      <c r="O16" s="222">
        <f t="shared" si="0"/>
        <v>0.49589280000000002</v>
      </c>
      <c r="P16" s="223">
        <f t="shared" si="1"/>
        <v>6470</v>
      </c>
      <c r="Q16" s="226">
        <f t="shared" si="9"/>
        <v>6470</v>
      </c>
      <c r="R16" s="225">
        <f t="shared" si="3"/>
        <v>6470</v>
      </c>
      <c r="S16" s="225">
        <f t="shared" si="4"/>
        <v>6470</v>
      </c>
      <c r="T16" s="135">
        <f t="shared" si="5"/>
        <v>6470</v>
      </c>
      <c r="U16" s="149">
        <f t="shared" si="6"/>
        <v>0</v>
      </c>
      <c r="V16" s="150">
        <f t="shared" si="7"/>
        <v>0</v>
      </c>
      <c r="W16" s="80">
        <f t="shared" si="8"/>
        <v>13047.174711953874</v>
      </c>
      <c r="Y16" s="53" t="s">
        <v>47</v>
      </c>
    </row>
    <row r="17" spans="1:25">
      <c r="A17" s="132" t="s">
        <v>61</v>
      </c>
      <c r="B17" s="194" t="s">
        <v>56</v>
      </c>
      <c r="C17" s="200">
        <v>42</v>
      </c>
      <c r="D17" s="200">
        <v>41</v>
      </c>
      <c r="E17" s="200">
        <v>6</v>
      </c>
      <c r="F17" s="231">
        <v>4300</v>
      </c>
      <c r="G17" s="201"/>
      <c r="H17" s="201"/>
      <c r="I17" s="201"/>
      <c r="J17" s="201"/>
      <c r="K17" s="202"/>
      <c r="L17" s="202"/>
      <c r="M17" s="202"/>
      <c r="N17" s="202"/>
      <c r="O17" s="222">
        <f t="shared" si="0"/>
        <v>0.36492623999999996</v>
      </c>
      <c r="P17" s="223">
        <f t="shared" si="1"/>
        <v>4300</v>
      </c>
      <c r="Q17" s="226">
        <f t="shared" si="9"/>
        <v>4300</v>
      </c>
      <c r="R17" s="225">
        <f t="shared" si="3"/>
        <v>4300</v>
      </c>
      <c r="S17" s="225">
        <f t="shared" si="4"/>
        <v>4300</v>
      </c>
      <c r="T17" s="135">
        <f t="shared" si="5"/>
        <v>4300</v>
      </c>
      <c r="U17" s="149">
        <f t="shared" si="6"/>
        <v>0</v>
      </c>
      <c r="V17" s="150">
        <f t="shared" si="7"/>
        <v>0</v>
      </c>
      <c r="W17" s="80">
        <f t="shared" si="8"/>
        <v>11783.203093315517</v>
      </c>
      <c r="Y17" s="53" t="s">
        <v>47</v>
      </c>
    </row>
    <row r="18" spans="1:25">
      <c r="A18" s="132" t="s">
        <v>62</v>
      </c>
      <c r="B18" s="194" t="s">
        <v>63</v>
      </c>
      <c r="C18" s="200">
        <v>64</v>
      </c>
      <c r="D18" s="200">
        <v>58</v>
      </c>
      <c r="E18" s="200">
        <v>12</v>
      </c>
      <c r="F18" s="231">
        <v>15000</v>
      </c>
      <c r="G18" s="201"/>
      <c r="H18" s="201"/>
      <c r="I18" s="201"/>
      <c r="J18" s="201"/>
      <c r="K18" s="202"/>
      <c r="L18" s="202"/>
      <c r="M18" s="202"/>
      <c r="N18" s="202"/>
      <c r="O18" s="222">
        <f t="shared" si="0"/>
        <v>1.5732940799999999</v>
      </c>
      <c r="P18" s="223">
        <f t="shared" si="1"/>
        <v>15000</v>
      </c>
      <c r="Q18" s="226">
        <f t="shared" si="9"/>
        <v>15000</v>
      </c>
      <c r="R18" s="225">
        <f t="shared" si="3"/>
        <v>15000</v>
      </c>
      <c r="S18" s="225">
        <f t="shared" si="4"/>
        <v>15000</v>
      </c>
      <c r="T18" s="135">
        <f t="shared" si="5"/>
        <v>15000</v>
      </c>
      <c r="U18" s="149">
        <f t="shared" si="6"/>
        <v>0</v>
      </c>
      <c r="V18" s="150">
        <f t="shared" si="7"/>
        <v>0</v>
      </c>
      <c r="W18" s="80">
        <f t="shared" si="8"/>
        <v>9534.1361737025036</v>
      </c>
      <c r="Y18" s="53" t="s">
        <v>45</v>
      </c>
    </row>
    <row r="19" spans="1:25">
      <c r="A19" s="132" t="s">
        <v>64</v>
      </c>
      <c r="B19" s="194" t="s">
        <v>54</v>
      </c>
      <c r="C19" s="200"/>
      <c r="D19" s="200"/>
      <c r="E19" s="200"/>
      <c r="F19" s="231"/>
      <c r="G19" s="201"/>
      <c r="H19" s="201"/>
      <c r="I19" s="201"/>
      <c r="J19" s="201"/>
      <c r="K19" s="202"/>
      <c r="L19" s="202"/>
      <c r="M19" s="202"/>
      <c r="N19" s="202"/>
      <c r="O19" s="222">
        <f t="shared" si="0"/>
        <v>0</v>
      </c>
      <c r="P19" s="223">
        <f t="shared" si="1"/>
        <v>0</v>
      </c>
      <c r="Q19" s="226">
        <f t="shared" si="9"/>
        <v>0</v>
      </c>
      <c r="R19" s="225">
        <f t="shared" si="3"/>
        <v>0</v>
      </c>
      <c r="S19" s="225">
        <f t="shared" si="4"/>
        <v>0</v>
      </c>
      <c r="T19" s="135">
        <f t="shared" si="5"/>
        <v>0</v>
      </c>
      <c r="U19" s="149">
        <f t="shared" si="6"/>
        <v>0</v>
      </c>
      <c r="V19" s="150" t="e">
        <f t="shared" si="7"/>
        <v>#DIV/0!</v>
      </c>
      <c r="W19" s="80" t="e">
        <f t="shared" si="8"/>
        <v>#DIV/0!</v>
      </c>
      <c r="Y19" s="53" t="s">
        <v>45</v>
      </c>
    </row>
    <row r="20" spans="1:25">
      <c r="A20" s="132" t="s">
        <v>65</v>
      </c>
      <c r="B20" s="194" t="s">
        <v>56</v>
      </c>
      <c r="C20" s="200">
        <v>48</v>
      </c>
      <c r="D20" s="200">
        <v>45</v>
      </c>
      <c r="E20" s="200">
        <v>5</v>
      </c>
      <c r="F20" s="231">
        <v>7700</v>
      </c>
      <c r="G20" s="201"/>
      <c r="H20" s="201"/>
      <c r="I20" s="201"/>
      <c r="J20" s="201"/>
      <c r="K20" s="202"/>
      <c r="L20" s="202"/>
      <c r="M20" s="202"/>
      <c r="N20" s="202"/>
      <c r="O20" s="222">
        <f t="shared" si="0"/>
        <v>0.38145600000000002</v>
      </c>
      <c r="P20" s="223">
        <f t="shared" si="1"/>
        <v>7700</v>
      </c>
      <c r="Q20" s="226">
        <f t="shared" si="9"/>
        <v>7700</v>
      </c>
      <c r="R20" s="225">
        <f t="shared" si="3"/>
        <v>7700</v>
      </c>
      <c r="S20" s="225">
        <f t="shared" si="4"/>
        <v>7700</v>
      </c>
      <c r="T20" s="135">
        <f t="shared" si="5"/>
        <v>7700</v>
      </c>
      <c r="U20" s="149">
        <f t="shared" si="6"/>
        <v>0</v>
      </c>
      <c r="V20" s="150">
        <f t="shared" si="7"/>
        <v>0</v>
      </c>
      <c r="W20" s="80">
        <f t="shared" si="8"/>
        <v>20185.814353424772</v>
      </c>
      <c r="Y20" s="53" t="s">
        <v>47</v>
      </c>
    </row>
    <row r="21" spans="1:25">
      <c r="A21" s="162" t="s">
        <v>66</v>
      </c>
      <c r="B21" s="194" t="s">
        <v>56</v>
      </c>
      <c r="C21" s="200">
        <v>60</v>
      </c>
      <c r="D21" s="200">
        <v>44</v>
      </c>
      <c r="E21" s="200">
        <v>7</v>
      </c>
      <c r="F21" s="231">
        <v>10490</v>
      </c>
      <c r="G21" s="201"/>
      <c r="H21" s="201"/>
      <c r="I21" s="201"/>
      <c r="J21" s="201"/>
      <c r="K21" s="202"/>
      <c r="L21" s="202"/>
      <c r="M21" s="202"/>
      <c r="N21" s="202"/>
      <c r="O21" s="222">
        <f t="shared" si="0"/>
        <v>0.6527136</v>
      </c>
      <c r="P21" s="223">
        <f t="shared" si="1"/>
        <v>10490</v>
      </c>
      <c r="Q21" s="226">
        <f t="shared" si="9"/>
        <v>10490</v>
      </c>
      <c r="R21" s="225">
        <f t="shared" si="3"/>
        <v>10490</v>
      </c>
      <c r="S21" s="225">
        <f t="shared" si="4"/>
        <v>10490</v>
      </c>
      <c r="T21" s="135">
        <f t="shared" si="5"/>
        <v>10490</v>
      </c>
      <c r="U21" s="149">
        <f t="shared" si="6"/>
        <v>0</v>
      </c>
      <c r="V21" s="150">
        <f t="shared" si="7"/>
        <v>0</v>
      </c>
      <c r="W21" s="80">
        <f t="shared" si="8"/>
        <v>16071.367288807833</v>
      </c>
      <c r="Y21" s="53" t="s">
        <v>47</v>
      </c>
    </row>
    <row r="22" spans="1:25" ht="12.4" customHeight="1">
      <c r="A22" s="132" t="s">
        <v>67</v>
      </c>
      <c r="B22" s="194" t="s">
        <v>54</v>
      </c>
      <c r="C22" s="200"/>
      <c r="D22" s="200"/>
      <c r="E22" s="200"/>
      <c r="F22" s="231"/>
      <c r="G22" s="201"/>
      <c r="H22" s="201"/>
      <c r="I22" s="201"/>
      <c r="J22" s="201"/>
      <c r="K22" s="202"/>
      <c r="L22" s="202"/>
      <c r="M22" s="202"/>
      <c r="N22" s="202"/>
      <c r="O22" s="222">
        <f t="shared" si="0"/>
        <v>0</v>
      </c>
      <c r="P22" s="223">
        <f t="shared" si="1"/>
        <v>0</v>
      </c>
      <c r="Q22" s="226">
        <f t="shared" si="9"/>
        <v>0</v>
      </c>
      <c r="R22" s="225">
        <f t="shared" si="3"/>
        <v>0</v>
      </c>
      <c r="S22" s="225">
        <f t="shared" si="4"/>
        <v>0</v>
      </c>
      <c r="T22" s="135">
        <f t="shared" si="5"/>
        <v>0</v>
      </c>
      <c r="U22" s="149">
        <f t="shared" si="6"/>
        <v>0</v>
      </c>
      <c r="V22" s="150" t="e">
        <f t="shared" si="7"/>
        <v>#DIV/0!</v>
      </c>
      <c r="W22" s="80" t="e">
        <f t="shared" si="8"/>
        <v>#DIV/0!</v>
      </c>
      <c r="Y22" s="53" t="s">
        <v>45</v>
      </c>
    </row>
    <row r="23" spans="1:25" s="261" customFormat="1">
      <c r="A23" s="277" t="s">
        <v>68</v>
      </c>
      <c r="B23" s="278" t="s">
        <v>56</v>
      </c>
      <c r="C23" s="279">
        <v>123</v>
      </c>
      <c r="D23" s="279">
        <v>56</v>
      </c>
      <c r="E23" s="279">
        <v>5</v>
      </c>
      <c r="F23" s="280">
        <v>24490</v>
      </c>
      <c r="G23" s="279"/>
      <c r="H23" s="279"/>
      <c r="I23" s="279"/>
      <c r="J23" s="279"/>
      <c r="K23" s="279"/>
      <c r="L23" s="279"/>
      <c r="M23" s="279"/>
      <c r="N23" s="279"/>
      <c r="O23" s="281">
        <f t="shared" si="0"/>
        <v>1.2164207999999999</v>
      </c>
      <c r="P23" s="255">
        <f t="shared" si="1"/>
        <v>24490</v>
      </c>
      <c r="Q23" s="282">
        <f t="shared" si="9"/>
        <v>24490</v>
      </c>
      <c r="R23" s="283">
        <f t="shared" si="3"/>
        <v>24490</v>
      </c>
      <c r="S23" s="283">
        <f t="shared" si="4"/>
        <v>24490</v>
      </c>
      <c r="T23" s="284">
        <f t="shared" si="5"/>
        <v>24490</v>
      </c>
      <c r="U23" s="285">
        <f t="shared" si="6"/>
        <v>0</v>
      </c>
      <c r="V23" s="286">
        <f t="shared" si="7"/>
        <v>0</v>
      </c>
      <c r="W23" s="260">
        <f t="shared" si="8"/>
        <v>20132.835610834674</v>
      </c>
      <c r="Y23" s="261" t="s">
        <v>45</v>
      </c>
    </row>
    <row r="24" spans="1:25" s="261" customFormat="1" ht="12.4" customHeight="1">
      <c r="A24" s="287" t="s">
        <v>69</v>
      </c>
      <c r="B24" s="278" t="s">
        <v>56</v>
      </c>
      <c r="C24" s="279"/>
      <c r="D24" s="279"/>
      <c r="E24" s="279"/>
      <c r="F24" s="288">
        <v>15800</v>
      </c>
      <c r="G24" s="279"/>
      <c r="H24" s="279"/>
      <c r="I24" s="279"/>
      <c r="J24" s="279"/>
      <c r="K24" s="279"/>
      <c r="L24" s="279"/>
      <c r="M24" s="279"/>
      <c r="N24" s="279"/>
      <c r="O24" s="281">
        <f t="shared" si="0"/>
        <v>0</v>
      </c>
      <c r="P24" s="255">
        <f t="shared" si="1"/>
        <v>15800</v>
      </c>
      <c r="Q24" s="282">
        <f t="shared" si="9"/>
        <v>15800</v>
      </c>
      <c r="R24" s="283">
        <f t="shared" si="3"/>
        <v>15800</v>
      </c>
      <c r="S24" s="283">
        <f t="shared" si="4"/>
        <v>15800</v>
      </c>
      <c r="T24" s="284">
        <f t="shared" si="5"/>
        <v>15800</v>
      </c>
      <c r="U24" s="285">
        <f t="shared" si="6"/>
        <v>0</v>
      </c>
      <c r="V24" s="286">
        <f t="shared" si="7"/>
        <v>0</v>
      </c>
      <c r="W24" s="260" t="e">
        <f t="shared" si="8"/>
        <v>#DIV/0!</v>
      </c>
      <c r="Y24" s="261" t="s">
        <v>45</v>
      </c>
    </row>
    <row r="25" spans="1:25" s="261" customFormat="1">
      <c r="A25" s="289" t="s">
        <v>70</v>
      </c>
      <c r="B25" s="278" t="s">
        <v>56</v>
      </c>
      <c r="C25" s="279">
        <v>112</v>
      </c>
      <c r="D25" s="279">
        <v>51</v>
      </c>
      <c r="E25" s="279">
        <v>5</v>
      </c>
      <c r="F25" s="280">
        <v>14800</v>
      </c>
      <c r="G25" s="279"/>
      <c r="H25" s="279"/>
      <c r="I25" s="279"/>
      <c r="J25" s="279"/>
      <c r="K25" s="279"/>
      <c r="L25" s="279"/>
      <c r="M25" s="279"/>
      <c r="N25" s="279"/>
      <c r="O25" s="281">
        <f t="shared" si="0"/>
        <v>1.0087391999999999</v>
      </c>
      <c r="P25" s="255">
        <f t="shared" si="1"/>
        <v>14800</v>
      </c>
      <c r="Q25" s="282">
        <f t="shared" si="9"/>
        <v>14800</v>
      </c>
      <c r="R25" s="283">
        <f t="shared" si="3"/>
        <v>14800</v>
      </c>
      <c r="S25" s="283">
        <f t="shared" si="4"/>
        <v>14800</v>
      </c>
      <c r="T25" s="284">
        <f t="shared" si="5"/>
        <v>14800</v>
      </c>
      <c r="U25" s="285">
        <f t="shared" si="6"/>
        <v>0</v>
      </c>
      <c r="V25" s="286">
        <f t="shared" si="7"/>
        <v>0</v>
      </c>
      <c r="W25" s="260">
        <f t="shared" si="8"/>
        <v>14671.780376929935</v>
      </c>
      <c r="Y25" s="261" t="s">
        <v>47</v>
      </c>
    </row>
    <row r="26" spans="1:25" s="261" customFormat="1">
      <c r="A26" s="277" t="s">
        <v>71</v>
      </c>
      <c r="B26" s="278" t="s">
        <v>56</v>
      </c>
      <c r="C26" s="279">
        <v>111</v>
      </c>
      <c r="D26" s="279">
        <v>50</v>
      </c>
      <c r="E26" s="279">
        <v>8</v>
      </c>
      <c r="F26" s="280">
        <v>21750</v>
      </c>
      <c r="G26" s="279"/>
      <c r="H26" s="279"/>
      <c r="I26" s="279"/>
      <c r="J26" s="279"/>
      <c r="K26" s="279"/>
      <c r="L26" s="279"/>
      <c r="M26" s="279"/>
      <c r="N26" s="279"/>
      <c r="O26" s="281">
        <f t="shared" si="0"/>
        <v>1.568208</v>
      </c>
      <c r="P26" s="255">
        <f t="shared" si="1"/>
        <v>21750</v>
      </c>
      <c r="Q26" s="282">
        <f t="shared" si="9"/>
        <v>21750</v>
      </c>
      <c r="R26" s="283">
        <f t="shared" si="3"/>
        <v>21750</v>
      </c>
      <c r="S26" s="283">
        <f t="shared" si="4"/>
        <v>21750</v>
      </c>
      <c r="T26" s="284">
        <f t="shared" si="5"/>
        <v>21750</v>
      </c>
      <c r="U26" s="285">
        <f t="shared" si="6"/>
        <v>0</v>
      </c>
      <c r="V26" s="286">
        <f t="shared" si="7"/>
        <v>0</v>
      </c>
      <c r="W26" s="260">
        <f t="shared" si="8"/>
        <v>13869.333659820635</v>
      </c>
      <c r="Y26" s="261" t="s">
        <v>47</v>
      </c>
    </row>
    <row r="27" spans="1:25" s="261" customFormat="1" ht="12.4" customHeight="1">
      <c r="A27" s="290" t="s">
        <v>72</v>
      </c>
      <c r="B27" s="278" t="s">
        <v>56</v>
      </c>
      <c r="C27" s="279">
        <v>106</v>
      </c>
      <c r="D27" s="279">
        <v>50</v>
      </c>
      <c r="E27" s="279">
        <v>7</v>
      </c>
      <c r="F27" s="280">
        <v>12400</v>
      </c>
      <c r="G27" s="279"/>
      <c r="H27" s="279"/>
      <c r="I27" s="279"/>
      <c r="J27" s="279"/>
      <c r="K27" s="279"/>
      <c r="L27" s="279"/>
      <c r="M27" s="279"/>
      <c r="N27" s="279"/>
      <c r="O27" s="281">
        <f t="shared" si="0"/>
        <v>1.3103720000000001</v>
      </c>
      <c r="P27" s="255">
        <f t="shared" si="1"/>
        <v>12400</v>
      </c>
      <c r="Q27" s="282">
        <f t="shared" si="9"/>
        <v>12400</v>
      </c>
      <c r="R27" s="283">
        <f t="shared" si="3"/>
        <v>12400</v>
      </c>
      <c r="S27" s="283">
        <f t="shared" si="4"/>
        <v>12400</v>
      </c>
      <c r="T27" s="284">
        <f t="shared" si="5"/>
        <v>12400</v>
      </c>
      <c r="U27" s="285">
        <f t="shared" si="6"/>
        <v>0</v>
      </c>
      <c r="V27" s="286">
        <f t="shared" si="7"/>
        <v>0</v>
      </c>
      <c r="W27" s="260">
        <f t="shared" si="8"/>
        <v>9462.9616627949927</v>
      </c>
      <c r="Y27" s="261" t="s">
        <v>47</v>
      </c>
    </row>
    <row r="28" spans="1:25" s="261" customFormat="1">
      <c r="A28" s="277" t="s">
        <v>73</v>
      </c>
      <c r="B28" s="278" t="s">
        <v>56</v>
      </c>
      <c r="C28" s="279">
        <v>99</v>
      </c>
      <c r="D28" s="279">
        <v>50</v>
      </c>
      <c r="E28" s="279">
        <v>4</v>
      </c>
      <c r="F28" s="280">
        <v>6120</v>
      </c>
      <c r="G28" s="279"/>
      <c r="H28" s="279"/>
      <c r="I28" s="279"/>
      <c r="J28" s="279"/>
      <c r="K28" s="279"/>
      <c r="L28" s="279"/>
      <c r="M28" s="279"/>
      <c r="N28" s="279"/>
      <c r="O28" s="281">
        <f t="shared" si="0"/>
        <v>0.69933600000000007</v>
      </c>
      <c r="P28" s="255">
        <f t="shared" si="1"/>
        <v>6120</v>
      </c>
      <c r="Q28" s="282">
        <f t="shared" si="9"/>
        <v>6120</v>
      </c>
      <c r="R28" s="283">
        <f t="shared" si="3"/>
        <v>6120</v>
      </c>
      <c r="S28" s="283">
        <f t="shared" si="4"/>
        <v>6120</v>
      </c>
      <c r="T28" s="284">
        <f t="shared" si="5"/>
        <v>6120</v>
      </c>
      <c r="U28" s="285">
        <f t="shared" si="6"/>
        <v>0</v>
      </c>
      <c r="V28" s="286">
        <f t="shared" si="7"/>
        <v>0</v>
      </c>
      <c r="W28" s="260">
        <f t="shared" si="8"/>
        <v>8751.1582415319663</v>
      </c>
      <c r="Y28" s="261" t="s">
        <v>47</v>
      </c>
    </row>
    <row r="29" spans="1:25" s="261" customFormat="1" ht="12.4" customHeight="1">
      <c r="A29" s="277" t="s">
        <v>74</v>
      </c>
      <c r="B29" s="278" t="s">
        <v>56</v>
      </c>
      <c r="C29" s="279">
        <v>98</v>
      </c>
      <c r="D29" s="279">
        <v>51</v>
      </c>
      <c r="E29" s="279">
        <v>4</v>
      </c>
      <c r="F29" s="280">
        <v>11390</v>
      </c>
      <c r="G29" s="279"/>
      <c r="H29" s="279"/>
      <c r="I29" s="279"/>
      <c r="J29" s="279"/>
      <c r="K29" s="279"/>
      <c r="L29" s="279"/>
      <c r="M29" s="279"/>
      <c r="N29" s="279"/>
      <c r="O29" s="281">
        <f t="shared" si="0"/>
        <v>0.70611743999999999</v>
      </c>
      <c r="P29" s="255">
        <f t="shared" si="1"/>
        <v>11390</v>
      </c>
      <c r="Q29" s="282">
        <f t="shared" si="9"/>
        <v>11390</v>
      </c>
      <c r="R29" s="283">
        <f t="shared" si="3"/>
        <v>11390</v>
      </c>
      <c r="S29" s="283">
        <f t="shared" si="4"/>
        <v>11390</v>
      </c>
      <c r="T29" s="284">
        <f t="shared" si="5"/>
        <v>11390</v>
      </c>
      <c r="U29" s="285">
        <f t="shared" si="6"/>
        <v>0</v>
      </c>
      <c r="V29" s="286">
        <f t="shared" si="7"/>
        <v>0</v>
      </c>
      <c r="W29" s="260">
        <f t="shared" si="8"/>
        <v>16130.461244520458</v>
      </c>
      <c r="Y29" s="261" t="s">
        <v>47</v>
      </c>
    </row>
    <row r="30" spans="1:25" s="261" customFormat="1">
      <c r="A30" s="277" t="s">
        <v>75</v>
      </c>
      <c r="B30" s="278" t="s">
        <v>56</v>
      </c>
      <c r="C30" s="279">
        <v>75</v>
      </c>
      <c r="D30" s="279">
        <v>75</v>
      </c>
      <c r="E30" s="279">
        <v>4</v>
      </c>
      <c r="F30" s="280">
        <v>8200</v>
      </c>
      <c r="G30" s="279"/>
      <c r="H30" s="279"/>
      <c r="I30" s="279"/>
      <c r="J30" s="279"/>
      <c r="K30" s="279"/>
      <c r="L30" s="279"/>
      <c r="M30" s="279"/>
      <c r="N30" s="279"/>
      <c r="O30" s="281">
        <f t="shared" si="0"/>
        <v>0.79469999999999996</v>
      </c>
      <c r="P30" s="255">
        <f t="shared" si="1"/>
        <v>8200</v>
      </c>
      <c r="Q30" s="282">
        <f t="shared" si="9"/>
        <v>8200</v>
      </c>
      <c r="R30" s="283">
        <f t="shared" si="3"/>
        <v>8200</v>
      </c>
      <c r="S30" s="283">
        <f t="shared" si="4"/>
        <v>8200</v>
      </c>
      <c r="T30" s="284">
        <f t="shared" si="5"/>
        <v>8200</v>
      </c>
      <c r="U30" s="285">
        <f t="shared" si="6"/>
        <v>0</v>
      </c>
      <c r="V30" s="286">
        <f t="shared" si="7"/>
        <v>0</v>
      </c>
      <c r="W30" s="260">
        <f t="shared" si="8"/>
        <v>10318.359129231158</v>
      </c>
      <c r="Y30" s="261" t="s">
        <v>47</v>
      </c>
    </row>
    <row r="31" spans="1:25" s="261" customFormat="1" ht="12.4" customHeight="1">
      <c r="A31" s="277" t="s">
        <v>76</v>
      </c>
      <c r="B31" s="278" t="s">
        <v>56</v>
      </c>
      <c r="C31" s="279">
        <v>76</v>
      </c>
      <c r="D31" s="279">
        <v>76</v>
      </c>
      <c r="E31" s="279">
        <v>4</v>
      </c>
      <c r="F31" s="280">
        <v>12200</v>
      </c>
      <c r="G31" s="279"/>
      <c r="H31" s="279"/>
      <c r="I31" s="279"/>
      <c r="J31" s="279"/>
      <c r="K31" s="279"/>
      <c r="L31" s="279"/>
      <c r="M31" s="279"/>
      <c r="N31" s="279"/>
      <c r="O31" s="281">
        <f t="shared" si="0"/>
        <v>0.81603327999999997</v>
      </c>
      <c r="P31" s="255">
        <f t="shared" si="1"/>
        <v>12200</v>
      </c>
      <c r="Q31" s="282">
        <f t="shared" si="9"/>
        <v>12200</v>
      </c>
      <c r="R31" s="283">
        <f t="shared" si="3"/>
        <v>12200</v>
      </c>
      <c r="S31" s="283">
        <f t="shared" si="4"/>
        <v>12200</v>
      </c>
      <c r="T31" s="284">
        <f t="shared" si="5"/>
        <v>12200</v>
      </c>
      <c r="U31" s="285">
        <f t="shared" si="6"/>
        <v>0</v>
      </c>
      <c r="V31" s="286">
        <f t="shared" si="7"/>
        <v>0</v>
      </c>
      <c r="W31" s="260">
        <f t="shared" si="8"/>
        <v>14950.370651549898</v>
      </c>
      <c r="Y31" s="261" t="s">
        <v>47</v>
      </c>
    </row>
    <row r="32" spans="1:25" s="261" customFormat="1">
      <c r="A32" s="277" t="s">
        <v>77</v>
      </c>
      <c r="B32" s="278" t="s">
        <v>56</v>
      </c>
      <c r="C32" s="279">
        <v>105</v>
      </c>
      <c r="D32" s="279">
        <v>51</v>
      </c>
      <c r="E32" s="279">
        <v>7</v>
      </c>
      <c r="F32" s="288">
        <v>11800</v>
      </c>
      <c r="G32" s="279"/>
      <c r="H32" s="279"/>
      <c r="I32" s="279"/>
      <c r="J32" s="279"/>
      <c r="K32" s="279"/>
      <c r="L32" s="279"/>
      <c r="M32" s="279"/>
      <c r="N32" s="279"/>
      <c r="O32" s="281">
        <f t="shared" si="0"/>
        <v>1.3239702</v>
      </c>
      <c r="P32" s="255">
        <f t="shared" si="1"/>
        <v>11800</v>
      </c>
      <c r="Q32" s="282">
        <f t="shared" si="9"/>
        <v>11800</v>
      </c>
      <c r="R32" s="283">
        <f t="shared" si="3"/>
        <v>11800</v>
      </c>
      <c r="S32" s="283">
        <f t="shared" si="4"/>
        <v>11800</v>
      </c>
      <c r="T32" s="284">
        <f t="shared" si="5"/>
        <v>11800</v>
      </c>
      <c r="U32" s="285">
        <f t="shared" si="6"/>
        <v>0</v>
      </c>
      <c r="V32" s="286">
        <f t="shared" si="7"/>
        <v>0</v>
      </c>
      <c r="W32" s="260">
        <f t="shared" si="8"/>
        <v>8912.5873074786723</v>
      </c>
      <c r="Y32" s="261" t="s">
        <v>45</v>
      </c>
    </row>
    <row r="33" spans="1:25" s="261" customFormat="1">
      <c r="A33" s="277" t="s">
        <v>78</v>
      </c>
      <c r="B33" s="278" t="s">
        <v>56</v>
      </c>
      <c r="C33" s="279">
        <v>81</v>
      </c>
      <c r="D33" s="279">
        <v>80</v>
      </c>
      <c r="E33" s="279">
        <v>7</v>
      </c>
      <c r="F33" s="280">
        <v>16900</v>
      </c>
      <c r="G33" s="279"/>
      <c r="H33" s="279"/>
      <c r="I33" s="279"/>
      <c r="J33" s="279"/>
      <c r="K33" s="279"/>
      <c r="L33" s="279"/>
      <c r="M33" s="279"/>
      <c r="N33" s="279"/>
      <c r="O33" s="281">
        <f t="shared" si="0"/>
        <v>1.6021151999999999</v>
      </c>
      <c r="P33" s="255">
        <f t="shared" si="1"/>
        <v>16900</v>
      </c>
      <c r="Q33" s="282">
        <f t="shared" si="9"/>
        <v>16900</v>
      </c>
      <c r="R33" s="283">
        <f t="shared" si="3"/>
        <v>16900</v>
      </c>
      <c r="S33" s="283">
        <f t="shared" si="4"/>
        <v>16900</v>
      </c>
      <c r="T33" s="284">
        <f t="shared" si="5"/>
        <v>16900</v>
      </c>
      <c r="U33" s="285">
        <f t="shared" si="6"/>
        <v>0</v>
      </c>
      <c r="V33" s="286">
        <f t="shared" si="7"/>
        <v>0</v>
      </c>
      <c r="W33" s="260">
        <f t="shared" si="8"/>
        <v>10548.554810540467</v>
      </c>
      <c r="Y33" s="261" t="s">
        <v>47</v>
      </c>
    </row>
    <row r="34" spans="1:25" s="261" customFormat="1">
      <c r="A34" s="277" t="s">
        <v>79</v>
      </c>
      <c r="B34" s="278" t="s">
        <v>56</v>
      </c>
      <c r="C34" s="279">
        <v>114</v>
      </c>
      <c r="D34" s="279">
        <v>56</v>
      </c>
      <c r="E34" s="279">
        <v>7</v>
      </c>
      <c r="F34" s="288">
        <v>10850</v>
      </c>
      <c r="G34" s="279"/>
      <c r="H34" s="279"/>
      <c r="I34" s="279"/>
      <c r="J34" s="279"/>
      <c r="K34" s="279"/>
      <c r="L34" s="279"/>
      <c r="M34" s="279"/>
      <c r="N34" s="279"/>
      <c r="O34" s="281">
        <f t="shared" si="0"/>
        <v>1.57838016</v>
      </c>
      <c r="P34" s="255">
        <f t="shared" si="1"/>
        <v>10850</v>
      </c>
      <c r="Q34" s="282">
        <f t="shared" si="9"/>
        <v>10850</v>
      </c>
      <c r="R34" s="283">
        <f t="shared" si="3"/>
        <v>10850</v>
      </c>
      <c r="S34" s="283">
        <f t="shared" si="4"/>
        <v>10850</v>
      </c>
      <c r="T34" s="284">
        <f t="shared" si="5"/>
        <v>10850</v>
      </c>
      <c r="U34" s="285">
        <f t="shared" si="6"/>
        <v>0</v>
      </c>
      <c r="V34" s="286">
        <f t="shared" si="7"/>
        <v>0</v>
      </c>
      <c r="W34" s="260">
        <f t="shared" si="8"/>
        <v>6874.1360763176344</v>
      </c>
      <c r="Y34" s="261" t="s">
        <v>45</v>
      </c>
    </row>
    <row r="35" spans="1:25" s="261" customFormat="1">
      <c r="A35" s="277" t="s">
        <v>80</v>
      </c>
      <c r="B35" s="278" t="s">
        <v>56</v>
      </c>
      <c r="C35" s="279">
        <v>104</v>
      </c>
      <c r="D35" s="279">
        <v>60</v>
      </c>
      <c r="E35" s="279">
        <v>7</v>
      </c>
      <c r="F35" s="280">
        <v>17700</v>
      </c>
      <c r="G35" s="279"/>
      <c r="H35" s="279"/>
      <c r="I35" s="279"/>
      <c r="J35" s="279"/>
      <c r="K35" s="279"/>
      <c r="L35" s="279"/>
      <c r="M35" s="279"/>
      <c r="N35" s="279"/>
      <c r="O35" s="281">
        <f t="shared" si="0"/>
        <v>1.5427776</v>
      </c>
      <c r="P35" s="255">
        <f t="shared" si="1"/>
        <v>17700</v>
      </c>
      <c r="Q35" s="282">
        <f t="shared" si="9"/>
        <v>17700</v>
      </c>
      <c r="R35" s="283">
        <f t="shared" si="3"/>
        <v>17700</v>
      </c>
      <c r="S35" s="283">
        <f t="shared" si="4"/>
        <v>17700</v>
      </c>
      <c r="T35" s="284">
        <f t="shared" si="5"/>
        <v>17700</v>
      </c>
      <c r="U35" s="285">
        <f t="shared" si="6"/>
        <v>0</v>
      </c>
      <c r="V35" s="286">
        <f t="shared" si="7"/>
        <v>0</v>
      </c>
      <c r="W35" s="260">
        <f t="shared" si="8"/>
        <v>11472.813709506801</v>
      </c>
      <c r="Y35" s="261" t="s">
        <v>45</v>
      </c>
    </row>
    <row r="36" spans="1:25" s="261" customFormat="1">
      <c r="A36" s="277" t="s">
        <v>81</v>
      </c>
      <c r="B36" s="278" t="s">
        <v>56</v>
      </c>
      <c r="C36" s="279">
        <v>85</v>
      </c>
      <c r="D36" s="279">
        <v>84</v>
      </c>
      <c r="E36" s="279">
        <v>6</v>
      </c>
      <c r="F36" s="280">
        <v>17400</v>
      </c>
      <c r="G36" s="279"/>
      <c r="H36" s="279"/>
      <c r="I36" s="279"/>
      <c r="J36" s="279"/>
      <c r="K36" s="279"/>
      <c r="L36" s="279"/>
      <c r="M36" s="279"/>
      <c r="N36" s="279"/>
      <c r="O36" s="281">
        <f t="shared" si="0"/>
        <v>1.5131088000000001</v>
      </c>
      <c r="P36" s="255">
        <f t="shared" si="1"/>
        <v>17400</v>
      </c>
      <c r="Q36" s="282">
        <f t="shared" si="9"/>
        <v>17400</v>
      </c>
      <c r="R36" s="283">
        <f t="shared" si="3"/>
        <v>17400</v>
      </c>
      <c r="S36" s="283">
        <f t="shared" si="4"/>
        <v>17400</v>
      </c>
      <c r="T36" s="284">
        <f t="shared" si="5"/>
        <v>17400</v>
      </c>
      <c r="U36" s="285">
        <f t="shared" si="6"/>
        <v>0</v>
      </c>
      <c r="V36" s="286">
        <f t="shared" si="7"/>
        <v>0</v>
      </c>
      <c r="W36" s="260">
        <f t="shared" si="8"/>
        <v>11499.503538674811</v>
      </c>
      <c r="Y36" s="261" t="s">
        <v>45</v>
      </c>
    </row>
    <row r="37" spans="1:25" s="261" customFormat="1">
      <c r="A37" s="289" t="s">
        <v>82</v>
      </c>
      <c r="B37" s="278" t="s">
        <v>44</v>
      </c>
      <c r="C37" s="279">
        <v>70</v>
      </c>
      <c r="D37" s="279">
        <v>68</v>
      </c>
      <c r="E37" s="279">
        <v>8</v>
      </c>
      <c r="F37" s="280">
        <v>6920</v>
      </c>
      <c r="G37" s="279">
        <v>52</v>
      </c>
      <c r="H37" s="279">
        <v>12</v>
      </c>
      <c r="I37" s="279">
        <v>12</v>
      </c>
      <c r="J37" s="279">
        <v>1200</v>
      </c>
      <c r="K37" s="279"/>
      <c r="L37" s="279"/>
      <c r="M37" s="279"/>
      <c r="N37" s="279"/>
      <c r="O37" s="281">
        <f t="shared" si="0"/>
        <v>1.6094617599999999</v>
      </c>
      <c r="P37" s="255">
        <f t="shared" si="1"/>
        <v>8120</v>
      </c>
      <c r="Q37" s="282">
        <f t="shared" si="9"/>
        <v>8120</v>
      </c>
      <c r="R37" s="283">
        <f t="shared" si="3"/>
        <v>8120</v>
      </c>
      <c r="S37" s="283">
        <f t="shared" si="4"/>
        <v>8120</v>
      </c>
      <c r="T37" s="284">
        <f t="shared" si="5"/>
        <v>8120</v>
      </c>
      <c r="U37" s="285">
        <f t="shared" si="6"/>
        <v>0</v>
      </c>
      <c r="V37" s="286">
        <f t="shared" si="7"/>
        <v>0</v>
      </c>
      <c r="W37" s="260">
        <f t="shared" si="8"/>
        <v>5045.1649127718329</v>
      </c>
      <c r="Y37" s="261" t="s">
        <v>47</v>
      </c>
    </row>
    <row r="38" spans="1:25" s="261" customFormat="1" ht="12.4" customHeight="1">
      <c r="A38" s="289" t="s">
        <v>83</v>
      </c>
      <c r="B38" s="278" t="s">
        <v>44</v>
      </c>
      <c r="C38" s="279">
        <v>100</v>
      </c>
      <c r="D38" s="279">
        <v>54</v>
      </c>
      <c r="E38" s="279">
        <v>4</v>
      </c>
      <c r="F38" s="280">
        <v>5400</v>
      </c>
      <c r="G38" s="279">
        <v>52</v>
      </c>
      <c r="H38" s="279">
        <v>12</v>
      </c>
      <c r="I38" s="279">
        <v>12</v>
      </c>
      <c r="J38" s="279">
        <v>1200</v>
      </c>
      <c r="K38" s="279"/>
      <c r="L38" s="279"/>
      <c r="M38" s="279"/>
      <c r="N38" s="279"/>
      <c r="O38" s="281">
        <f t="shared" si="0"/>
        <v>1.0273881599999999</v>
      </c>
      <c r="P38" s="255">
        <f t="shared" si="1"/>
        <v>6600</v>
      </c>
      <c r="Q38" s="282">
        <f t="shared" si="9"/>
        <v>6600</v>
      </c>
      <c r="R38" s="283">
        <f t="shared" si="3"/>
        <v>6600</v>
      </c>
      <c r="S38" s="283">
        <f t="shared" si="4"/>
        <v>6600</v>
      </c>
      <c r="T38" s="284">
        <f t="shared" si="5"/>
        <v>6600</v>
      </c>
      <c r="U38" s="285">
        <f t="shared" si="6"/>
        <v>0</v>
      </c>
      <c r="V38" s="286">
        <f t="shared" si="7"/>
        <v>0</v>
      </c>
      <c r="W38" s="260">
        <f t="shared" si="8"/>
        <v>6424.0569017264133</v>
      </c>
      <c r="Y38" s="261" t="s">
        <v>47</v>
      </c>
    </row>
    <row r="39" spans="1:25" s="261" customFormat="1">
      <c r="A39" s="289" t="s">
        <v>84</v>
      </c>
      <c r="B39" s="278" t="s">
        <v>44</v>
      </c>
      <c r="C39" s="279">
        <v>80</v>
      </c>
      <c r="D39" s="279">
        <v>80</v>
      </c>
      <c r="E39" s="279">
        <v>5</v>
      </c>
      <c r="F39" s="280">
        <v>6195</v>
      </c>
      <c r="G39" s="279">
        <v>52</v>
      </c>
      <c r="H39" s="279">
        <v>12</v>
      </c>
      <c r="I39" s="279">
        <v>12</v>
      </c>
      <c r="J39" s="279">
        <v>1200</v>
      </c>
      <c r="K39" s="279"/>
      <c r="L39" s="279"/>
      <c r="M39" s="279"/>
      <c r="N39" s="279"/>
      <c r="O39" s="281">
        <f t="shared" si="0"/>
        <v>1.39471616</v>
      </c>
      <c r="P39" s="255">
        <f t="shared" si="1"/>
        <v>7395</v>
      </c>
      <c r="Q39" s="282">
        <f t="shared" si="9"/>
        <v>7395</v>
      </c>
      <c r="R39" s="283">
        <f t="shared" si="3"/>
        <v>7395</v>
      </c>
      <c r="S39" s="283">
        <f t="shared" si="4"/>
        <v>7395</v>
      </c>
      <c r="T39" s="284">
        <f t="shared" si="5"/>
        <v>7395</v>
      </c>
      <c r="U39" s="285">
        <f t="shared" si="6"/>
        <v>0</v>
      </c>
      <c r="V39" s="286">
        <f t="shared" si="7"/>
        <v>0</v>
      </c>
      <c r="W39" s="260">
        <f t="shared" si="8"/>
        <v>5302.154095640507</v>
      </c>
      <c r="Y39" s="261" t="s">
        <v>47</v>
      </c>
    </row>
    <row r="40" spans="1:25" s="261" customFormat="1" ht="12.4" customHeight="1">
      <c r="A40" s="277" t="s">
        <v>85</v>
      </c>
      <c r="B40" s="278" t="s">
        <v>56</v>
      </c>
      <c r="C40" s="279">
        <v>85</v>
      </c>
      <c r="D40" s="279">
        <v>45</v>
      </c>
      <c r="E40" s="279">
        <v>6</v>
      </c>
      <c r="F40" s="280">
        <v>10800</v>
      </c>
      <c r="G40" s="279"/>
      <c r="H40" s="279"/>
      <c r="I40" s="279"/>
      <c r="J40" s="279"/>
      <c r="K40" s="279"/>
      <c r="L40" s="279"/>
      <c r="M40" s="279"/>
      <c r="N40" s="279"/>
      <c r="O40" s="281">
        <f t="shared" si="0"/>
        <v>0.81059400000000004</v>
      </c>
      <c r="P40" s="255">
        <f t="shared" si="1"/>
        <v>10800</v>
      </c>
      <c r="Q40" s="282">
        <f t="shared" si="9"/>
        <v>10800</v>
      </c>
      <c r="R40" s="283">
        <f t="shared" si="3"/>
        <v>10800</v>
      </c>
      <c r="S40" s="283">
        <f t="shared" si="4"/>
        <v>10800</v>
      </c>
      <c r="T40" s="284">
        <f t="shared" si="5"/>
        <v>10800</v>
      </c>
      <c r="U40" s="285">
        <f t="shared" si="6"/>
        <v>0</v>
      </c>
      <c r="V40" s="286">
        <f t="shared" si="7"/>
        <v>0</v>
      </c>
      <c r="W40" s="260">
        <f t="shared" si="8"/>
        <v>13323.562720671507</v>
      </c>
      <c r="Y40" s="261" t="s">
        <v>47</v>
      </c>
    </row>
    <row r="41" spans="1:25" s="261" customFormat="1">
      <c r="A41" s="277" t="s">
        <v>86</v>
      </c>
      <c r="B41" s="278" t="s">
        <v>56</v>
      </c>
      <c r="C41" s="279">
        <v>76</v>
      </c>
      <c r="D41" s="279">
        <v>76</v>
      </c>
      <c r="E41" s="279">
        <v>5</v>
      </c>
      <c r="F41" s="280">
        <v>12460</v>
      </c>
      <c r="G41" s="279"/>
      <c r="H41" s="279"/>
      <c r="I41" s="279"/>
      <c r="J41" s="279"/>
      <c r="K41" s="279"/>
      <c r="L41" s="279"/>
      <c r="M41" s="279"/>
      <c r="N41" s="279"/>
      <c r="O41" s="281">
        <f t="shared" si="0"/>
        <v>1.0200415999999999</v>
      </c>
      <c r="P41" s="255">
        <f t="shared" si="1"/>
        <v>12460</v>
      </c>
      <c r="Q41" s="282">
        <f t="shared" si="9"/>
        <v>12460</v>
      </c>
      <c r="R41" s="283">
        <f t="shared" si="3"/>
        <v>12460</v>
      </c>
      <c r="S41" s="283">
        <f t="shared" si="4"/>
        <v>12460</v>
      </c>
      <c r="T41" s="284">
        <f t="shared" si="5"/>
        <v>12460</v>
      </c>
      <c r="U41" s="285">
        <f t="shared" si="6"/>
        <v>0</v>
      </c>
      <c r="V41" s="286">
        <f t="shared" si="7"/>
        <v>0</v>
      </c>
      <c r="W41" s="260">
        <f t="shared" si="8"/>
        <v>12215.188086446671</v>
      </c>
      <c r="Y41" s="261" t="s">
        <v>47</v>
      </c>
    </row>
    <row r="42" spans="1:25" s="261" customFormat="1">
      <c r="A42" s="277" t="s">
        <v>87</v>
      </c>
      <c r="B42" s="278" t="s">
        <v>56</v>
      </c>
      <c r="C42" s="279">
        <v>101</v>
      </c>
      <c r="D42" s="279">
        <v>47</v>
      </c>
      <c r="E42" s="279">
        <v>5</v>
      </c>
      <c r="F42" s="280">
        <v>12400</v>
      </c>
      <c r="G42" s="279"/>
      <c r="H42" s="279"/>
      <c r="I42" s="279"/>
      <c r="J42" s="279"/>
      <c r="K42" s="279"/>
      <c r="L42" s="279"/>
      <c r="M42" s="279"/>
      <c r="N42" s="279"/>
      <c r="O42" s="281">
        <f t="shared" si="0"/>
        <v>0.83832019999999996</v>
      </c>
      <c r="P42" s="255">
        <f t="shared" si="1"/>
        <v>12400</v>
      </c>
      <c r="Q42" s="282">
        <f t="shared" si="9"/>
        <v>12400</v>
      </c>
      <c r="R42" s="283">
        <f t="shared" si="3"/>
        <v>12400</v>
      </c>
      <c r="S42" s="283">
        <f t="shared" si="4"/>
        <v>12400</v>
      </c>
      <c r="T42" s="284">
        <f t="shared" si="5"/>
        <v>12400</v>
      </c>
      <c r="U42" s="285">
        <f t="shared" si="6"/>
        <v>0</v>
      </c>
      <c r="V42" s="286">
        <f t="shared" si="7"/>
        <v>0</v>
      </c>
      <c r="W42" s="260">
        <f t="shared" si="8"/>
        <v>14791.484208539889</v>
      </c>
      <c r="Y42" s="261" t="s">
        <v>45</v>
      </c>
    </row>
    <row r="43" spans="1:25" s="261" customFormat="1">
      <c r="A43" s="277" t="s">
        <v>88</v>
      </c>
      <c r="B43" s="278" t="s">
        <v>56</v>
      </c>
      <c r="C43" s="291">
        <v>105</v>
      </c>
      <c r="D43" s="291">
        <v>65</v>
      </c>
      <c r="E43" s="291">
        <v>4</v>
      </c>
      <c r="F43" s="288">
        <v>9640</v>
      </c>
      <c r="G43" s="279"/>
      <c r="H43" s="279"/>
      <c r="I43" s="279"/>
      <c r="J43" s="279"/>
      <c r="K43" s="279"/>
      <c r="L43" s="279"/>
      <c r="M43" s="279"/>
      <c r="N43" s="279"/>
      <c r="O43" s="281">
        <f t="shared" si="0"/>
        <v>0.96423600000000009</v>
      </c>
      <c r="P43" s="255">
        <f t="shared" si="1"/>
        <v>9640</v>
      </c>
      <c r="Q43" s="282">
        <f t="shared" si="9"/>
        <v>9640</v>
      </c>
      <c r="R43" s="283">
        <f t="shared" si="3"/>
        <v>9640</v>
      </c>
      <c r="S43" s="283">
        <f t="shared" si="4"/>
        <v>9640</v>
      </c>
      <c r="T43" s="284">
        <f t="shared" si="5"/>
        <v>9640</v>
      </c>
      <c r="U43" s="285">
        <f t="shared" si="6"/>
        <v>0</v>
      </c>
      <c r="V43" s="286">
        <f t="shared" si="7"/>
        <v>0</v>
      </c>
      <c r="W43" s="260">
        <f t="shared" si="8"/>
        <v>9997.552466408637</v>
      </c>
      <c r="Y43" s="261" t="s">
        <v>45</v>
      </c>
    </row>
    <row r="44" spans="1:25" s="322" customFormat="1">
      <c r="A44" s="310" t="s">
        <v>89</v>
      </c>
      <c r="B44" s="311" t="s">
        <v>56</v>
      </c>
      <c r="C44" s="312">
        <v>100</v>
      </c>
      <c r="D44" s="312">
        <v>50</v>
      </c>
      <c r="E44" s="312">
        <v>5</v>
      </c>
      <c r="F44" s="313">
        <v>9000</v>
      </c>
      <c r="G44" s="312"/>
      <c r="H44" s="312"/>
      <c r="I44" s="312"/>
      <c r="J44" s="312"/>
      <c r="K44" s="312"/>
      <c r="L44" s="312"/>
      <c r="M44" s="312"/>
      <c r="N44" s="312"/>
      <c r="O44" s="314">
        <f t="shared" si="0"/>
        <v>0.88300000000000001</v>
      </c>
      <c r="P44" s="315">
        <f t="shared" si="1"/>
        <v>9000</v>
      </c>
      <c r="Q44" s="316">
        <f t="shared" si="9"/>
        <v>9000</v>
      </c>
      <c r="R44" s="317">
        <f t="shared" si="3"/>
        <v>9000</v>
      </c>
      <c r="S44" s="317">
        <f t="shared" si="4"/>
        <v>9000</v>
      </c>
      <c r="T44" s="318">
        <f t="shared" si="5"/>
        <v>9000</v>
      </c>
      <c r="U44" s="319">
        <f t="shared" si="6"/>
        <v>0</v>
      </c>
      <c r="V44" s="320">
        <f t="shared" si="7"/>
        <v>0</v>
      </c>
      <c r="W44" s="321">
        <f t="shared" si="8"/>
        <v>10192.525481313703</v>
      </c>
      <c r="Y44" s="322" t="s">
        <v>45</v>
      </c>
    </row>
    <row r="45" spans="1:25" s="261" customFormat="1">
      <c r="A45" s="277" t="s">
        <v>90</v>
      </c>
      <c r="B45" s="278" t="s">
        <v>56</v>
      </c>
      <c r="C45" s="279">
        <v>85</v>
      </c>
      <c r="D45" s="279">
        <v>49</v>
      </c>
      <c r="E45" s="279">
        <v>7</v>
      </c>
      <c r="F45" s="280">
        <v>11890</v>
      </c>
      <c r="G45" s="279"/>
      <c r="H45" s="279"/>
      <c r="I45" s="279"/>
      <c r="J45" s="279"/>
      <c r="K45" s="279"/>
      <c r="L45" s="279"/>
      <c r="M45" s="279"/>
      <c r="N45" s="279"/>
      <c r="O45" s="281">
        <f t="shared" si="0"/>
        <v>1.0297546</v>
      </c>
      <c r="P45" s="255">
        <f t="shared" si="1"/>
        <v>11890</v>
      </c>
      <c r="Q45" s="282">
        <f t="shared" si="9"/>
        <v>11890</v>
      </c>
      <c r="R45" s="283">
        <f t="shared" si="3"/>
        <v>11890</v>
      </c>
      <c r="S45" s="283">
        <f t="shared" si="4"/>
        <v>11890</v>
      </c>
      <c r="T45" s="284">
        <f t="shared" si="5"/>
        <v>11890</v>
      </c>
      <c r="U45" s="285">
        <f t="shared" si="6"/>
        <v>0</v>
      </c>
      <c r="V45" s="286">
        <f t="shared" si="7"/>
        <v>0</v>
      </c>
      <c r="W45" s="260">
        <f t="shared" si="8"/>
        <v>11546.440287812262</v>
      </c>
      <c r="Y45" s="261" t="s">
        <v>47</v>
      </c>
    </row>
    <row r="46" spans="1:25" s="261" customFormat="1">
      <c r="A46" s="277" t="s">
        <v>91</v>
      </c>
      <c r="B46" s="278" t="s">
        <v>56</v>
      </c>
      <c r="C46" s="279">
        <v>80</v>
      </c>
      <c r="D46" s="279">
        <v>66</v>
      </c>
      <c r="E46" s="279">
        <v>8</v>
      </c>
      <c r="F46" s="280">
        <v>11850</v>
      </c>
      <c r="G46" s="279"/>
      <c r="H46" s="279"/>
      <c r="I46" s="279"/>
      <c r="J46" s="279"/>
      <c r="K46" s="279"/>
      <c r="L46" s="279"/>
      <c r="M46" s="279"/>
      <c r="N46" s="279"/>
      <c r="O46" s="281">
        <f t="shared" si="0"/>
        <v>1.4919168</v>
      </c>
      <c r="P46" s="255">
        <f t="shared" si="1"/>
        <v>11850</v>
      </c>
      <c r="Q46" s="282">
        <f t="shared" si="9"/>
        <v>11850</v>
      </c>
      <c r="R46" s="283">
        <f t="shared" si="3"/>
        <v>11850</v>
      </c>
      <c r="S46" s="283">
        <f t="shared" si="4"/>
        <v>11850</v>
      </c>
      <c r="T46" s="284">
        <f t="shared" si="5"/>
        <v>11850</v>
      </c>
      <c r="U46" s="285">
        <f t="shared" si="6"/>
        <v>0</v>
      </c>
      <c r="V46" s="286">
        <f t="shared" si="7"/>
        <v>0</v>
      </c>
      <c r="W46" s="260">
        <f t="shared" si="8"/>
        <v>7942.8021723463398</v>
      </c>
      <c r="Y46" s="261" t="s">
        <v>47</v>
      </c>
    </row>
    <row r="47" spans="1:25" s="261" customFormat="1">
      <c r="A47" s="277" t="s">
        <v>92</v>
      </c>
      <c r="B47" s="278" t="s">
        <v>56</v>
      </c>
      <c r="C47" s="279">
        <v>95</v>
      </c>
      <c r="D47" s="279">
        <v>50</v>
      </c>
      <c r="E47" s="279">
        <v>7</v>
      </c>
      <c r="F47" s="288">
        <v>12850</v>
      </c>
      <c r="G47" s="279"/>
      <c r="H47" s="279"/>
      <c r="I47" s="279"/>
      <c r="J47" s="279"/>
      <c r="K47" s="279"/>
      <c r="L47" s="279"/>
      <c r="M47" s="279"/>
      <c r="N47" s="279"/>
      <c r="O47" s="281">
        <f t="shared" si="0"/>
        <v>1.17439</v>
      </c>
      <c r="P47" s="255">
        <f t="shared" si="1"/>
        <v>12850</v>
      </c>
      <c r="Q47" s="282">
        <f t="shared" si="9"/>
        <v>12850</v>
      </c>
      <c r="R47" s="283">
        <f t="shared" si="3"/>
        <v>12850</v>
      </c>
      <c r="S47" s="283">
        <f t="shared" si="4"/>
        <v>12850</v>
      </c>
      <c r="T47" s="284">
        <f t="shared" si="5"/>
        <v>12850</v>
      </c>
      <c r="U47" s="285">
        <f t="shared" si="6"/>
        <v>0</v>
      </c>
      <c r="V47" s="286">
        <f t="shared" si="7"/>
        <v>0</v>
      </c>
      <c r="W47" s="260">
        <f t="shared" si="8"/>
        <v>10941.850662897334</v>
      </c>
      <c r="Y47" s="261" t="s">
        <v>45</v>
      </c>
    </row>
    <row r="48" spans="1:25" s="261" customFormat="1">
      <c r="A48" s="277" t="s">
        <v>93</v>
      </c>
      <c r="B48" s="278" t="s">
        <v>56</v>
      </c>
      <c r="C48" s="279">
        <v>102</v>
      </c>
      <c r="D48" s="279">
        <v>57</v>
      </c>
      <c r="E48" s="279">
        <v>6</v>
      </c>
      <c r="F48" s="280">
        <v>12000</v>
      </c>
      <c r="G48" s="279"/>
      <c r="H48" s="279"/>
      <c r="I48" s="279"/>
      <c r="J48" s="279"/>
      <c r="K48" s="279"/>
      <c r="L48" s="279"/>
      <c r="M48" s="279"/>
      <c r="N48" s="279"/>
      <c r="O48" s="281">
        <f>((IFERROR((C48*D48*E48),0)+IFERROR((G48*H48*I48),0)+IFERROR((K48*L48*M48),0))/1000000)*35.32</f>
        <v>1.23210288</v>
      </c>
      <c r="P48" s="255">
        <f t="shared" si="1"/>
        <v>12000</v>
      </c>
      <c r="Q48" s="282">
        <f t="shared" si="9"/>
        <v>12000</v>
      </c>
      <c r="R48" s="283">
        <f t="shared" si="3"/>
        <v>12000</v>
      </c>
      <c r="S48" s="283">
        <f t="shared" si="4"/>
        <v>12000</v>
      </c>
      <c r="T48" s="284">
        <f t="shared" si="5"/>
        <v>12000</v>
      </c>
      <c r="U48" s="285">
        <f t="shared" si="6"/>
        <v>0</v>
      </c>
      <c r="V48" s="286">
        <f t="shared" si="7"/>
        <v>0</v>
      </c>
      <c r="W48" s="260">
        <f t="shared" si="8"/>
        <v>9739.4464332394055</v>
      </c>
      <c r="Y48" s="261" t="s">
        <v>45</v>
      </c>
    </row>
    <row r="49" spans="1:25" s="261" customFormat="1">
      <c r="A49" s="277" t="s">
        <v>94</v>
      </c>
      <c r="B49" s="278" t="s">
        <v>56</v>
      </c>
      <c r="C49" s="279">
        <v>110</v>
      </c>
      <c r="D49" s="279">
        <v>50</v>
      </c>
      <c r="E49" s="279">
        <v>5</v>
      </c>
      <c r="F49" s="280">
        <v>12750</v>
      </c>
      <c r="G49" s="279"/>
      <c r="H49" s="279"/>
      <c r="I49" s="279"/>
      <c r="J49" s="279"/>
      <c r="K49" s="279"/>
      <c r="L49" s="279"/>
      <c r="M49" s="279"/>
      <c r="N49" s="279"/>
      <c r="O49" s="281">
        <f t="shared" si="0"/>
        <v>0.97130000000000005</v>
      </c>
      <c r="P49" s="255">
        <f t="shared" si="1"/>
        <v>12750</v>
      </c>
      <c r="Q49" s="282">
        <f t="shared" si="9"/>
        <v>12750</v>
      </c>
      <c r="R49" s="283">
        <f t="shared" si="3"/>
        <v>12750</v>
      </c>
      <c r="S49" s="283">
        <f t="shared" si="4"/>
        <v>12750</v>
      </c>
      <c r="T49" s="284">
        <f t="shared" si="5"/>
        <v>12750</v>
      </c>
      <c r="U49" s="285">
        <f t="shared" si="6"/>
        <v>0</v>
      </c>
      <c r="V49" s="286">
        <f t="shared" si="7"/>
        <v>0</v>
      </c>
      <c r="W49" s="260">
        <f t="shared" si="8"/>
        <v>13126.73736229795</v>
      </c>
      <c r="Y49" s="261" t="s">
        <v>45</v>
      </c>
    </row>
    <row r="50" spans="1:25" s="322" customFormat="1" ht="15">
      <c r="A50" s="324" t="s">
        <v>95</v>
      </c>
      <c r="B50" s="311" t="s">
        <v>56</v>
      </c>
      <c r="C50" s="325">
        <v>87</v>
      </c>
      <c r="D50" s="325">
        <v>45</v>
      </c>
      <c r="E50" s="325">
        <v>8</v>
      </c>
      <c r="F50" s="325">
        <v>9500</v>
      </c>
      <c r="G50" s="312"/>
      <c r="H50" s="312"/>
      <c r="I50" s="312"/>
      <c r="J50" s="312"/>
      <c r="K50" s="312"/>
      <c r="L50" s="312"/>
      <c r="M50" s="312"/>
      <c r="N50" s="312"/>
      <c r="O50" s="314">
        <f t="shared" si="0"/>
        <v>1.1062224000000001</v>
      </c>
      <c r="P50" s="315">
        <f t="shared" si="1"/>
        <v>9500</v>
      </c>
      <c r="Q50" s="316">
        <f t="shared" si="9"/>
        <v>9500</v>
      </c>
      <c r="R50" s="317">
        <f t="shared" si="3"/>
        <v>9500</v>
      </c>
      <c r="S50" s="317">
        <f t="shared" si="4"/>
        <v>9500</v>
      </c>
      <c r="T50" s="318">
        <f t="shared" si="5"/>
        <v>9500</v>
      </c>
      <c r="U50" s="319">
        <f t="shared" si="6"/>
        <v>0</v>
      </c>
      <c r="V50" s="320">
        <f t="shared" si="7"/>
        <v>0</v>
      </c>
      <c r="W50" s="321">
        <f t="shared" si="8"/>
        <v>8587.7848794238835</v>
      </c>
      <c r="Y50" s="322" t="s">
        <v>45</v>
      </c>
    </row>
    <row r="51" spans="1:25" s="322" customFormat="1">
      <c r="A51" s="310" t="s">
        <v>96</v>
      </c>
      <c r="B51" s="311" t="s">
        <v>56</v>
      </c>
      <c r="C51" s="312">
        <v>88</v>
      </c>
      <c r="D51" s="312">
        <v>45</v>
      </c>
      <c r="E51" s="312">
        <v>9</v>
      </c>
      <c r="F51" s="323">
        <v>15400</v>
      </c>
      <c r="G51" s="312"/>
      <c r="H51" s="312"/>
      <c r="I51" s="312"/>
      <c r="J51" s="312"/>
      <c r="K51" s="312"/>
      <c r="L51" s="312"/>
      <c r="M51" s="312"/>
      <c r="N51" s="312"/>
      <c r="O51" s="314">
        <f t="shared" si="0"/>
        <v>1.2588047999999998</v>
      </c>
      <c r="P51" s="315">
        <f t="shared" si="1"/>
        <v>15400</v>
      </c>
      <c r="Q51" s="316">
        <f t="shared" si="9"/>
        <v>15400</v>
      </c>
      <c r="R51" s="317">
        <f t="shared" si="3"/>
        <v>15400</v>
      </c>
      <c r="S51" s="317">
        <f t="shared" si="4"/>
        <v>15400</v>
      </c>
      <c r="T51" s="318">
        <f t="shared" si="5"/>
        <v>15400</v>
      </c>
      <c r="U51" s="319">
        <f t="shared" si="6"/>
        <v>0</v>
      </c>
      <c r="V51" s="320">
        <f t="shared" si="7"/>
        <v>0</v>
      </c>
      <c r="W51" s="321">
        <f t="shared" si="8"/>
        <v>12233.8268808635</v>
      </c>
      <c r="Y51" s="322" t="s">
        <v>47</v>
      </c>
    </row>
    <row r="52" spans="1:25">
      <c r="A52" s="178" t="s">
        <v>97</v>
      </c>
      <c r="B52" s="194" t="s">
        <v>56</v>
      </c>
      <c r="C52" s="200">
        <v>85</v>
      </c>
      <c r="D52" s="200">
        <v>49</v>
      </c>
      <c r="E52" s="200">
        <v>7</v>
      </c>
      <c r="F52" s="231">
        <v>35690</v>
      </c>
      <c r="G52" s="201"/>
      <c r="H52" s="201"/>
      <c r="I52" s="201"/>
      <c r="J52" s="201"/>
      <c r="K52" s="202"/>
      <c r="L52" s="202"/>
      <c r="M52" s="202"/>
      <c r="N52" s="202"/>
      <c r="O52" s="222">
        <f t="shared" si="0"/>
        <v>1.0297546</v>
      </c>
      <c r="P52" s="223">
        <f t="shared" si="1"/>
        <v>35690</v>
      </c>
      <c r="Q52" s="226">
        <f t="shared" si="9"/>
        <v>35690</v>
      </c>
      <c r="R52" s="225">
        <f t="shared" si="3"/>
        <v>35690</v>
      </c>
      <c r="S52" s="225">
        <f t="shared" si="4"/>
        <v>35690</v>
      </c>
      <c r="T52" s="135">
        <f t="shared" si="5"/>
        <v>35690</v>
      </c>
      <c r="U52" s="149">
        <f t="shared" si="6"/>
        <v>0</v>
      </c>
      <c r="V52" s="150">
        <f t="shared" si="7"/>
        <v>0</v>
      </c>
      <c r="W52" s="80">
        <f t="shared" si="8"/>
        <v>34658.742966528145</v>
      </c>
      <c r="Y52" s="53" t="s">
        <v>47</v>
      </c>
    </row>
    <row r="53" spans="1:25">
      <c r="A53" s="178" t="s">
        <v>98</v>
      </c>
      <c r="B53" s="194" t="s">
        <v>44</v>
      </c>
      <c r="C53" s="200">
        <v>127</v>
      </c>
      <c r="D53" s="200">
        <v>45</v>
      </c>
      <c r="E53" s="200">
        <v>13</v>
      </c>
      <c r="F53" s="231">
        <v>43220</v>
      </c>
      <c r="G53" s="201">
        <v>79</v>
      </c>
      <c r="H53" s="201">
        <v>45</v>
      </c>
      <c r="I53" s="201">
        <v>15</v>
      </c>
      <c r="J53" s="201">
        <v>24545</v>
      </c>
      <c r="K53" s="202"/>
      <c r="L53" s="202"/>
      <c r="M53" s="202"/>
      <c r="N53" s="202"/>
      <c r="O53" s="222">
        <f t="shared" si="0"/>
        <v>4.5075384000000005</v>
      </c>
      <c r="P53" s="223">
        <f t="shared" si="1"/>
        <v>67765</v>
      </c>
      <c r="Q53" s="226">
        <f t="shared" si="9"/>
        <v>67765</v>
      </c>
      <c r="R53" s="225">
        <f t="shared" si="3"/>
        <v>67765</v>
      </c>
      <c r="S53" s="225">
        <f t="shared" si="4"/>
        <v>67765</v>
      </c>
      <c r="T53" s="135">
        <f t="shared" si="5"/>
        <v>67765</v>
      </c>
      <c r="U53" s="149">
        <f t="shared" si="6"/>
        <v>0</v>
      </c>
      <c r="V53" s="150">
        <f t="shared" si="7"/>
        <v>0</v>
      </c>
      <c r="W53" s="80">
        <f t="shared" si="8"/>
        <v>15033.704427232387</v>
      </c>
      <c r="Y53" s="53" t="s">
        <v>47</v>
      </c>
    </row>
    <row r="54" spans="1:25">
      <c r="A54" s="178" t="s">
        <v>99</v>
      </c>
      <c r="B54" s="194" t="s">
        <v>56</v>
      </c>
      <c r="C54" s="200">
        <v>85</v>
      </c>
      <c r="D54" s="200">
        <v>50</v>
      </c>
      <c r="E54" s="200">
        <v>18</v>
      </c>
      <c r="F54" s="231">
        <v>40840</v>
      </c>
      <c r="G54" s="201"/>
      <c r="H54" s="201"/>
      <c r="I54" s="201"/>
      <c r="J54" s="201"/>
      <c r="K54" s="202"/>
      <c r="L54" s="202"/>
      <c r="M54" s="202"/>
      <c r="N54" s="202"/>
      <c r="O54" s="222">
        <f t="shared" si="0"/>
        <v>2.7019799999999998</v>
      </c>
      <c r="P54" s="223">
        <f t="shared" si="1"/>
        <v>40840</v>
      </c>
      <c r="Q54" s="226">
        <f t="shared" si="9"/>
        <v>40840</v>
      </c>
      <c r="R54" s="225">
        <f t="shared" si="3"/>
        <v>40840</v>
      </c>
      <c r="S54" s="225">
        <f t="shared" si="4"/>
        <v>40840</v>
      </c>
      <c r="T54" s="135">
        <f t="shared" si="5"/>
        <v>40840</v>
      </c>
      <c r="U54" s="149">
        <f t="shared" si="6"/>
        <v>0</v>
      </c>
      <c r="V54" s="150">
        <f t="shared" si="7"/>
        <v>0</v>
      </c>
      <c r="W54" s="80">
        <f t="shared" si="8"/>
        <v>15114.8417086729</v>
      </c>
      <c r="Y54" s="53" t="s">
        <v>47</v>
      </c>
    </row>
    <row r="55" spans="1:25" ht="12.4" customHeight="1">
      <c r="A55" s="132" t="s">
        <v>100</v>
      </c>
      <c r="B55" s="194" t="s">
        <v>56</v>
      </c>
      <c r="C55" s="200">
        <v>67</v>
      </c>
      <c r="D55" s="200">
        <v>40</v>
      </c>
      <c r="E55" s="200">
        <v>4</v>
      </c>
      <c r="F55" s="231">
        <v>5350</v>
      </c>
      <c r="G55" s="201"/>
      <c r="H55" s="201"/>
      <c r="I55" s="201"/>
      <c r="J55" s="201"/>
      <c r="K55" s="202"/>
      <c r="L55" s="202"/>
      <c r="M55" s="202"/>
      <c r="N55" s="202"/>
      <c r="O55" s="222">
        <f t="shared" si="0"/>
        <v>0.37863040000000003</v>
      </c>
      <c r="P55" s="223">
        <f t="shared" si="1"/>
        <v>5350</v>
      </c>
      <c r="Q55" s="226">
        <f t="shared" si="9"/>
        <v>5350</v>
      </c>
      <c r="R55" s="225">
        <f t="shared" si="3"/>
        <v>5350</v>
      </c>
      <c r="S55" s="225">
        <f t="shared" si="4"/>
        <v>5350</v>
      </c>
      <c r="T55" s="135">
        <f t="shared" si="5"/>
        <v>5350</v>
      </c>
      <c r="U55" s="149">
        <f t="shared" si="6"/>
        <v>0</v>
      </c>
      <c r="V55" s="150">
        <f t="shared" si="7"/>
        <v>0</v>
      </c>
      <c r="W55" s="80">
        <f t="shared" si="8"/>
        <v>14129.87441050692</v>
      </c>
      <c r="Y55" s="53" t="s">
        <v>45</v>
      </c>
    </row>
    <row r="56" spans="1:25">
      <c r="A56" s="132" t="s">
        <v>101</v>
      </c>
      <c r="B56" s="194" t="s">
        <v>56</v>
      </c>
      <c r="C56" s="200">
        <v>85</v>
      </c>
      <c r="D56" s="200">
        <v>85</v>
      </c>
      <c r="E56" s="200">
        <v>5</v>
      </c>
      <c r="F56" s="231">
        <v>9920</v>
      </c>
      <c r="G56" s="201"/>
      <c r="H56" s="201"/>
      <c r="I56" s="201"/>
      <c r="J56" s="201"/>
      <c r="K56" s="202"/>
      <c r="L56" s="202"/>
      <c r="M56" s="202"/>
      <c r="N56" s="202"/>
      <c r="O56" s="222">
        <f t="shared" si="0"/>
        <v>1.2759349999999998</v>
      </c>
      <c r="P56" s="223">
        <f t="shared" si="1"/>
        <v>9920</v>
      </c>
      <c r="Q56" s="226">
        <f t="shared" si="9"/>
        <v>9920</v>
      </c>
      <c r="R56" s="225">
        <f t="shared" si="3"/>
        <v>9920</v>
      </c>
      <c r="S56" s="225">
        <f t="shared" si="4"/>
        <v>9920</v>
      </c>
      <c r="T56" s="135">
        <f t="shared" si="5"/>
        <v>9920</v>
      </c>
      <c r="U56" s="149">
        <f t="shared" si="6"/>
        <v>0</v>
      </c>
      <c r="V56" s="150">
        <f t="shared" si="7"/>
        <v>0</v>
      </c>
      <c r="W56" s="80">
        <f t="shared" si="8"/>
        <v>7774.6907170036102</v>
      </c>
      <c r="Y56" s="53" t="s">
        <v>45</v>
      </c>
    </row>
    <row r="57" spans="1:25">
      <c r="A57" s="132" t="s">
        <v>102</v>
      </c>
      <c r="B57" s="194" t="s">
        <v>56</v>
      </c>
      <c r="C57" s="200">
        <v>158</v>
      </c>
      <c r="D57" s="200">
        <v>80</v>
      </c>
      <c r="E57" s="200">
        <v>4</v>
      </c>
      <c r="F57" s="231">
        <v>15110</v>
      </c>
      <c r="G57" s="201"/>
      <c r="H57" s="201"/>
      <c r="I57" s="201"/>
      <c r="J57" s="201"/>
      <c r="K57" s="202"/>
      <c r="L57" s="202"/>
      <c r="M57" s="202"/>
      <c r="N57" s="202"/>
      <c r="O57" s="222">
        <f t="shared" si="0"/>
        <v>1.7857792000000001</v>
      </c>
      <c r="P57" s="223">
        <f t="shared" si="1"/>
        <v>15110</v>
      </c>
      <c r="Q57" s="226">
        <f t="shared" si="9"/>
        <v>15110</v>
      </c>
      <c r="R57" s="225">
        <f t="shared" si="3"/>
        <v>15110</v>
      </c>
      <c r="S57" s="225">
        <f t="shared" si="4"/>
        <v>15110</v>
      </c>
      <c r="T57" s="135">
        <f t="shared" si="5"/>
        <v>15110</v>
      </c>
      <c r="U57" s="149">
        <f t="shared" si="6"/>
        <v>0</v>
      </c>
      <c r="V57" s="150">
        <f t="shared" si="7"/>
        <v>0</v>
      </c>
      <c r="W57" s="80">
        <f t="shared" si="8"/>
        <v>8461.2924150981253</v>
      </c>
      <c r="Y57" s="53" t="s">
        <v>47</v>
      </c>
    </row>
    <row r="58" spans="1:25">
      <c r="A58" s="132" t="s">
        <v>103</v>
      </c>
      <c r="B58" s="194" t="s">
        <v>56</v>
      </c>
      <c r="C58" s="200">
        <v>116</v>
      </c>
      <c r="D58" s="200">
        <v>40</v>
      </c>
      <c r="E58" s="200">
        <v>6</v>
      </c>
      <c r="F58" s="231">
        <v>6000</v>
      </c>
      <c r="G58" s="201"/>
      <c r="H58" s="201"/>
      <c r="I58" s="201"/>
      <c r="J58" s="201"/>
      <c r="K58" s="202"/>
      <c r="L58" s="202"/>
      <c r="M58" s="202"/>
      <c r="N58" s="202"/>
      <c r="O58" s="222">
        <f t="shared" si="0"/>
        <v>0.98330879999999998</v>
      </c>
      <c r="P58" s="223">
        <f t="shared" si="1"/>
        <v>6000</v>
      </c>
      <c r="Q58" s="226">
        <f t="shared" si="9"/>
        <v>6000</v>
      </c>
      <c r="R58" s="225">
        <f t="shared" si="3"/>
        <v>6000</v>
      </c>
      <c r="S58" s="225">
        <f t="shared" si="4"/>
        <v>6000</v>
      </c>
      <c r="T58" s="135">
        <f t="shared" si="5"/>
        <v>6000</v>
      </c>
      <c r="U58" s="149">
        <f t="shared" si="6"/>
        <v>0</v>
      </c>
      <c r="V58" s="150">
        <f t="shared" si="7"/>
        <v>0</v>
      </c>
      <c r="W58" s="80">
        <f t="shared" si="8"/>
        <v>6101.8471511696025</v>
      </c>
      <c r="Y58" s="53" t="s">
        <v>47</v>
      </c>
    </row>
    <row r="59" spans="1:25">
      <c r="A59" s="178" t="s">
        <v>104</v>
      </c>
      <c r="B59" s="194" t="s">
        <v>56</v>
      </c>
      <c r="C59" s="200">
        <v>68</v>
      </c>
      <c r="D59" s="200">
        <v>46</v>
      </c>
      <c r="E59" s="200">
        <v>5</v>
      </c>
      <c r="F59" s="231">
        <v>8810</v>
      </c>
      <c r="G59" s="201"/>
      <c r="H59" s="201"/>
      <c r="I59" s="201"/>
      <c r="J59" s="201"/>
      <c r="K59" s="202"/>
      <c r="L59" s="202"/>
      <c r="M59" s="202"/>
      <c r="N59" s="202"/>
      <c r="O59" s="222">
        <f t="shared" si="0"/>
        <v>0.55240480000000003</v>
      </c>
      <c r="P59" s="223">
        <f t="shared" si="1"/>
        <v>8810</v>
      </c>
      <c r="Q59" s="226">
        <f t="shared" si="9"/>
        <v>8810</v>
      </c>
      <c r="R59" s="225">
        <f t="shared" si="3"/>
        <v>8810</v>
      </c>
      <c r="S59" s="225">
        <f t="shared" si="4"/>
        <v>8810</v>
      </c>
      <c r="T59" s="135">
        <f t="shared" si="5"/>
        <v>8810</v>
      </c>
      <c r="U59" s="149">
        <f t="shared" si="6"/>
        <v>0</v>
      </c>
      <c r="V59" s="150">
        <f t="shared" si="7"/>
        <v>0</v>
      </c>
      <c r="W59" s="80">
        <f t="shared" si="8"/>
        <v>15948.449397977714</v>
      </c>
      <c r="Y59" s="53" t="s">
        <v>47</v>
      </c>
    </row>
    <row r="60" spans="1:25">
      <c r="A60" s="132" t="s">
        <v>105</v>
      </c>
      <c r="B60" s="194" t="s">
        <v>56</v>
      </c>
      <c r="C60" s="200">
        <v>83</v>
      </c>
      <c r="D60" s="200">
        <v>35</v>
      </c>
      <c r="E60" s="200">
        <v>7</v>
      </c>
      <c r="F60" s="231">
        <v>3700</v>
      </c>
      <c r="G60" s="201"/>
      <c r="H60" s="201"/>
      <c r="I60" s="201"/>
      <c r="J60" s="201"/>
      <c r="K60" s="202"/>
      <c r="L60" s="202"/>
      <c r="M60" s="202"/>
      <c r="N60" s="202"/>
      <c r="O60" s="222">
        <f t="shared" si="0"/>
        <v>0.71823219999999999</v>
      </c>
      <c r="P60" s="223">
        <f t="shared" si="1"/>
        <v>3700</v>
      </c>
      <c r="Q60" s="226">
        <f t="shared" si="9"/>
        <v>3700</v>
      </c>
      <c r="R60" s="225">
        <f t="shared" si="3"/>
        <v>3700</v>
      </c>
      <c r="S60" s="225">
        <f t="shared" si="4"/>
        <v>3700</v>
      </c>
      <c r="T60" s="135">
        <f t="shared" si="5"/>
        <v>3700</v>
      </c>
      <c r="U60" s="149">
        <f t="shared" si="6"/>
        <v>0</v>
      </c>
      <c r="V60" s="150">
        <f t="shared" si="7"/>
        <v>0</v>
      </c>
      <c r="W60" s="80">
        <f t="shared" si="8"/>
        <v>5151.5373440511303</v>
      </c>
      <c r="Y60" s="53" t="s">
        <v>47</v>
      </c>
    </row>
    <row r="61" spans="1:25">
      <c r="A61" s="132" t="s">
        <v>106</v>
      </c>
      <c r="B61" s="194" t="s">
        <v>56</v>
      </c>
      <c r="C61" s="200">
        <v>31</v>
      </c>
      <c r="D61" s="200">
        <v>27</v>
      </c>
      <c r="E61" s="200">
        <v>6</v>
      </c>
      <c r="F61" s="231">
        <v>1250</v>
      </c>
      <c r="G61" s="201"/>
      <c r="H61" s="201"/>
      <c r="I61" s="201"/>
      <c r="J61" s="201"/>
      <c r="K61" s="202"/>
      <c r="L61" s="202"/>
      <c r="M61" s="202"/>
      <c r="N61" s="202"/>
      <c r="O61" s="222">
        <f t="shared" si="0"/>
        <v>0.17737704000000001</v>
      </c>
      <c r="P61" s="223">
        <f t="shared" si="1"/>
        <v>1250</v>
      </c>
      <c r="Q61" s="226">
        <f t="shared" si="9"/>
        <v>1250</v>
      </c>
      <c r="R61" s="225">
        <f t="shared" si="3"/>
        <v>1250</v>
      </c>
      <c r="S61" s="225">
        <f t="shared" si="4"/>
        <v>1250</v>
      </c>
      <c r="T61" s="135">
        <f t="shared" si="5"/>
        <v>1250</v>
      </c>
      <c r="U61" s="149">
        <f t="shared" si="6"/>
        <v>0</v>
      </c>
      <c r="V61" s="150">
        <f t="shared" si="7"/>
        <v>0</v>
      </c>
      <c r="W61" s="80">
        <f t="shared" si="8"/>
        <v>7047.1353000365771</v>
      </c>
      <c r="Y61" s="53" t="s">
        <v>47</v>
      </c>
    </row>
    <row r="62" spans="1:25" ht="15">
      <c r="A62" s="129" t="s">
        <v>107</v>
      </c>
      <c r="B62" s="194" t="s">
        <v>56</v>
      </c>
      <c r="C62" s="200">
        <v>24</v>
      </c>
      <c r="D62" s="200">
        <v>11</v>
      </c>
      <c r="E62" s="200">
        <v>5</v>
      </c>
      <c r="F62" s="232">
        <v>300</v>
      </c>
      <c r="G62" s="201"/>
      <c r="H62" s="201"/>
      <c r="I62" s="201"/>
      <c r="J62" s="201"/>
      <c r="K62" s="202"/>
      <c r="L62" s="202"/>
      <c r="M62" s="202"/>
      <c r="N62" s="202"/>
      <c r="O62" s="222">
        <f t="shared" si="0"/>
        <v>4.6622400000000001E-2</v>
      </c>
      <c r="P62" s="223">
        <f t="shared" si="1"/>
        <v>300</v>
      </c>
      <c r="Q62" s="226">
        <f t="shared" si="9"/>
        <v>300</v>
      </c>
      <c r="R62" s="225">
        <f t="shared" si="3"/>
        <v>300</v>
      </c>
      <c r="S62" s="225">
        <f t="shared" si="4"/>
        <v>300</v>
      </c>
      <c r="T62" s="135">
        <f t="shared" si="5"/>
        <v>300</v>
      </c>
      <c r="U62" s="149">
        <f t="shared" si="6"/>
        <v>0</v>
      </c>
      <c r="V62" s="150">
        <f t="shared" si="7"/>
        <v>0</v>
      </c>
      <c r="W62" s="80">
        <f t="shared" si="8"/>
        <v>6434.6751775970351</v>
      </c>
      <c r="Y62" s="53" t="s">
        <v>45</v>
      </c>
    </row>
    <row r="63" spans="1:25">
      <c r="A63" s="178" t="s">
        <v>108</v>
      </c>
      <c r="B63" s="194" t="s">
        <v>56</v>
      </c>
      <c r="C63" s="200">
        <v>26</v>
      </c>
      <c r="D63" s="200">
        <v>25</v>
      </c>
      <c r="E63" s="200">
        <v>5</v>
      </c>
      <c r="F63" s="231">
        <v>800</v>
      </c>
      <c r="G63" s="201"/>
      <c r="H63" s="201"/>
      <c r="I63" s="201"/>
      <c r="J63" s="201"/>
      <c r="K63" s="202"/>
      <c r="L63" s="202"/>
      <c r="M63" s="202"/>
      <c r="N63" s="202"/>
      <c r="O63" s="222">
        <f t="shared" si="0"/>
        <v>0.11478999999999999</v>
      </c>
      <c r="P63" s="223">
        <f t="shared" si="1"/>
        <v>800</v>
      </c>
      <c r="Q63" s="226">
        <f t="shared" si="9"/>
        <v>800</v>
      </c>
      <c r="R63" s="225">
        <f t="shared" si="3"/>
        <v>800</v>
      </c>
      <c r="S63" s="225">
        <f t="shared" si="4"/>
        <v>800</v>
      </c>
      <c r="T63" s="135">
        <f t="shared" si="5"/>
        <v>800</v>
      </c>
      <c r="U63" s="149">
        <f t="shared" si="6"/>
        <v>0</v>
      </c>
      <c r="V63" s="150">
        <f t="shared" si="7"/>
        <v>0</v>
      </c>
      <c r="W63" s="80">
        <f t="shared" si="8"/>
        <v>6969.2481923512505</v>
      </c>
      <c r="Y63" s="53" t="s">
        <v>45</v>
      </c>
    </row>
    <row r="64" spans="1:25" ht="12.4" customHeight="1">
      <c r="A64" s="129" t="s">
        <v>109</v>
      </c>
      <c r="B64" s="194" t="s">
        <v>56</v>
      </c>
      <c r="C64" s="200">
        <v>22</v>
      </c>
      <c r="D64" s="200">
        <v>22</v>
      </c>
      <c r="E64" s="200">
        <v>4</v>
      </c>
      <c r="F64" s="232">
        <v>400</v>
      </c>
      <c r="G64" s="201"/>
      <c r="H64" s="201"/>
      <c r="I64" s="201"/>
      <c r="J64" s="201"/>
      <c r="K64" s="202"/>
      <c r="L64" s="202"/>
      <c r="M64" s="202"/>
      <c r="N64" s="202"/>
      <c r="O64" s="222">
        <f t="shared" si="0"/>
        <v>6.8379519999999999E-2</v>
      </c>
      <c r="P64" s="223">
        <f t="shared" si="1"/>
        <v>400</v>
      </c>
      <c r="Q64" s="226">
        <f t="shared" si="9"/>
        <v>400</v>
      </c>
      <c r="R64" s="225">
        <f t="shared" si="3"/>
        <v>400</v>
      </c>
      <c r="S64" s="225">
        <f t="shared" si="4"/>
        <v>400</v>
      </c>
      <c r="T64" s="135">
        <f t="shared" si="5"/>
        <v>400</v>
      </c>
      <c r="U64" s="149">
        <f t="shared" si="6"/>
        <v>0</v>
      </c>
      <c r="V64" s="150">
        <f t="shared" si="7"/>
        <v>0</v>
      </c>
      <c r="W64" s="80">
        <f t="shared" si="8"/>
        <v>5849.7047069063956</v>
      </c>
      <c r="Y64" s="53" t="s">
        <v>45</v>
      </c>
    </row>
    <row r="65" spans="1:25">
      <c r="A65" s="132" t="s">
        <v>110</v>
      </c>
      <c r="B65" s="194" t="s">
        <v>56</v>
      </c>
      <c r="C65" s="200">
        <v>35</v>
      </c>
      <c r="D65" s="200">
        <v>32</v>
      </c>
      <c r="E65" s="200">
        <v>6</v>
      </c>
      <c r="F65" s="231">
        <v>900</v>
      </c>
      <c r="G65" s="201"/>
      <c r="H65" s="201"/>
      <c r="I65" s="201"/>
      <c r="J65" s="201"/>
      <c r="K65" s="202"/>
      <c r="L65" s="202"/>
      <c r="M65" s="202"/>
      <c r="N65" s="202"/>
      <c r="O65" s="222">
        <f t="shared" si="0"/>
        <v>0.23735040000000002</v>
      </c>
      <c r="P65" s="223">
        <f t="shared" si="1"/>
        <v>900</v>
      </c>
      <c r="Q65" s="226">
        <f t="shared" si="9"/>
        <v>900</v>
      </c>
      <c r="R65" s="225">
        <f t="shared" si="3"/>
        <v>900</v>
      </c>
      <c r="S65" s="225">
        <f t="shared" si="4"/>
        <v>900</v>
      </c>
      <c r="T65" s="135">
        <f t="shared" si="5"/>
        <v>900</v>
      </c>
      <c r="U65" s="149">
        <f t="shared" si="6"/>
        <v>0</v>
      </c>
      <c r="V65" s="150">
        <f t="shared" si="7"/>
        <v>0</v>
      </c>
      <c r="W65" s="80">
        <f t="shared" si="8"/>
        <v>3791.8621582268238</v>
      </c>
      <c r="Y65" s="53" t="s">
        <v>47</v>
      </c>
    </row>
    <row r="66" spans="1:25">
      <c r="A66" s="132" t="s">
        <v>111</v>
      </c>
      <c r="B66" s="194" t="s">
        <v>56</v>
      </c>
      <c r="C66" s="200">
        <v>28</v>
      </c>
      <c r="D66" s="200">
        <v>20</v>
      </c>
      <c r="E66" s="200">
        <v>6</v>
      </c>
      <c r="F66" s="231">
        <v>840</v>
      </c>
      <c r="G66" s="201"/>
      <c r="H66" s="201"/>
      <c r="I66" s="201"/>
      <c r="J66" s="201"/>
      <c r="K66" s="202"/>
      <c r="L66" s="202"/>
      <c r="M66" s="202"/>
      <c r="N66" s="202"/>
      <c r="O66" s="222">
        <f t="shared" si="0"/>
        <v>0.11867520000000001</v>
      </c>
      <c r="P66" s="223">
        <f t="shared" si="1"/>
        <v>840</v>
      </c>
      <c r="Q66" s="226">
        <f t="shared" si="9"/>
        <v>840</v>
      </c>
      <c r="R66" s="225">
        <f t="shared" si="3"/>
        <v>840</v>
      </c>
      <c r="S66" s="225">
        <f t="shared" si="4"/>
        <v>840</v>
      </c>
      <c r="T66" s="135">
        <f t="shared" si="5"/>
        <v>840</v>
      </c>
      <c r="U66" s="149">
        <f t="shared" si="6"/>
        <v>0</v>
      </c>
      <c r="V66" s="150">
        <f t="shared" si="7"/>
        <v>0</v>
      </c>
      <c r="W66" s="80">
        <f t="shared" si="8"/>
        <v>7078.1426953567379</v>
      </c>
      <c r="Y66" s="53" t="s">
        <v>47</v>
      </c>
    </row>
    <row r="67" spans="1:25">
      <c r="A67" s="132" t="s">
        <v>112</v>
      </c>
      <c r="B67" s="194" t="s">
        <v>56</v>
      </c>
      <c r="C67" s="200">
        <v>25</v>
      </c>
      <c r="D67" s="200">
        <v>24</v>
      </c>
      <c r="E67" s="200">
        <v>5</v>
      </c>
      <c r="F67" s="231">
        <v>700</v>
      </c>
      <c r="G67" s="201"/>
      <c r="H67" s="201"/>
      <c r="I67" s="201"/>
      <c r="J67" s="201"/>
      <c r="K67" s="202"/>
      <c r="L67" s="202"/>
      <c r="M67" s="202"/>
      <c r="N67" s="202"/>
      <c r="O67" s="222">
        <f t="shared" si="0"/>
        <v>0.10596</v>
      </c>
      <c r="P67" s="223">
        <f t="shared" si="1"/>
        <v>700</v>
      </c>
      <c r="Q67" s="226">
        <f t="shared" si="9"/>
        <v>700</v>
      </c>
      <c r="R67" s="225">
        <f t="shared" si="3"/>
        <v>700</v>
      </c>
      <c r="S67" s="225">
        <f t="shared" si="4"/>
        <v>700</v>
      </c>
      <c r="T67" s="135">
        <f t="shared" si="5"/>
        <v>700</v>
      </c>
      <c r="U67" s="149">
        <f t="shared" si="6"/>
        <v>0</v>
      </c>
      <c r="V67" s="150">
        <f t="shared" si="7"/>
        <v>0</v>
      </c>
      <c r="W67" s="80">
        <f t="shared" si="8"/>
        <v>6606.2665156662888</v>
      </c>
      <c r="Y67" s="53" t="s">
        <v>47</v>
      </c>
    </row>
    <row r="68" spans="1:25">
      <c r="A68" s="132" t="s">
        <v>113</v>
      </c>
      <c r="B68" s="194" t="s">
        <v>56</v>
      </c>
      <c r="C68" s="200">
        <v>33</v>
      </c>
      <c r="D68" s="200">
        <v>32</v>
      </c>
      <c r="E68" s="200">
        <v>6</v>
      </c>
      <c r="F68" s="231">
        <v>1200</v>
      </c>
      <c r="G68" s="201"/>
      <c r="H68" s="201"/>
      <c r="I68" s="201"/>
      <c r="J68" s="201"/>
      <c r="K68" s="202"/>
      <c r="L68" s="202"/>
      <c r="M68" s="202"/>
      <c r="N68" s="202"/>
      <c r="O68" s="222">
        <f t="shared" ref="O68:O131" si="10">((IFERROR((C68*D68*E68),0)+IFERROR((G68*H68*I68),0)+IFERROR((K68*L68*M68),0))/1000000)*35.32</f>
        <v>0.22378751999999999</v>
      </c>
      <c r="P68" s="223">
        <f t="shared" ref="P68:P131" si="11">F68+J68+N68</f>
        <v>1200</v>
      </c>
      <c r="Q68" s="226">
        <f t="shared" si="9"/>
        <v>1200</v>
      </c>
      <c r="R68" s="225">
        <f t="shared" ref="R68:R131" si="12">MAX(Q68,O68)</f>
        <v>1200</v>
      </c>
      <c r="S68" s="225">
        <f t="shared" ref="S68:S131" si="13">MAX(R68,P68)</f>
        <v>1200</v>
      </c>
      <c r="T68" s="135">
        <f t="shared" ref="T68:T131" si="14">MAX(S68,Q68)</f>
        <v>1200</v>
      </c>
      <c r="U68" s="149">
        <f t="shared" ref="U68:U131" si="15">T68-Q68</f>
        <v>0</v>
      </c>
      <c r="V68" s="150">
        <f t="shared" ref="V68:V131" si="16">U68/T68</f>
        <v>0</v>
      </c>
      <c r="W68" s="80">
        <f t="shared" ref="W68:W131" si="17">R68/O68</f>
        <v>5362.229314664196</v>
      </c>
      <c r="Y68" s="53" t="s">
        <v>47</v>
      </c>
    </row>
    <row r="69" spans="1:25">
      <c r="A69" s="132" t="s">
        <v>114</v>
      </c>
      <c r="B69" s="194" t="s">
        <v>56</v>
      </c>
      <c r="C69" s="200">
        <v>24</v>
      </c>
      <c r="D69" s="200">
        <v>11</v>
      </c>
      <c r="E69" s="200">
        <v>5</v>
      </c>
      <c r="F69" s="231">
        <v>195</v>
      </c>
      <c r="G69" s="201"/>
      <c r="H69" s="201"/>
      <c r="I69" s="201"/>
      <c r="J69" s="201"/>
      <c r="K69" s="202"/>
      <c r="L69" s="202"/>
      <c r="M69" s="202"/>
      <c r="N69" s="202"/>
      <c r="O69" s="222">
        <f t="shared" si="10"/>
        <v>4.6622400000000001E-2</v>
      </c>
      <c r="P69" s="223">
        <f t="shared" si="11"/>
        <v>195</v>
      </c>
      <c r="Q69" s="226">
        <f t="shared" si="9"/>
        <v>195</v>
      </c>
      <c r="R69" s="225">
        <f t="shared" si="12"/>
        <v>195</v>
      </c>
      <c r="S69" s="225">
        <f t="shared" si="13"/>
        <v>195</v>
      </c>
      <c r="T69" s="135">
        <f t="shared" si="14"/>
        <v>195</v>
      </c>
      <c r="U69" s="149">
        <f t="shared" si="15"/>
        <v>0</v>
      </c>
      <c r="V69" s="150">
        <f t="shared" si="16"/>
        <v>0</v>
      </c>
      <c r="W69" s="80">
        <f t="shared" si="17"/>
        <v>4182.5388654380722</v>
      </c>
      <c r="Y69" s="53" t="s">
        <v>47</v>
      </c>
    </row>
    <row r="70" spans="1:25">
      <c r="A70" s="132" t="s">
        <v>115</v>
      </c>
      <c r="B70" s="194" t="s">
        <v>56</v>
      </c>
      <c r="C70" s="200">
        <v>39</v>
      </c>
      <c r="D70" s="200">
        <v>30</v>
      </c>
      <c r="E70" s="200">
        <v>8</v>
      </c>
      <c r="F70" s="231">
        <v>3200</v>
      </c>
      <c r="G70" s="201"/>
      <c r="H70" s="201"/>
      <c r="I70" s="201"/>
      <c r="J70" s="201"/>
      <c r="K70" s="202"/>
      <c r="L70" s="202"/>
      <c r="M70" s="202"/>
      <c r="N70" s="202"/>
      <c r="O70" s="222">
        <f t="shared" si="10"/>
        <v>0.33059520000000003</v>
      </c>
      <c r="P70" s="223">
        <f t="shared" si="11"/>
        <v>3200</v>
      </c>
      <c r="Q70" s="226">
        <f t="shared" si="9"/>
        <v>3200</v>
      </c>
      <c r="R70" s="225">
        <f t="shared" si="12"/>
        <v>3200</v>
      </c>
      <c r="S70" s="225">
        <f t="shared" si="13"/>
        <v>3200</v>
      </c>
      <c r="T70" s="135">
        <f t="shared" si="14"/>
        <v>3200</v>
      </c>
      <c r="U70" s="149">
        <f t="shared" si="15"/>
        <v>0</v>
      </c>
      <c r="V70" s="150">
        <f t="shared" si="16"/>
        <v>0</v>
      </c>
      <c r="W70" s="80">
        <f t="shared" si="17"/>
        <v>9679.5113782656244</v>
      </c>
      <c r="Y70" s="53" t="s">
        <v>47</v>
      </c>
    </row>
    <row r="71" spans="1:25">
      <c r="A71" s="132" t="s">
        <v>116</v>
      </c>
      <c r="B71" s="194" t="s">
        <v>56</v>
      </c>
      <c r="C71" s="200">
        <v>60</v>
      </c>
      <c r="D71" s="200">
        <v>35</v>
      </c>
      <c r="E71" s="200">
        <v>8</v>
      </c>
      <c r="F71" s="231">
        <v>5245</v>
      </c>
      <c r="G71" s="201"/>
      <c r="H71" s="201"/>
      <c r="I71" s="201"/>
      <c r="J71" s="201"/>
      <c r="K71" s="202"/>
      <c r="L71" s="202"/>
      <c r="M71" s="202"/>
      <c r="N71" s="202"/>
      <c r="O71" s="222">
        <f t="shared" si="10"/>
        <v>0.59337600000000001</v>
      </c>
      <c r="P71" s="223">
        <f t="shared" si="11"/>
        <v>5245</v>
      </c>
      <c r="Q71" s="226">
        <f t="shared" si="9"/>
        <v>5245</v>
      </c>
      <c r="R71" s="225">
        <f t="shared" si="12"/>
        <v>5245</v>
      </c>
      <c r="S71" s="225">
        <f t="shared" si="13"/>
        <v>5245</v>
      </c>
      <c r="T71" s="135">
        <f t="shared" si="14"/>
        <v>5245</v>
      </c>
      <c r="U71" s="149">
        <f t="shared" si="15"/>
        <v>0</v>
      </c>
      <c r="V71" s="150">
        <f t="shared" si="16"/>
        <v>0</v>
      </c>
      <c r="W71" s="80">
        <f t="shared" si="17"/>
        <v>8839.2520088443071</v>
      </c>
      <c r="Y71" s="53" t="s">
        <v>47</v>
      </c>
    </row>
    <row r="72" spans="1:25">
      <c r="A72" s="132" t="s">
        <v>117</v>
      </c>
      <c r="B72" s="194" t="s">
        <v>56</v>
      </c>
      <c r="C72" s="200">
        <v>25</v>
      </c>
      <c r="D72" s="200">
        <v>20</v>
      </c>
      <c r="E72" s="200">
        <v>5</v>
      </c>
      <c r="F72" s="231">
        <v>430</v>
      </c>
      <c r="G72" s="201"/>
      <c r="H72" s="201"/>
      <c r="I72" s="201"/>
      <c r="J72" s="201"/>
      <c r="K72" s="202"/>
      <c r="L72" s="202"/>
      <c r="M72" s="202"/>
      <c r="N72" s="202"/>
      <c r="O72" s="222">
        <f t="shared" si="10"/>
        <v>8.8300000000000003E-2</v>
      </c>
      <c r="P72" s="223">
        <f t="shared" si="11"/>
        <v>430</v>
      </c>
      <c r="Q72" s="226">
        <f t="shared" si="9"/>
        <v>430</v>
      </c>
      <c r="R72" s="225">
        <f t="shared" si="12"/>
        <v>430</v>
      </c>
      <c r="S72" s="225">
        <f t="shared" si="13"/>
        <v>430</v>
      </c>
      <c r="T72" s="135">
        <f t="shared" si="14"/>
        <v>430</v>
      </c>
      <c r="U72" s="149">
        <f t="shared" si="15"/>
        <v>0</v>
      </c>
      <c r="V72" s="150">
        <f t="shared" si="16"/>
        <v>0</v>
      </c>
      <c r="W72" s="80">
        <f t="shared" si="17"/>
        <v>4869.7621744054359</v>
      </c>
      <c r="Y72" s="53" t="s">
        <v>47</v>
      </c>
    </row>
    <row r="73" spans="1:25" ht="12.75" customHeight="1">
      <c r="A73" s="131" t="s">
        <v>118</v>
      </c>
      <c r="B73" s="194" t="s">
        <v>56</v>
      </c>
      <c r="C73" s="200">
        <v>35</v>
      </c>
      <c r="D73" s="200">
        <v>14</v>
      </c>
      <c r="E73" s="200">
        <v>4</v>
      </c>
      <c r="F73" s="231">
        <v>390</v>
      </c>
      <c r="G73" s="201"/>
      <c r="H73" s="201"/>
      <c r="I73" s="201"/>
      <c r="J73" s="201"/>
      <c r="K73" s="202"/>
      <c r="L73" s="202"/>
      <c r="M73" s="202"/>
      <c r="N73" s="202"/>
      <c r="O73" s="222">
        <f t="shared" si="10"/>
        <v>6.9227200000000003E-2</v>
      </c>
      <c r="P73" s="223">
        <f t="shared" si="11"/>
        <v>390</v>
      </c>
      <c r="Q73" s="226">
        <f t="shared" si="9"/>
        <v>390</v>
      </c>
      <c r="R73" s="225">
        <f t="shared" si="12"/>
        <v>390</v>
      </c>
      <c r="S73" s="225">
        <f t="shared" si="13"/>
        <v>390</v>
      </c>
      <c r="T73" s="135">
        <f t="shared" si="14"/>
        <v>390</v>
      </c>
      <c r="U73" s="149">
        <f t="shared" si="15"/>
        <v>0</v>
      </c>
      <c r="V73" s="150">
        <f t="shared" si="16"/>
        <v>0</v>
      </c>
      <c r="W73" s="80">
        <f t="shared" si="17"/>
        <v>5633.6237779369958</v>
      </c>
      <c r="Y73" s="53" t="s">
        <v>47</v>
      </c>
    </row>
    <row r="74" spans="1:25">
      <c r="A74" s="132" t="s">
        <v>119</v>
      </c>
      <c r="B74" s="194" t="s">
        <v>56</v>
      </c>
      <c r="C74" s="200">
        <v>82</v>
      </c>
      <c r="D74" s="200">
        <v>20</v>
      </c>
      <c r="E74" s="200">
        <v>10</v>
      </c>
      <c r="F74" s="231">
        <v>7500</v>
      </c>
      <c r="G74" s="201"/>
      <c r="H74" s="201"/>
      <c r="I74" s="201"/>
      <c r="J74" s="201"/>
      <c r="K74" s="202"/>
      <c r="L74" s="202"/>
      <c r="M74" s="202"/>
      <c r="N74" s="202"/>
      <c r="O74" s="222">
        <f t="shared" si="10"/>
        <v>0.5792480000000001</v>
      </c>
      <c r="P74" s="223">
        <f t="shared" si="11"/>
        <v>7500</v>
      </c>
      <c r="Q74" s="226">
        <f t="shared" si="9"/>
        <v>7500</v>
      </c>
      <c r="R74" s="225">
        <f t="shared" si="12"/>
        <v>7500</v>
      </c>
      <c r="S74" s="225">
        <f t="shared" si="13"/>
        <v>7500</v>
      </c>
      <c r="T74" s="135">
        <f t="shared" si="14"/>
        <v>7500</v>
      </c>
      <c r="U74" s="149">
        <f t="shared" si="15"/>
        <v>0</v>
      </c>
      <c r="V74" s="150">
        <f t="shared" si="16"/>
        <v>0</v>
      </c>
      <c r="W74" s="80">
        <f t="shared" si="17"/>
        <v>12947.822003701349</v>
      </c>
      <c r="Y74" s="53" t="s">
        <v>47</v>
      </c>
    </row>
    <row r="75" spans="1:25">
      <c r="A75" s="170" t="s">
        <v>120</v>
      </c>
      <c r="B75" s="194" t="s">
        <v>56</v>
      </c>
      <c r="C75" s="200">
        <v>67</v>
      </c>
      <c r="D75" s="200">
        <v>40</v>
      </c>
      <c r="E75" s="200">
        <v>4</v>
      </c>
      <c r="F75" s="231">
        <v>3300</v>
      </c>
      <c r="G75" s="201"/>
      <c r="H75" s="201"/>
      <c r="I75" s="201"/>
      <c r="J75" s="201"/>
      <c r="K75" s="202"/>
      <c r="L75" s="202"/>
      <c r="M75" s="202"/>
      <c r="N75" s="202"/>
      <c r="O75" s="222">
        <f t="shared" si="10"/>
        <v>0.37863040000000003</v>
      </c>
      <c r="P75" s="223">
        <f t="shared" si="11"/>
        <v>3300</v>
      </c>
      <c r="Q75" s="226">
        <f t="shared" si="9"/>
        <v>3300</v>
      </c>
      <c r="R75" s="225">
        <f t="shared" si="12"/>
        <v>3300</v>
      </c>
      <c r="S75" s="225">
        <f t="shared" si="13"/>
        <v>3300</v>
      </c>
      <c r="T75" s="135">
        <f t="shared" si="14"/>
        <v>3300</v>
      </c>
      <c r="U75" s="149">
        <f t="shared" si="15"/>
        <v>0</v>
      </c>
      <c r="V75" s="150">
        <f t="shared" si="16"/>
        <v>0</v>
      </c>
      <c r="W75" s="80">
        <f t="shared" si="17"/>
        <v>8715.6234681631468</v>
      </c>
      <c r="Y75" s="53" t="s">
        <v>45</v>
      </c>
    </row>
    <row r="76" spans="1:25" ht="12.75" customHeight="1">
      <c r="A76" s="131" t="s">
        <v>121</v>
      </c>
      <c r="B76" s="194" t="s">
        <v>56</v>
      </c>
      <c r="C76" s="200">
        <v>100</v>
      </c>
      <c r="D76" s="200">
        <v>46</v>
      </c>
      <c r="E76" s="200">
        <v>9</v>
      </c>
      <c r="F76" s="231">
        <v>12200</v>
      </c>
      <c r="G76" s="201"/>
      <c r="H76" s="201"/>
      <c r="I76" s="201"/>
      <c r="J76" s="201"/>
      <c r="K76" s="202"/>
      <c r="L76" s="202"/>
      <c r="M76" s="202"/>
      <c r="N76" s="202"/>
      <c r="O76" s="222">
        <f t="shared" si="10"/>
        <v>1.462248</v>
      </c>
      <c r="P76" s="223">
        <f t="shared" si="11"/>
        <v>12200</v>
      </c>
      <c r="Q76" s="226">
        <f t="shared" si="9"/>
        <v>12200</v>
      </c>
      <c r="R76" s="225">
        <f t="shared" si="12"/>
        <v>12200</v>
      </c>
      <c r="S76" s="225">
        <f t="shared" si="13"/>
        <v>12200</v>
      </c>
      <c r="T76" s="135">
        <f t="shared" si="14"/>
        <v>12200</v>
      </c>
      <c r="U76" s="149">
        <f t="shared" si="15"/>
        <v>0</v>
      </c>
      <c r="V76" s="150">
        <f t="shared" si="16"/>
        <v>0</v>
      </c>
      <c r="W76" s="80">
        <f t="shared" si="17"/>
        <v>8343.317959744174</v>
      </c>
      <c r="Y76" s="53" t="s">
        <v>47</v>
      </c>
    </row>
    <row r="77" spans="1:25" ht="12.75" customHeight="1">
      <c r="A77" s="131" t="s">
        <v>122</v>
      </c>
      <c r="B77" s="194" t="s">
        <v>56</v>
      </c>
      <c r="C77" s="200">
        <v>65</v>
      </c>
      <c r="D77" s="200">
        <v>46</v>
      </c>
      <c r="E77" s="200">
        <v>9</v>
      </c>
      <c r="F77" s="231">
        <v>8700</v>
      </c>
      <c r="G77" s="201"/>
      <c r="H77" s="201"/>
      <c r="I77" s="201"/>
      <c r="J77" s="201"/>
      <c r="K77" s="202"/>
      <c r="L77" s="202"/>
      <c r="M77" s="202"/>
      <c r="N77" s="202"/>
      <c r="O77" s="222">
        <f t="shared" si="10"/>
        <v>0.95046120000000001</v>
      </c>
      <c r="P77" s="223">
        <f t="shared" si="11"/>
        <v>8700</v>
      </c>
      <c r="Q77" s="226">
        <f t="shared" si="9"/>
        <v>8700</v>
      </c>
      <c r="R77" s="225">
        <f t="shared" si="12"/>
        <v>8700</v>
      </c>
      <c r="S77" s="225">
        <f t="shared" si="13"/>
        <v>8700</v>
      </c>
      <c r="T77" s="135">
        <f t="shared" si="14"/>
        <v>8700</v>
      </c>
      <c r="U77" s="149">
        <f t="shared" si="15"/>
        <v>0</v>
      </c>
      <c r="V77" s="150">
        <f t="shared" si="16"/>
        <v>0</v>
      </c>
      <c r="W77" s="80">
        <f t="shared" si="17"/>
        <v>9153.4509772729289</v>
      </c>
      <c r="Y77" s="53" t="s">
        <v>47</v>
      </c>
    </row>
    <row r="78" spans="1:25" ht="13.5" customHeight="1">
      <c r="A78" s="131" t="s">
        <v>123</v>
      </c>
      <c r="B78" s="194" t="s">
        <v>56</v>
      </c>
      <c r="C78" s="200">
        <v>38</v>
      </c>
      <c r="D78" s="200">
        <v>33</v>
      </c>
      <c r="E78" s="200">
        <v>32</v>
      </c>
      <c r="F78" s="231">
        <v>1700</v>
      </c>
      <c r="G78" s="201"/>
      <c r="H78" s="201"/>
      <c r="I78" s="201"/>
      <c r="J78" s="201"/>
      <c r="K78" s="202"/>
      <c r="L78" s="202"/>
      <c r="M78" s="202"/>
      <c r="N78" s="202"/>
      <c r="O78" s="222">
        <f t="shared" si="10"/>
        <v>1.4173209599999999</v>
      </c>
      <c r="P78" s="223">
        <f t="shared" si="11"/>
        <v>1700</v>
      </c>
      <c r="Q78" s="226">
        <f t="shared" ref="Q78:Q141" si="18">F78+J78+N78</f>
        <v>1700</v>
      </c>
      <c r="R78" s="225">
        <f t="shared" si="12"/>
        <v>1700</v>
      </c>
      <c r="S78" s="225">
        <f t="shared" si="13"/>
        <v>1700</v>
      </c>
      <c r="T78" s="135">
        <f t="shared" si="14"/>
        <v>1700</v>
      </c>
      <c r="U78" s="149">
        <f t="shared" si="15"/>
        <v>0</v>
      </c>
      <c r="V78" s="150">
        <f t="shared" si="16"/>
        <v>0</v>
      </c>
      <c r="W78" s="80">
        <f t="shared" si="17"/>
        <v>1199.446030911728</v>
      </c>
      <c r="Y78" s="53" t="s">
        <v>45</v>
      </c>
    </row>
    <row r="79" spans="1:25" ht="12.75" customHeight="1">
      <c r="A79" s="131" t="s">
        <v>124</v>
      </c>
      <c r="B79" s="194" t="s">
        <v>56</v>
      </c>
      <c r="C79" s="200">
        <v>39</v>
      </c>
      <c r="D79" s="200">
        <v>27</v>
      </c>
      <c r="E79" s="200">
        <v>24</v>
      </c>
      <c r="F79" s="231">
        <v>1700</v>
      </c>
      <c r="G79" s="201"/>
      <c r="H79" s="201"/>
      <c r="I79" s="201"/>
      <c r="J79" s="201"/>
      <c r="K79" s="202"/>
      <c r="L79" s="202"/>
      <c r="M79" s="202"/>
      <c r="N79" s="202"/>
      <c r="O79" s="222">
        <f t="shared" si="10"/>
        <v>0.89260704000000002</v>
      </c>
      <c r="P79" s="223">
        <f t="shared" si="11"/>
        <v>1700</v>
      </c>
      <c r="Q79" s="226">
        <f t="shared" si="18"/>
        <v>1700</v>
      </c>
      <c r="R79" s="225">
        <f t="shared" si="12"/>
        <v>1700</v>
      </c>
      <c r="S79" s="225">
        <f t="shared" si="13"/>
        <v>1700</v>
      </c>
      <c r="T79" s="135">
        <f t="shared" si="14"/>
        <v>1700</v>
      </c>
      <c r="U79" s="149">
        <f t="shared" si="15"/>
        <v>0</v>
      </c>
      <c r="V79" s="150">
        <f t="shared" si="16"/>
        <v>0</v>
      </c>
      <c r="W79" s="80">
        <f t="shared" si="17"/>
        <v>1904.5334887791159</v>
      </c>
      <c r="Y79" s="53" t="s">
        <v>45</v>
      </c>
    </row>
    <row r="80" spans="1:25">
      <c r="A80" s="132" t="s">
        <v>125</v>
      </c>
      <c r="B80" s="194" t="s">
        <v>56</v>
      </c>
      <c r="C80" s="200">
        <v>73</v>
      </c>
      <c r="D80" s="200">
        <v>51</v>
      </c>
      <c r="E80" s="200">
        <v>8</v>
      </c>
      <c r="F80" s="231">
        <v>7890</v>
      </c>
      <c r="G80" s="201"/>
      <c r="H80" s="201"/>
      <c r="I80" s="201"/>
      <c r="J80" s="201"/>
      <c r="K80" s="202"/>
      <c r="L80" s="202"/>
      <c r="M80" s="202"/>
      <c r="N80" s="202"/>
      <c r="O80" s="222">
        <f t="shared" si="10"/>
        <v>1.0519708800000001</v>
      </c>
      <c r="P80" s="223">
        <f t="shared" si="11"/>
        <v>7890</v>
      </c>
      <c r="Q80" s="226">
        <f t="shared" si="18"/>
        <v>7890</v>
      </c>
      <c r="R80" s="225">
        <f t="shared" si="12"/>
        <v>7890</v>
      </c>
      <c r="S80" s="225">
        <f t="shared" si="13"/>
        <v>7890</v>
      </c>
      <c r="T80" s="135">
        <f t="shared" si="14"/>
        <v>7890</v>
      </c>
      <c r="U80" s="149">
        <f t="shared" si="15"/>
        <v>0</v>
      </c>
      <c r="V80" s="150">
        <f t="shared" si="16"/>
        <v>0</v>
      </c>
      <c r="W80" s="80">
        <f t="shared" si="17"/>
        <v>7500.2076103095169</v>
      </c>
      <c r="Y80" s="53" t="s">
        <v>47</v>
      </c>
    </row>
    <row r="81" spans="1:25" ht="12.4" customHeight="1">
      <c r="A81" s="132" t="s">
        <v>126</v>
      </c>
      <c r="B81" s="194" t="s">
        <v>56</v>
      </c>
      <c r="C81" s="200">
        <v>24</v>
      </c>
      <c r="D81" s="200">
        <v>19</v>
      </c>
      <c r="E81" s="200">
        <v>9</v>
      </c>
      <c r="F81" s="231">
        <v>730</v>
      </c>
      <c r="G81" s="201"/>
      <c r="H81" s="201"/>
      <c r="I81" s="201"/>
      <c r="J81" s="201"/>
      <c r="K81" s="202"/>
      <c r="L81" s="202"/>
      <c r="M81" s="202"/>
      <c r="N81" s="202"/>
      <c r="O81" s="222">
        <f t="shared" si="10"/>
        <v>0.14495327999999999</v>
      </c>
      <c r="P81" s="223">
        <f t="shared" si="11"/>
        <v>730</v>
      </c>
      <c r="Q81" s="226">
        <f t="shared" si="18"/>
        <v>730</v>
      </c>
      <c r="R81" s="225">
        <f t="shared" si="12"/>
        <v>730</v>
      </c>
      <c r="S81" s="225">
        <f t="shared" si="13"/>
        <v>730</v>
      </c>
      <c r="T81" s="135">
        <f t="shared" si="14"/>
        <v>730</v>
      </c>
      <c r="U81" s="149">
        <f t="shared" si="15"/>
        <v>0</v>
      </c>
      <c r="V81" s="150">
        <f t="shared" si="16"/>
        <v>0</v>
      </c>
      <c r="W81" s="80">
        <f t="shared" si="17"/>
        <v>5036.1054265208768</v>
      </c>
      <c r="Y81" s="53" t="s">
        <v>47</v>
      </c>
    </row>
    <row r="82" spans="1:25">
      <c r="A82" s="132" t="s">
        <v>127</v>
      </c>
      <c r="B82" s="194" t="s">
        <v>56</v>
      </c>
      <c r="C82" s="200">
        <v>20</v>
      </c>
      <c r="D82" s="200">
        <v>17</v>
      </c>
      <c r="E82" s="200">
        <v>12</v>
      </c>
      <c r="F82" s="231">
        <v>710</v>
      </c>
      <c r="G82" s="201"/>
      <c r="H82" s="201"/>
      <c r="I82" s="201"/>
      <c r="J82" s="201"/>
      <c r="K82" s="202"/>
      <c r="L82" s="202"/>
      <c r="M82" s="202"/>
      <c r="N82" s="202"/>
      <c r="O82" s="222">
        <f t="shared" si="10"/>
        <v>0.1441056</v>
      </c>
      <c r="P82" s="223">
        <f t="shared" si="11"/>
        <v>710</v>
      </c>
      <c r="Q82" s="226">
        <f t="shared" si="18"/>
        <v>710</v>
      </c>
      <c r="R82" s="225">
        <f t="shared" si="12"/>
        <v>710</v>
      </c>
      <c r="S82" s="225">
        <f t="shared" si="13"/>
        <v>710</v>
      </c>
      <c r="T82" s="135">
        <f t="shared" si="14"/>
        <v>710</v>
      </c>
      <c r="U82" s="149">
        <f t="shared" si="15"/>
        <v>0</v>
      </c>
      <c r="V82" s="150">
        <f t="shared" si="16"/>
        <v>0</v>
      </c>
      <c r="W82" s="80">
        <f t="shared" si="17"/>
        <v>4926.9424644149849</v>
      </c>
      <c r="Y82" s="53" t="s">
        <v>47</v>
      </c>
    </row>
    <row r="83" spans="1:25">
      <c r="A83" s="132" t="s">
        <v>128</v>
      </c>
      <c r="B83" s="194" t="s">
        <v>54</v>
      </c>
      <c r="C83" s="200"/>
      <c r="D83" s="200"/>
      <c r="E83" s="200"/>
      <c r="F83" s="231"/>
      <c r="G83" s="201"/>
      <c r="H83" s="201"/>
      <c r="I83" s="201"/>
      <c r="J83" s="201"/>
      <c r="K83" s="202"/>
      <c r="L83" s="202"/>
      <c r="M83" s="202"/>
      <c r="N83" s="202"/>
      <c r="O83" s="222">
        <f t="shared" si="10"/>
        <v>0</v>
      </c>
      <c r="P83" s="223">
        <f t="shared" si="11"/>
        <v>0</v>
      </c>
      <c r="Q83" s="226">
        <f t="shared" si="18"/>
        <v>0</v>
      </c>
      <c r="R83" s="225">
        <f t="shared" si="12"/>
        <v>0</v>
      </c>
      <c r="S83" s="225">
        <f t="shared" si="13"/>
        <v>0</v>
      </c>
      <c r="T83" s="135">
        <f t="shared" si="14"/>
        <v>0</v>
      </c>
      <c r="U83" s="149">
        <f t="shared" si="15"/>
        <v>0</v>
      </c>
      <c r="V83" s="150" t="e">
        <f t="shared" si="16"/>
        <v>#DIV/0!</v>
      </c>
      <c r="W83" s="80" t="e">
        <f t="shared" si="17"/>
        <v>#DIV/0!</v>
      </c>
      <c r="Y83" s="53" t="s">
        <v>45</v>
      </c>
    </row>
    <row r="84" spans="1:25">
      <c r="A84" s="132" t="s">
        <v>129</v>
      </c>
      <c r="B84" s="194" t="s">
        <v>56</v>
      </c>
      <c r="C84" s="200">
        <v>37</v>
      </c>
      <c r="D84" s="200">
        <v>13</v>
      </c>
      <c r="E84" s="200">
        <v>7</v>
      </c>
      <c r="F84" s="231">
        <v>1000</v>
      </c>
      <c r="G84" s="201"/>
      <c r="H84" s="201"/>
      <c r="I84" s="201"/>
      <c r="J84" s="201"/>
      <c r="K84" s="202"/>
      <c r="L84" s="202"/>
      <c r="M84" s="202"/>
      <c r="N84" s="202"/>
      <c r="O84" s="222">
        <f t="shared" si="10"/>
        <v>0.11892244</v>
      </c>
      <c r="P84" s="223">
        <f t="shared" si="11"/>
        <v>1000</v>
      </c>
      <c r="Q84" s="226">
        <f t="shared" si="18"/>
        <v>1000</v>
      </c>
      <c r="R84" s="225">
        <f t="shared" si="12"/>
        <v>1000</v>
      </c>
      <c r="S84" s="225">
        <f t="shared" si="13"/>
        <v>1000</v>
      </c>
      <c r="T84" s="135">
        <f t="shared" si="14"/>
        <v>1000</v>
      </c>
      <c r="U84" s="149">
        <f t="shared" si="15"/>
        <v>0</v>
      </c>
      <c r="V84" s="150">
        <f t="shared" si="16"/>
        <v>0</v>
      </c>
      <c r="W84" s="80">
        <f t="shared" si="17"/>
        <v>8408.8419309257351</v>
      </c>
      <c r="Y84" s="53" t="s">
        <v>45</v>
      </c>
    </row>
    <row r="85" spans="1:25">
      <c r="A85" s="132" t="s">
        <v>130</v>
      </c>
      <c r="B85" s="194" t="s">
        <v>56</v>
      </c>
      <c r="C85" s="200">
        <v>130</v>
      </c>
      <c r="D85" s="200">
        <v>54</v>
      </c>
      <c r="E85" s="200">
        <v>9</v>
      </c>
      <c r="F85" s="231">
        <v>24450</v>
      </c>
      <c r="G85" s="201"/>
      <c r="H85" s="201"/>
      <c r="I85" s="201"/>
      <c r="J85" s="201"/>
      <c r="K85" s="202"/>
      <c r="L85" s="202"/>
      <c r="M85" s="202"/>
      <c r="N85" s="202"/>
      <c r="O85" s="222">
        <f t="shared" si="10"/>
        <v>2.2315176000000001</v>
      </c>
      <c r="P85" s="223">
        <f t="shared" si="11"/>
        <v>24450</v>
      </c>
      <c r="Q85" s="226">
        <f t="shared" si="18"/>
        <v>24450</v>
      </c>
      <c r="R85" s="225">
        <f t="shared" si="12"/>
        <v>24450</v>
      </c>
      <c r="S85" s="225">
        <f t="shared" si="13"/>
        <v>24450</v>
      </c>
      <c r="T85" s="135">
        <f t="shared" si="14"/>
        <v>24450</v>
      </c>
      <c r="U85" s="149">
        <f t="shared" si="15"/>
        <v>0</v>
      </c>
      <c r="V85" s="150">
        <f t="shared" si="16"/>
        <v>0</v>
      </c>
      <c r="W85" s="80">
        <f t="shared" si="17"/>
        <v>10956.669129564561</v>
      </c>
      <c r="Y85" s="53" t="s">
        <v>47</v>
      </c>
    </row>
    <row r="86" spans="1:25">
      <c r="A86" s="132" t="s">
        <v>131</v>
      </c>
      <c r="B86" s="194" t="s">
        <v>56</v>
      </c>
      <c r="C86" s="200">
        <v>130</v>
      </c>
      <c r="D86" s="200">
        <v>42</v>
      </c>
      <c r="E86" s="200">
        <v>5</v>
      </c>
      <c r="F86" s="231">
        <v>17400</v>
      </c>
      <c r="G86" s="201"/>
      <c r="H86" s="201"/>
      <c r="I86" s="201"/>
      <c r="J86" s="201"/>
      <c r="K86" s="202"/>
      <c r="L86" s="202"/>
      <c r="M86" s="202"/>
      <c r="N86" s="202"/>
      <c r="O86" s="222">
        <f t="shared" si="10"/>
        <v>0.96423600000000009</v>
      </c>
      <c r="P86" s="223">
        <f t="shared" si="11"/>
        <v>17400</v>
      </c>
      <c r="Q86" s="226">
        <f t="shared" si="18"/>
        <v>17400</v>
      </c>
      <c r="R86" s="225">
        <f t="shared" si="12"/>
        <v>17400</v>
      </c>
      <c r="S86" s="225">
        <f t="shared" si="13"/>
        <v>17400</v>
      </c>
      <c r="T86" s="135">
        <f t="shared" si="14"/>
        <v>17400</v>
      </c>
      <c r="U86" s="149">
        <f t="shared" si="15"/>
        <v>0</v>
      </c>
      <c r="V86" s="150">
        <f t="shared" si="16"/>
        <v>0</v>
      </c>
      <c r="W86" s="80">
        <f t="shared" si="17"/>
        <v>18045.374783766627</v>
      </c>
      <c r="Y86" s="53" t="s">
        <v>47</v>
      </c>
    </row>
    <row r="87" spans="1:25">
      <c r="A87" s="132" t="s">
        <v>132</v>
      </c>
      <c r="B87" s="194" t="s">
        <v>56</v>
      </c>
      <c r="C87" s="200">
        <v>137</v>
      </c>
      <c r="D87" s="200">
        <v>70</v>
      </c>
      <c r="E87" s="200">
        <v>9</v>
      </c>
      <c r="F87" s="231">
        <v>39450</v>
      </c>
      <c r="G87" s="201"/>
      <c r="H87" s="201"/>
      <c r="I87" s="201"/>
      <c r="J87" s="201"/>
      <c r="K87" s="202"/>
      <c r="L87" s="202"/>
      <c r="M87" s="202"/>
      <c r="N87" s="202"/>
      <c r="O87" s="222">
        <f t="shared" si="10"/>
        <v>3.0484692</v>
      </c>
      <c r="P87" s="223">
        <f t="shared" si="11"/>
        <v>39450</v>
      </c>
      <c r="Q87" s="226">
        <f t="shared" si="18"/>
        <v>39450</v>
      </c>
      <c r="R87" s="225">
        <f t="shared" si="12"/>
        <v>39450</v>
      </c>
      <c r="S87" s="225">
        <f t="shared" si="13"/>
        <v>39450</v>
      </c>
      <c r="T87" s="135">
        <f t="shared" si="14"/>
        <v>39450</v>
      </c>
      <c r="U87" s="149">
        <f t="shared" si="15"/>
        <v>0</v>
      </c>
      <c r="V87" s="150">
        <f t="shared" si="16"/>
        <v>0</v>
      </c>
      <c r="W87" s="80">
        <f t="shared" si="17"/>
        <v>12940.921299122852</v>
      </c>
      <c r="Y87" s="53" t="s">
        <v>47</v>
      </c>
    </row>
    <row r="88" spans="1:25" s="261" customFormat="1">
      <c r="A88" s="277" t="s">
        <v>133</v>
      </c>
      <c r="B88" s="278" t="s">
        <v>56</v>
      </c>
      <c r="C88" s="279">
        <v>162</v>
      </c>
      <c r="D88" s="279">
        <v>73</v>
      </c>
      <c r="E88" s="279">
        <v>8</v>
      </c>
      <c r="F88" s="280">
        <v>24450</v>
      </c>
      <c r="G88" s="279"/>
      <c r="H88" s="279"/>
      <c r="I88" s="279"/>
      <c r="J88" s="279"/>
      <c r="K88" s="279"/>
      <c r="L88" s="279"/>
      <c r="M88" s="279"/>
      <c r="N88" s="279"/>
      <c r="O88" s="281">
        <f t="shared" si="10"/>
        <v>3.3415545600000001</v>
      </c>
      <c r="P88" s="255">
        <f t="shared" si="11"/>
        <v>24450</v>
      </c>
      <c r="Q88" s="282">
        <f t="shared" si="18"/>
        <v>24450</v>
      </c>
      <c r="R88" s="283">
        <f t="shared" si="12"/>
        <v>24450</v>
      </c>
      <c r="S88" s="283">
        <f t="shared" si="13"/>
        <v>24450</v>
      </c>
      <c r="T88" s="284">
        <f t="shared" si="14"/>
        <v>24450</v>
      </c>
      <c r="U88" s="285">
        <f t="shared" si="15"/>
        <v>0</v>
      </c>
      <c r="V88" s="286">
        <f t="shared" si="16"/>
        <v>0</v>
      </c>
      <c r="W88" s="260">
        <f t="shared" si="17"/>
        <v>7316.9536995379776</v>
      </c>
      <c r="Y88" s="261" t="s">
        <v>47</v>
      </c>
    </row>
    <row r="89" spans="1:25">
      <c r="A89" s="132" t="s">
        <v>134</v>
      </c>
      <c r="B89" s="194" t="s">
        <v>56</v>
      </c>
      <c r="C89" s="200">
        <v>103</v>
      </c>
      <c r="D89" s="200">
        <v>57</v>
      </c>
      <c r="E89" s="200">
        <v>7</v>
      </c>
      <c r="F89" s="231">
        <v>10800</v>
      </c>
      <c r="G89" s="201"/>
      <c r="H89" s="201"/>
      <c r="I89" s="201"/>
      <c r="J89" s="201"/>
      <c r="K89" s="202"/>
      <c r="L89" s="202"/>
      <c r="M89" s="202"/>
      <c r="N89" s="202"/>
      <c r="O89" s="222">
        <f t="shared" si="10"/>
        <v>1.45154604</v>
      </c>
      <c r="P89" s="223">
        <f t="shared" si="11"/>
        <v>10800</v>
      </c>
      <c r="Q89" s="226">
        <f t="shared" si="18"/>
        <v>10800</v>
      </c>
      <c r="R89" s="225">
        <f t="shared" si="12"/>
        <v>10800</v>
      </c>
      <c r="S89" s="225">
        <f t="shared" si="13"/>
        <v>10800</v>
      </c>
      <c r="T89" s="135">
        <f t="shared" si="14"/>
        <v>10800</v>
      </c>
      <c r="U89" s="149">
        <f t="shared" si="15"/>
        <v>0</v>
      </c>
      <c r="V89" s="150">
        <f t="shared" si="16"/>
        <v>0</v>
      </c>
      <c r="W89" s="80">
        <f t="shared" si="17"/>
        <v>7440.3427121057766</v>
      </c>
      <c r="Y89" s="53" t="s">
        <v>47</v>
      </c>
    </row>
    <row r="90" spans="1:25">
      <c r="A90" s="132" t="s">
        <v>135</v>
      </c>
      <c r="B90" s="194" t="s">
        <v>56</v>
      </c>
      <c r="C90" s="200">
        <v>78</v>
      </c>
      <c r="D90" s="200">
        <v>62</v>
      </c>
      <c r="E90" s="200">
        <v>7</v>
      </c>
      <c r="F90" s="231">
        <v>7690</v>
      </c>
      <c r="G90" s="201"/>
      <c r="H90" s="201"/>
      <c r="I90" s="201"/>
      <c r="J90" s="201"/>
      <c r="K90" s="202"/>
      <c r="L90" s="202"/>
      <c r="M90" s="202"/>
      <c r="N90" s="202"/>
      <c r="O90" s="222">
        <f t="shared" si="10"/>
        <v>1.19565264</v>
      </c>
      <c r="P90" s="223">
        <f t="shared" si="11"/>
        <v>7690</v>
      </c>
      <c r="Q90" s="226">
        <f t="shared" si="18"/>
        <v>7690</v>
      </c>
      <c r="R90" s="225">
        <f t="shared" si="12"/>
        <v>7690</v>
      </c>
      <c r="S90" s="225">
        <f t="shared" si="13"/>
        <v>7690</v>
      </c>
      <c r="T90" s="135">
        <f t="shared" si="14"/>
        <v>7690</v>
      </c>
      <c r="U90" s="149">
        <f t="shared" si="15"/>
        <v>0</v>
      </c>
      <c r="V90" s="150">
        <f t="shared" si="16"/>
        <v>0</v>
      </c>
      <c r="W90" s="80">
        <f t="shared" si="17"/>
        <v>6431.6338564685475</v>
      </c>
      <c r="Y90" s="53" t="s">
        <v>47</v>
      </c>
    </row>
    <row r="91" spans="1:25">
      <c r="A91" s="132" t="s">
        <v>136</v>
      </c>
      <c r="B91" s="194" t="s">
        <v>56</v>
      </c>
      <c r="C91" s="200">
        <v>51</v>
      </c>
      <c r="D91" s="200">
        <v>17</v>
      </c>
      <c r="E91" s="200">
        <v>4</v>
      </c>
      <c r="F91" s="231">
        <v>1100</v>
      </c>
      <c r="G91" s="201"/>
      <c r="H91" s="201"/>
      <c r="I91" s="201"/>
      <c r="J91" s="201"/>
      <c r="K91" s="202"/>
      <c r="L91" s="202"/>
      <c r="M91" s="202"/>
      <c r="N91" s="202"/>
      <c r="O91" s="222">
        <f t="shared" si="10"/>
        <v>0.12248976</v>
      </c>
      <c r="P91" s="223">
        <f t="shared" si="11"/>
        <v>1100</v>
      </c>
      <c r="Q91" s="226">
        <f t="shared" si="18"/>
        <v>1100</v>
      </c>
      <c r="R91" s="225">
        <f t="shared" si="12"/>
        <v>1100</v>
      </c>
      <c r="S91" s="225">
        <f t="shared" si="13"/>
        <v>1100</v>
      </c>
      <c r="T91" s="135">
        <f t="shared" si="14"/>
        <v>1100</v>
      </c>
      <c r="U91" s="149">
        <f t="shared" si="15"/>
        <v>0</v>
      </c>
      <c r="V91" s="150">
        <f t="shared" si="16"/>
        <v>0</v>
      </c>
      <c r="W91" s="80">
        <f t="shared" si="17"/>
        <v>8980.3425200604524</v>
      </c>
      <c r="Y91" s="53" t="s">
        <v>47</v>
      </c>
    </row>
    <row r="92" spans="1:25">
      <c r="A92" s="132" t="s">
        <v>137</v>
      </c>
      <c r="B92" s="194" t="s">
        <v>56</v>
      </c>
      <c r="C92" s="200">
        <v>94</v>
      </c>
      <c r="D92" s="200">
        <v>36</v>
      </c>
      <c r="E92" s="200">
        <v>6</v>
      </c>
      <c r="F92" s="231">
        <v>5890</v>
      </c>
      <c r="G92" s="201"/>
      <c r="H92" s="201"/>
      <c r="I92" s="201"/>
      <c r="J92" s="201"/>
      <c r="K92" s="202"/>
      <c r="L92" s="202"/>
      <c r="M92" s="202"/>
      <c r="N92" s="202"/>
      <c r="O92" s="222">
        <f t="shared" si="10"/>
        <v>0.71713727999999999</v>
      </c>
      <c r="P92" s="223">
        <f t="shared" si="11"/>
        <v>5890</v>
      </c>
      <c r="Q92" s="226">
        <f t="shared" si="18"/>
        <v>5890</v>
      </c>
      <c r="R92" s="225">
        <f t="shared" si="12"/>
        <v>5890</v>
      </c>
      <c r="S92" s="225">
        <f t="shared" si="13"/>
        <v>5890</v>
      </c>
      <c r="T92" s="135">
        <f t="shared" si="14"/>
        <v>5890</v>
      </c>
      <c r="U92" s="149">
        <f t="shared" si="15"/>
        <v>0</v>
      </c>
      <c r="V92" s="150">
        <f t="shared" si="16"/>
        <v>0</v>
      </c>
      <c r="W92" s="80">
        <f t="shared" si="17"/>
        <v>8213.2112836192264</v>
      </c>
      <c r="Y92" s="53" t="s">
        <v>47</v>
      </c>
    </row>
    <row r="93" spans="1:25">
      <c r="A93" s="132" t="s">
        <v>138</v>
      </c>
      <c r="B93" s="194" t="s">
        <v>56</v>
      </c>
      <c r="C93" s="200">
        <v>144</v>
      </c>
      <c r="D93" s="200">
        <v>41</v>
      </c>
      <c r="E93" s="200">
        <v>5</v>
      </c>
      <c r="F93" s="231">
        <v>13620</v>
      </c>
      <c r="G93" s="201"/>
      <c r="H93" s="201"/>
      <c r="I93" s="201"/>
      <c r="J93" s="201"/>
      <c r="K93" s="202"/>
      <c r="L93" s="202"/>
      <c r="M93" s="202"/>
      <c r="N93" s="202"/>
      <c r="O93" s="222">
        <f t="shared" si="10"/>
        <v>1.0426464</v>
      </c>
      <c r="P93" s="223">
        <f t="shared" si="11"/>
        <v>13620</v>
      </c>
      <c r="Q93" s="226">
        <f t="shared" si="18"/>
        <v>13620</v>
      </c>
      <c r="R93" s="225">
        <f t="shared" si="12"/>
        <v>13620</v>
      </c>
      <c r="S93" s="225">
        <f t="shared" si="13"/>
        <v>13620</v>
      </c>
      <c r="T93" s="135">
        <f t="shared" si="14"/>
        <v>13620</v>
      </c>
      <c r="U93" s="149">
        <f t="shared" si="15"/>
        <v>0</v>
      </c>
      <c r="V93" s="150">
        <f t="shared" si="16"/>
        <v>0</v>
      </c>
      <c r="W93" s="80">
        <f t="shared" si="17"/>
        <v>13062.913754845364</v>
      </c>
      <c r="Y93" s="53" t="s">
        <v>47</v>
      </c>
    </row>
    <row r="94" spans="1:25">
      <c r="A94" s="132" t="s">
        <v>139</v>
      </c>
      <c r="B94" s="194" t="s">
        <v>56</v>
      </c>
      <c r="C94" s="200">
        <v>134</v>
      </c>
      <c r="D94" s="200">
        <v>20</v>
      </c>
      <c r="E94" s="200">
        <v>5</v>
      </c>
      <c r="F94" s="231">
        <v>3890</v>
      </c>
      <c r="G94" s="201"/>
      <c r="H94" s="201"/>
      <c r="I94" s="201"/>
      <c r="J94" s="201"/>
      <c r="K94" s="202"/>
      <c r="L94" s="202"/>
      <c r="M94" s="202"/>
      <c r="N94" s="202"/>
      <c r="O94" s="222">
        <f t="shared" si="10"/>
        <v>0.47328800000000004</v>
      </c>
      <c r="P94" s="223">
        <f t="shared" si="11"/>
        <v>3890</v>
      </c>
      <c r="Q94" s="226">
        <f t="shared" si="18"/>
        <v>3890</v>
      </c>
      <c r="R94" s="225">
        <f t="shared" si="12"/>
        <v>3890</v>
      </c>
      <c r="S94" s="225">
        <f t="shared" si="13"/>
        <v>3890</v>
      </c>
      <c r="T94" s="135">
        <f t="shared" si="14"/>
        <v>3890</v>
      </c>
      <c r="U94" s="149">
        <f t="shared" si="15"/>
        <v>0</v>
      </c>
      <c r="V94" s="150">
        <f t="shared" si="16"/>
        <v>0</v>
      </c>
      <c r="W94" s="80">
        <f t="shared" si="17"/>
        <v>8219.0970402799139</v>
      </c>
      <c r="Y94" s="53" t="s">
        <v>47</v>
      </c>
    </row>
    <row r="95" spans="1:25" ht="12.4" customHeight="1">
      <c r="A95" s="132" t="s">
        <v>140</v>
      </c>
      <c r="B95" s="194" t="s">
        <v>56</v>
      </c>
      <c r="C95" s="200">
        <v>95</v>
      </c>
      <c r="D95" s="200">
        <v>27</v>
      </c>
      <c r="E95" s="200">
        <v>6</v>
      </c>
      <c r="F95" s="231">
        <v>5850</v>
      </c>
      <c r="G95" s="201"/>
      <c r="H95" s="201"/>
      <c r="I95" s="201"/>
      <c r="J95" s="201"/>
      <c r="K95" s="202"/>
      <c r="L95" s="202"/>
      <c r="M95" s="202"/>
      <c r="N95" s="202"/>
      <c r="O95" s="222">
        <f t="shared" si="10"/>
        <v>0.54357480000000002</v>
      </c>
      <c r="P95" s="223">
        <f t="shared" si="11"/>
        <v>5850</v>
      </c>
      <c r="Q95" s="226">
        <f t="shared" si="18"/>
        <v>5850</v>
      </c>
      <c r="R95" s="225">
        <f t="shared" si="12"/>
        <v>5850</v>
      </c>
      <c r="S95" s="225">
        <f t="shared" si="13"/>
        <v>5850</v>
      </c>
      <c r="T95" s="135">
        <f t="shared" si="14"/>
        <v>5850</v>
      </c>
      <c r="U95" s="149">
        <f t="shared" si="15"/>
        <v>0</v>
      </c>
      <c r="V95" s="150">
        <f t="shared" si="16"/>
        <v>0</v>
      </c>
      <c r="W95" s="80">
        <f t="shared" si="17"/>
        <v>10762.088308729542</v>
      </c>
      <c r="Y95" s="53" t="s">
        <v>47</v>
      </c>
    </row>
    <row r="96" spans="1:25" ht="14.45" customHeight="1">
      <c r="A96" s="132" t="s">
        <v>141</v>
      </c>
      <c r="B96" s="194" t="s">
        <v>56</v>
      </c>
      <c r="C96" s="200">
        <v>76</v>
      </c>
      <c r="D96" s="200">
        <v>19</v>
      </c>
      <c r="E96" s="200">
        <v>9</v>
      </c>
      <c r="F96" s="231">
        <v>3800</v>
      </c>
      <c r="G96" s="201"/>
      <c r="H96" s="201"/>
      <c r="I96" s="201"/>
      <c r="J96" s="201"/>
      <c r="K96" s="202"/>
      <c r="L96" s="202"/>
      <c r="M96" s="202"/>
      <c r="N96" s="202"/>
      <c r="O96" s="222">
        <f t="shared" si="10"/>
        <v>0.45901872000000005</v>
      </c>
      <c r="P96" s="223">
        <f t="shared" si="11"/>
        <v>3800</v>
      </c>
      <c r="Q96" s="226">
        <f t="shared" si="18"/>
        <v>3800</v>
      </c>
      <c r="R96" s="225">
        <f t="shared" si="12"/>
        <v>3800</v>
      </c>
      <c r="S96" s="225">
        <f t="shared" si="13"/>
        <v>3800</v>
      </c>
      <c r="T96" s="135">
        <f t="shared" si="14"/>
        <v>3800</v>
      </c>
      <c r="U96" s="149">
        <f t="shared" si="15"/>
        <v>0</v>
      </c>
      <c r="V96" s="150">
        <f t="shared" si="16"/>
        <v>0</v>
      </c>
      <c r="W96" s="80">
        <f t="shared" si="17"/>
        <v>8278.529468253495</v>
      </c>
      <c r="Y96" s="53" t="s">
        <v>47</v>
      </c>
    </row>
    <row r="97" spans="1:25">
      <c r="A97" s="132" t="s">
        <v>142</v>
      </c>
      <c r="B97" s="194" t="s">
        <v>56</v>
      </c>
      <c r="C97" s="200">
        <v>24</v>
      </c>
      <c r="D97" s="200">
        <v>19</v>
      </c>
      <c r="E97" s="200">
        <v>11</v>
      </c>
      <c r="F97" s="231">
        <v>1640</v>
      </c>
      <c r="G97" s="201"/>
      <c r="H97" s="201"/>
      <c r="I97" s="201"/>
      <c r="J97" s="201"/>
      <c r="K97" s="202"/>
      <c r="L97" s="202"/>
      <c r="M97" s="202"/>
      <c r="N97" s="202"/>
      <c r="O97" s="222">
        <f t="shared" si="10"/>
        <v>0.17716511999999998</v>
      </c>
      <c r="P97" s="223">
        <f t="shared" si="11"/>
        <v>1640</v>
      </c>
      <c r="Q97" s="226">
        <f t="shared" si="18"/>
        <v>1640</v>
      </c>
      <c r="R97" s="225">
        <f t="shared" si="12"/>
        <v>1640</v>
      </c>
      <c r="S97" s="225">
        <f t="shared" si="13"/>
        <v>1640</v>
      </c>
      <c r="T97" s="135">
        <f t="shared" si="14"/>
        <v>1640</v>
      </c>
      <c r="U97" s="149">
        <f t="shared" si="15"/>
        <v>0</v>
      </c>
      <c r="V97" s="150">
        <f t="shared" si="16"/>
        <v>0</v>
      </c>
      <c r="W97" s="80">
        <f t="shared" si="17"/>
        <v>9256.9011326834552</v>
      </c>
      <c r="Y97" s="53" t="s">
        <v>45</v>
      </c>
    </row>
    <row r="98" spans="1:25">
      <c r="A98" s="132" t="s">
        <v>143</v>
      </c>
      <c r="B98" s="194" t="s">
        <v>56</v>
      </c>
      <c r="C98" s="200">
        <v>23</v>
      </c>
      <c r="D98" s="200">
        <v>19</v>
      </c>
      <c r="E98" s="200">
        <v>12</v>
      </c>
      <c r="F98" s="231">
        <v>1890</v>
      </c>
      <c r="G98" s="201"/>
      <c r="H98" s="201"/>
      <c r="I98" s="201"/>
      <c r="J98" s="201"/>
      <c r="K98" s="202"/>
      <c r="L98" s="202"/>
      <c r="M98" s="202"/>
      <c r="N98" s="202"/>
      <c r="O98" s="222">
        <f t="shared" si="10"/>
        <v>0.18521808000000001</v>
      </c>
      <c r="P98" s="223">
        <f t="shared" si="11"/>
        <v>1890</v>
      </c>
      <c r="Q98" s="226">
        <f t="shared" si="18"/>
        <v>1890</v>
      </c>
      <c r="R98" s="225">
        <f t="shared" si="12"/>
        <v>1890</v>
      </c>
      <c r="S98" s="225">
        <f t="shared" si="13"/>
        <v>1890</v>
      </c>
      <c r="T98" s="135">
        <f t="shared" si="14"/>
        <v>1890</v>
      </c>
      <c r="U98" s="149">
        <f t="shared" si="15"/>
        <v>0</v>
      </c>
      <c r="V98" s="150">
        <f t="shared" si="16"/>
        <v>0</v>
      </c>
      <c r="W98" s="80">
        <f t="shared" si="17"/>
        <v>10204.187409782025</v>
      </c>
      <c r="Y98" s="53" t="s">
        <v>45</v>
      </c>
    </row>
    <row r="99" spans="1:25" ht="14.45" customHeight="1">
      <c r="A99" s="132" t="s">
        <v>144</v>
      </c>
      <c r="B99" s="194" t="s">
        <v>56</v>
      </c>
      <c r="C99" s="200">
        <v>23</v>
      </c>
      <c r="D99" s="200">
        <v>19</v>
      </c>
      <c r="E99" s="200">
        <v>20</v>
      </c>
      <c r="F99" s="231">
        <v>2890</v>
      </c>
      <c r="G99" s="201"/>
      <c r="H99" s="201"/>
      <c r="I99" s="201"/>
      <c r="J99" s="201"/>
      <c r="K99" s="202"/>
      <c r="L99" s="202"/>
      <c r="M99" s="202"/>
      <c r="N99" s="202"/>
      <c r="O99" s="222">
        <f t="shared" si="10"/>
        <v>0.30869679999999999</v>
      </c>
      <c r="P99" s="223">
        <f t="shared" si="11"/>
        <v>2890</v>
      </c>
      <c r="Q99" s="226">
        <f t="shared" si="18"/>
        <v>2890</v>
      </c>
      <c r="R99" s="225">
        <f t="shared" si="12"/>
        <v>2890</v>
      </c>
      <c r="S99" s="225">
        <f t="shared" si="13"/>
        <v>2890</v>
      </c>
      <c r="T99" s="135">
        <f t="shared" si="14"/>
        <v>2890</v>
      </c>
      <c r="U99" s="149">
        <f t="shared" si="15"/>
        <v>0</v>
      </c>
      <c r="V99" s="150">
        <f t="shared" si="16"/>
        <v>0</v>
      </c>
      <c r="W99" s="80">
        <f t="shared" si="17"/>
        <v>9361.9370204031911</v>
      </c>
      <c r="Y99" s="53" t="s">
        <v>45</v>
      </c>
    </row>
    <row r="100" spans="1:25">
      <c r="A100" s="159" t="s">
        <v>145</v>
      </c>
      <c r="B100" s="194" t="s">
        <v>56</v>
      </c>
      <c r="C100" s="200">
        <v>100</v>
      </c>
      <c r="D100" s="200">
        <v>29</v>
      </c>
      <c r="E100" s="200">
        <v>8</v>
      </c>
      <c r="F100" s="231">
        <v>15800</v>
      </c>
      <c r="G100" s="201"/>
      <c r="H100" s="201"/>
      <c r="I100" s="201"/>
      <c r="J100" s="201"/>
      <c r="K100" s="202"/>
      <c r="L100" s="202"/>
      <c r="M100" s="202"/>
      <c r="N100" s="202"/>
      <c r="O100" s="222">
        <f t="shared" si="10"/>
        <v>0.81942399999999993</v>
      </c>
      <c r="P100" s="223">
        <f t="shared" si="11"/>
        <v>15800</v>
      </c>
      <c r="Q100" s="226">
        <f t="shared" si="18"/>
        <v>15800</v>
      </c>
      <c r="R100" s="225">
        <f t="shared" si="12"/>
        <v>15800</v>
      </c>
      <c r="S100" s="225">
        <f t="shared" si="13"/>
        <v>15800</v>
      </c>
      <c r="T100" s="135">
        <f t="shared" si="14"/>
        <v>15800</v>
      </c>
      <c r="U100" s="149">
        <f t="shared" si="15"/>
        <v>0</v>
      </c>
      <c r="V100" s="150">
        <f t="shared" si="16"/>
        <v>0</v>
      </c>
      <c r="W100" s="80">
        <f t="shared" si="17"/>
        <v>19281.836997695944</v>
      </c>
      <c r="Y100" s="53" t="s">
        <v>47</v>
      </c>
    </row>
    <row r="101" spans="1:25" ht="14.45" customHeight="1">
      <c r="A101" s="132" t="s">
        <v>146</v>
      </c>
      <c r="B101" s="194" t="s">
        <v>56</v>
      </c>
      <c r="C101" s="200">
        <v>160</v>
      </c>
      <c r="D101" s="200">
        <v>34</v>
      </c>
      <c r="E101" s="200">
        <v>10</v>
      </c>
      <c r="F101" s="231">
        <v>25790</v>
      </c>
      <c r="G101" s="201"/>
      <c r="H101" s="201"/>
      <c r="I101" s="201"/>
      <c r="J101" s="201"/>
      <c r="K101" s="202"/>
      <c r="L101" s="202"/>
      <c r="M101" s="202"/>
      <c r="N101" s="202"/>
      <c r="O101" s="222">
        <f t="shared" si="10"/>
        <v>1.921408</v>
      </c>
      <c r="P101" s="223">
        <f t="shared" si="11"/>
        <v>25790</v>
      </c>
      <c r="Q101" s="226">
        <f t="shared" si="18"/>
        <v>25790</v>
      </c>
      <c r="R101" s="225">
        <f t="shared" si="12"/>
        <v>25790</v>
      </c>
      <c r="S101" s="225">
        <f t="shared" si="13"/>
        <v>25790</v>
      </c>
      <c r="T101" s="135">
        <f t="shared" si="14"/>
        <v>25790</v>
      </c>
      <c r="U101" s="149">
        <f t="shared" si="15"/>
        <v>0</v>
      </c>
      <c r="V101" s="150">
        <f t="shared" si="16"/>
        <v>0</v>
      </c>
      <c r="W101" s="80">
        <f t="shared" si="17"/>
        <v>13422.448537738992</v>
      </c>
      <c r="Y101" s="53" t="s">
        <v>47</v>
      </c>
    </row>
    <row r="102" spans="1:25" ht="14.45" customHeight="1">
      <c r="A102" s="132" t="s">
        <v>147</v>
      </c>
      <c r="B102" s="194" t="s">
        <v>56</v>
      </c>
      <c r="C102" s="200">
        <v>170</v>
      </c>
      <c r="D102" s="200">
        <v>32</v>
      </c>
      <c r="E102" s="200">
        <v>7</v>
      </c>
      <c r="F102" s="231">
        <v>19850</v>
      </c>
      <c r="G102" s="201"/>
      <c r="H102" s="201"/>
      <c r="I102" s="201"/>
      <c r="J102" s="201"/>
      <c r="K102" s="202"/>
      <c r="L102" s="202"/>
      <c r="M102" s="202"/>
      <c r="N102" s="202"/>
      <c r="O102" s="222">
        <f t="shared" si="10"/>
        <v>1.3449856</v>
      </c>
      <c r="P102" s="223">
        <f t="shared" si="11"/>
        <v>19850</v>
      </c>
      <c r="Q102" s="226">
        <f t="shared" si="18"/>
        <v>19850</v>
      </c>
      <c r="R102" s="225">
        <f t="shared" si="12"/>
        <v>19850</v>
      </c>
      <c r="S102" s="225">
        <f t="shared" si="13"/>
        <v>19850</v>
      </c>
      <c r="T102" s="135">
        <f t="shared" si="14"/>
        <v>19850</v>
      </c>
      <c r="U102" s="149">
        <f t="shared" si="15"/>
        <v>0</v>
      </c>
      <c r="V102" s="150">
        <f t="shared" si="16"/>
        <v>0</v>
      </c>
      <c r="W102" s="80">
        <f t="shared" si="17"/>
        <v>14758.522321725972</v>
      </c>
      <c r="Y102" s="53" t="s">
        <v>47</v>
      </c>
    </row>
    <row r="103" spans="1:25" ht="14.45" customHeight="1">
      <c r="A103" s="132" t="s">
        <v>148</v>
      </c>
      <c r="B103" s="194" t="s">
        <v>56</v>
      </c>
      <c r="C103" s="200">
        <v>173</v>
      </c>
      <c r="D103" s="200">
        <v>36</v>
      </c>
      <c r="E103" s="200">
        <v>10</v>
      </c>
      <c r="F103" s="231">
        <v>30450</v>
      </c>
      <c r="G103" s="201"/>
      <c r="H103" s="201"/>
      <c r="I103" s="201"/>
      <c r="J103" s="201"/>
      <c r="K103" s="202"/>
      <c r="L103" s="202"/>
      <c r="M103" s="202"/>
      <c r="N103" s="202"/>
      <c r="O103" s="222">
        <f t="shared" si="10"/>
        <v>2.1997296</v>
      </c>
      <c r="P103" s="223">
        <f t="shared" si="11"/>
        <v>30450</v>
      </c>
      <c r="Q103" s="226">
        <f t="shared" si="18"/>
        <v>30450</v>
      </c>
      <c r="R103" s="225">
        <f t="shared" si="12"/>
        <v>30450</v>
      </c>
      <c r="S103" s="225">
        <f t="shared" si="13"/>
        <v>30450</v>
      </c>
      <c r="T103" s="135">
        <f t="shared" si="14"/>
        <v>30450</v>
      </c>
      <c r="U103" s="149">
        <f t="shared" si="15"/>
        <v>0</v>
      </c>
      <c r="V103" s="150">
        <f t="shared" si="16"/>
        <v>0</v>
      </c>
      <c r="W103" s="80">
        <f t="shared" si="17"/>
        <v>13842.610473578208</v>
      </c>
      <c r="Y103" s="53" t="s">
        <v>47</v>
      </c>
    </row>
    <row r="104" spans="1:25" ht="14.45" customHeight="1">
      <c r="A104" s="132" t="s">
        <v>149</v>
      </c>
      <c r="B104" s="194" t="s">
        <v>56</v>
      </c>
      <c r="C104" s="200">
        <v>71.5</v>
      </c>
      <c r="D104" s="200">
        <v>16</v>
      </c>
      <c r="E104" s="200">
        <v>6</v>
      </c>
      <c r="F104" s="231">
        <v>2850</v>
      </c>
      <c r="G104" s="201"/>
      <c r="H104" s="201"/>
      <c r="I104" s="201"/>
      <c r="J104" s="201"/>
      <c r="K104" s="202"/>
      <c r="L104" s="202"/>
      <c r="M104" s="202"/>
      <c r="N104" s="202"/>
      <c r="O104" s="222">
        <f t="shared" si="10"/>
        <v>0.24243648000000001</v>
      </c>
      <c r="P104" s="223">
        <f t="shared" si="11"/>
        <v>2850</v>
      </c>
      <c r="Q104" s="226">
        <f t="shared" si="18"/>
        <v>2850</v>
      </c>
      <c r="R104" s="225">
        <f t="shared" si="12"/>
        <v>2850</v>
      </c>
      <c r="S104" s="225">
        <f t="shared" si="13"/>
        <v>2850</v>
      </c>
      <c r="T104" s="135">
        <f t="shared" si="14"/>
        <v>2850</v>
      </c>
      <c r="U104" s="149">
        <f t="shared" si="15"/>
        <v>0</v>
      </c>
      <c r="V104" s="150">
        <f t="shared" si="16"/>
        <v>0</v>
      </c>
      <c r="W104" s="80">
        <f t="shared" si="17"/>
        <v>11755.656574456121</v>
      </c>
      <c r="Y104" s="53" t="s">
        <v>45</v>
      </c>
    </row>
    <row r="105" spans="1:25" ht="14.45" customHeight="1">
      <c r="A105" s="132" t="s">
        <v>150</v>
      </c>
      <c r="B105" s="194" t="s">
        <v>56</v>
      </c>
      <c r="C105" s="200">
        <v>66</v>
      </c>
      <c r="D105" s="200">
        <v>30</v>
      </c>
      <c r="E105" s="200">
        <v>23</v>
      </c>
      <c r="F105" s="231">
        <v>20890</v>
      </c>
      <c r="G105" s="201"/>
      <c r="H105" s="201"/>
      <c r="I105" s="201"/>
      <c r="J105" s="201"/>
      <c r="K105" s="202"/>
      <c r="L105" s="202"/>
      <c r="M105" s="202"/>
      <c r="N105" s="202"/>
      <c r="O105" s="222">
        <f t="shared" si="10"/>
        <v>1.6084727999999999</v>
      </c>
      <c r="P105" s="223">
        <f t="shared" si="11"/>
        <v>20890</v>
      </c>
      <c r="Q105" s="226">
        <f t="shared" si="18"/>
        <v>20890</v>
      </c>
      <c r="R105" s="225">
        <f t="shared" si="12"/>
        <v>20890</v>
      </c>
      <c r="S105" s="225">
        <f t="shared" si="13"/>
        <v>20890</v>
      </c>
      <c r="T105" s="135">
        <f t="shared" si="14"/>
        <v>20890</v>
      </c>
      <c r="U105" s="149">
        <f t="shared" si="15"/>
        <v>0</v>
      </c>
      <c r="V105" s="150">
        <f t="shared" si="16"/>
        <v>0</v>
      </c>
      <c r="W105" s="80">
        <f t="shared" si="17"/>
        <v>12987.47482705334</v>
      </c>
      <c r="Y105" s="53" t="s">
        <v>47</v>
      </c>
    </row>
    <row r="106" spans="1:25" ht="14.45" customHeight="1">
      <c r="A106" s="132" t="s">
        <v>151</v>
      </c>
      <c r="B106" s="194" t="s">
        <v>56</v>
      </c>
      <c r="C106" s="200">
        <v>128</v>
      </c>
      <c r="D106" s="200">
        <v>30</v>
      </c>
      <c r="E106" s="200">
        <v>9</v>
      </c>
      <c r="F106" s="231">
        <v>24000</v>
      </c>
      <c r="G106" s="201"/>
      <c r="H106" s="201"/>
      <c r="I106" s="201"/>
      <c r="J106" s="201"/>
      <c r="K106" s="202"/>
      <c r="L106" s="202"/>
      <c r="M106" s="202"/>
      <c r="N106" s="202"/>
      <c r="O106" s="222">
        <f t="shared" si="10"/>
        <v>1.2206592000000001</v>
      </c>
      <c r="P106" s="223">
        <f t="shared" si="11"/>
        <v>24000</v>
      </c>
      <c r="Q106" s="226">
        <f t="shared" si="18"/>
        <v>24000</v>
      </c>
      <c r="R106" s="225">
        <f t="shared" si="12"/>
        <v>24000</v>
      </c>
      <c r="S106" s="225">
        <f t="shared" si="13"/>
        <v>24000</v>
      </c>
      <c r="T106" s="135">
        <f t="shared" si="14"/>
        <v>24000</v>
      </c>
      <c r="U106" s="149">
        <f t="shared" si="15"/>
        <v>0</v>
      </c>
      <c r="V106" s="150">
        <f t="shared" si="16"/>
        <v>0</v>
      </c>
      <c r="W106" s="80">
        <f t="shared" si="17"/>
        <v>19661.507487102052</v>
      </c>
      <c r="Y106" s="53" t="s">
        <v>45</v>
      </c>
    </row>
    <row r="107" spans="1:25" ht="14.45" customHeight="1">
      <c r="A107" s="132" t="s">
        <v>152</v>
      </c>
      <c r="B107" s="194" t="s">
        <v>56</v>
      </c>
      <c r="C107" s="200">
        <v>98</v>
      </c>
      <c r="D107" s="200">
        <v>29</v>
      </c>
      <c r="E107" s="200">
        <v>8</v>
      </c>
      <c r="F107" s="231">
        <v>6800</v>
      </c>
      <c r="G107" s="201"/>
      <c r="H107" s="201"/>
      <c r="I107" s="201"/>
      <c r="J107" s="201"/>
      <c r="K107" s="202"/>
      <c r="L107" s="202"/>
      <c r="M107" s="202"/>
      <c r="N107" s="202"/>
      <c r="O107" s="222">
        <f t="shared" si="10"/>
        <v>0.80303552</v>
      </c>
      <c r="P107" s="223">
        <f t="shared" si="11"/>
        <v>6800</v>
      </c>
      <c r="Q107" s="226">
        <f t="shared" si="18"/>
        <v>6800</v>
      </c>
      <c r="R107" s="225">
        <f t="shared" si="12"/>
        <v>6800</v>
      </c>
      <c r="S107" s="225">
        <f t="shared" si="13"/>
        <v>6800</v>
      </c>
      <c r="T107" s="135">
        <f t="shared" si="14"/>
        <v>6800</v>
      </c>
      <c r="U107" s="149">
        <f t="shared" si="15"/>
        <v>0</v>
      </c>
      <c r="V107" s="150">
        <f t="shared" si="16"/>
        <v>0</v>
      </c>
      <c r="W107" s="80">
        <f t="shared" si="17"/>
        <v>8467.8695159088347</v>
      </c>
      <c r="Y107" s="53" t="s">
        <v>47</v>
      </c>
    </row>
    <row r="108" spans="1:25">
      <c r="A108" s="132" t="s">
        <v>153</v>
      </c>
      <c r="B108" s="194" t="s">
        <v>56</v>
      </c>
      <c r="C108" s="200">
        <v>67</v>
      </c>
      <c r="D108" s="200">
        <v>19</v>
      </c>
      <c r="E108" s="200">
        <v>10</v>
      </c>
      <c r="F108" s="231">
        <v>4300</v>
      </c>
      <c r="G108" s="201"/>
      <c r="H108" s="201"/>
      <c r="I108" s="201"/>
      <c r="J108" s="201"/>
      <c r="K108" s="202"/>
      <c r="L108" s="202"/>
      <c r="M108" s="202"/>
      <c r="N108" s="202"/>
      <c r="O108" s="222">
        <f t="shared" si="10"/>
        <v>0.44962360000000001</v>
      </c>
      <c r="P108" s="223">
        <f t="shared" si="11"/>
        <v>4300</v>
      </c>
      <c r="Q108" s="226">
        <f t="shared" si="18"/>
        <v>4300</v>
      </c>
      <c r="R108" s="225">
        <f t="shared" si="12"/>
        <v>4300</v>
      </c>
      <c r="S108" s="225">
        <f t="shared" si="13"/>
        <v>4300</v>
      </c>
      <c r="T108" s="135">
        <f t="shared" si="14"/>
        <v>4300</v>
      </c>
      <c r="U108" s="149">
        <f t="shared" si="15"/>
        <v>0</v>
      </c>
      <c r="V108" s="150">
        <f t="shared" si="16"/>
        <v>0</v>
      </c>
      <c r="W108" s="80">
        <f t="shared" si="17"/>
        <v>9563.5549379525455</v>
      </c>
      <c r="Y108" s="53" t="s">
        <v>45</v>
      </c>
    </row>
    <row r="109" spans="1:25" ht="14.45" customHeight="1">
      <c r="A109" s="131" t="s">
        <v>154</v>
      </c>
      <c r="B109" s="194" t="s">
        <v>56</v>
      </c>
      <c r="C109" s="200">
        <v>84</v>
      </c>
      <c r="D109" s="200">
        <v>28</v>
      </c>
      <c r="E109" s="200">
        <v>19</v>
      </c>
      <c r="F109" s="232">
        <v>22300</v>
      </c>
      <c r="G109" s="201"/>
      <c r="H109" s="201"/>
      <c r="I109" s="201"/>
      <c r="J109" s="201"/>
      <c r="K109" s="202"/>
      <c r="L109" s="202"/>
      <c r="M109" s="202"/>
      <c r="N109" s="202"/>
      <c r="O109" s="222">
        <f t="shared" si="10"/>
        <v>1.57838016</v>
      </c>
      <c r="P109" s="223">
        <f t="shared" si="11"/>
        <v>22300</v>
      </c>
      <c r="Q109" s="226">
        <f t="shared" si="18"/>
        <v>22300</v>
      </c>
      <c r="R109" s="225">
        <f t="shared" si="12"/>
        <v>22300</v>
      </c>
      <c r="S109" s="225">
        <f t="shared" si="13"/>
        <v>22300</v>
      </c>
      <c r="T109" s="135">
        <f t="shared" si="14"/>
        <v>22300</v>
      </c>
      <c r="U109" s="149">
        <f t="shared" si="15"/>
        <v>0</v>
      </c>
      <c r="V109" s="150">
        <f t="shared" si="16"/>
        <v>0</v>
      </c>
      <c r="W109" s="80">
        <f t="shared" si="17"/>
        <v>14128.40870985099</v>
      </c>
      <c r="Y109" s="53" t="s">
        <v>45</v>
      </c>
    </row>
    <row r="110" spans="1:25">
      <c r="A110" s="178" t="s">
        <v>155</v>
      </c>
      <c r="B110" s="194" t="s">
        <v>56</v>
      </c>
      <c r="C110" s="200">
        <v>143</v>
      </c>
      <c r="D110" s="200">
        <v>28</v>
      </c>
      <c r="E110" s="200">
        <v>7</v>
      </c>
      <c r="F110" s="231">
        <v>10500</v>
      </c>
      <c r="G110" s="201"/>
      <c r="H110" s="201"/>
      <c r="I110" s="201"/>
      <c r="J110" s="201"/>
      <c r="K110" s="202"/>
      <c r="L110" s="202"/>
      <c r="M110" s="202"/>
      <c r="N110" s="202"/>
      <c r="O110" s="222">
        <f t="shared" si="10"/>
        <v>0.98994895999999999</v>
      </c>
      <c r="P110" s="223">
        <f t="shared" si="11"/>
        <v>10500</v>
      </c>
      <c r="Q110" s="226">
        <f t="shared" si="18"/>
        <v>10500</v>
      </c>
      <c r="R110" s="225">
        <f t="shared" si="12"/>
        <v>10500</v>
      </c>
      <c r="S110" s="225">
        <f t="shared" si="13"/>
        <v>10500</v>
      </c>
      <c r="T110" s="135">
        <f t="shared" si="14"/>
        <v>10500</v>
      </c>
      <c r="U110" s="149">
        <f t="shared" si="15"/>
        <v>0</v>
      </c>
      <c r="V110" s="150">
        <f t="shared" si="16"/>
        <v>0</v>
      </c>
      <c r="W110" s="80">
        <f t="shared" si="17"/>
        <v>10606.607435599508</v>
      </c>
      <c r="Y110" s="53" t="s">
        <v>47</v>
      </c>
    </row>
    <row r="111" spans="1:25">
      <c r="A111" s="132" t="s">
        <v>156</v>
      </c>
      <c r="B111" s="194" t="s">
        <v>56</v>
      </c>
      <c r="C111" s="200">
        <v>185</v>
      </c>
      <c r="D111" s="200">
        <v>32</v>
      </c>
      <c r="E111" s="200">
        <v>8</v>
      </c>
      <c r="F111" s="231">
        <v>18850</v>
      </c>
      <c r="G111" s="201"/>
      <c r="H111" s="201"/>
      <c r="I111" s="201"/>
      <c r="J111" s="201"/>
      <c r="K111" s="202"/>
      <c r="L111" s="202"/>
      <c r="M111" s="202"/>
      <c r="N111" s="202"/>
      <c r="O111" s="222">
        <f t="shared" si="10"/>
        <v>1.6727551999999999</v>
      </c>
      <c r="P111" s="223">
        <f t="shared" si="11"/>
        <v>18850</v>
      </c>
      <c r="Q111" s="226">
        <f t="shared" si="18"/>
        <v>18850</v>
      </c>
      <c r="R111" s="225">
        <f t="shared" si="12"/>
        <v>18850</v>
      </c>
      <c r="S111" s="225">
        <f t="shared" si="13"/>
        <v>18850</v>
      </c>
      <c r="T111" s="135">
        <f t="shared" si="14"/>
        <v>18850</v>
      </c>
      <c r="U111" s="149">
        <f t="shared" si="15"/>
        <v>0</v>
      </c>
      <c r="V111" s="150">
        <f t="shared" si="16"/>
        <v>0</v>
      </c>
      <c r="W111" s="80">
        <f t="shared" si="17"/>
        <v>11268.833598604268</v>
      </c>
      <c r="Y111" s="53" t="s">
        <v>45</v>
      </c>
    </row>
    <row r="112" spans="1:25">
      <c r="A112" s="132" t="s">
        <v>157</v>
      </c>
      <c r="B112" s="194" t="s">
        <v>56</v>
      </c>
      <c r="C112" s="200">
        <v>87</v>
      </c>
      <c r="D112" s="200">
        <v>20</v>
      </c>
      <c r="E112" s="200">
        <v>9</v>
      </c>
      <c r="F112" s="231">
        <v>5890</v>
      </c>
      <c r="G112" s="201"/>
      <c r="H112" s="201"/>
      <c r="I112" s="201"/>
      <c r="J112" s="201"/>
      <c r="K112" s="202"/>
      <c r="L112" s="202"/>
      <c r="M112" s="202"/>
      <c r="N112" s="202"/>
      <c r="O112" s="222">
        <f t="shared" si="10"/>
        <v>0.55311120000000003</v>
      </c>
      <c r="P112" s="223">
        <f t="shared" si="11"/>
        <v>5890</v>
      </c>
      <c r="Q112" s="226">
        <f t="shared" si="18"/>
        <v>5890</v>
      </c>
      <c r="R112" s="225">
        <f t="shared" si="12"/>
        <v>5890</v>
      </c>
      <c r="S112" s="225">
        <f t="shared" si="13"/>
        <v>5890</v>
      </c>
      <c r="T112" s="135">
        <f t="shared" si="14"/>
        <v>5890</v>
      </c>
      <c r="U112" s="149">
        <f t="shared" si="15"/>
        <v>0</v>
      </c>
      <c r="V112" s="150">
        <f t="shared" si="16"/>
        <v>0</v>
      </c>
      <c r="W112" s="80">
        <f t="shared" si="17"/>
        <v>10648.853250485616</v>
      </c>
      <c r="Y112" s="53" t="s">
        <v>47</v>
      </c>
    </row>
    <row r="113" spans="1:25" ht="14.45" customHeight="1">
      <c r="A113" s="132" t="s">
        <v>158</v>
      </c>
      <c r="B113" s="194" t="s">
        <v>56</v>
      </c>
      <c r="C113" s="200">
        <v>159</v>
      </c>
      <c r="D113" s="200">
        <v>30</v>
      </c>
      <c r="E113" s="200">
        <v>10</v>
      </c>
      <c r="F113" s="231">
        <v>24450</v>
      </c>
      <c r="G113" s="201"/>
      <c r="H113" s="201"/>
      <c r="I113" s="201"/>
      <c r="J113" s="201"/>
      <c r="K113" s="202"/>
      <c r="L113" s="202"/>
      <c r="M113" s="202"/>
      <c r="N113" s="202"/>
      <c r="O113" s="222">
        <f t="shared" si="10"/>
        <v>1.6847639999999999</v>
      </c>
      <c r="P113" s="223">
        <f t="shared" si="11"/>
        <v>24450</v>
      </c>
      <c r="Q113" s="226">
        <f t="shared" si="18"/>
        <v>24450</v>
      </c>
      <c r="R113" s="225">
        <f t="shared" si="12"/>
        <v>24450</v>
      </c>
      <c r="S113" s="225">
        <f t="shared" si="13"/>
        <v>24450</v>
      </c>
      <c r="T113" s="135">
        <f t="shared" si="14"/>
        <v>24450</v>
      </c>
      <c r="U113" s="149">
        <f t="shared" si="15"/>
        <v>0</v>
      </c>
      <c r="V113" s="150">
        <f t="shared" si="16"/>
        <v>0</v>
      </c>
      <c r="W113" s="80">
        <f t="shared" si="17"/>
        <v>14512.41835651759</v>
      </c>
      <c r="Y113" s="53" t="s">
        <v>47</v>
      </c>
    </row>
    <row r="114" spans="1:25">
      <c r="A114" s="132" t="s">
        <v>159</v>
      </c>
      <c r="B114" s="194" t="s">
        <v>56</v>
      </c>
      <c r="C114" s="200">
        <v>84</v>
      </c>
      <c r="D114" s="200">
        <v>29</v>
      </c>
      <c r="E114" s="200">
        <v>10</v>
      </c>
      <c r="F114" s="231">
        <v>10850</v>
      </c>
      <c r="G114" s="201"/>
      <c r="H114" s="201"/>
      <c r="I114" s="201"/>
      <c r="J114" s="201"/>
      <c r="K114" s="202"/>
      <c r="L114" s="202"/>
      <c r="M114" s="202"/>
      <c r="N114" s="202"/>
      <c r="O114" s="222">
        <f t="shared" si="10"/>
        <v>0.86039520000000003</v>
      </c>
      <c r="P114" s="223">
        <f t="shared" si="11"/>
        <v>10850</v>
      </c>
      <c r="Q114" s="226">
        <f t="shared" si="18"/>
        <v>10850</v>
      </c>
      <c r="R114" s="225">
        <f t="shared" si="12"/>
        <v>10850</v>
      </c>
      <c r="S114" s="225">
        <f t="shared" si="13"/>
        <v>10850</v>
      </c>
      <c r="T114" s="135">
        <f t="shared" si="14"/>
        <v>10850</v>
      </c>
      <c r="U114" s="149">
        <f t="shared" si="15"/>
        <v>0</v>
      </c>
      <c r="V114" s="150">
        <f t="shared" si="16"/>
        <v>0</v>
      </c>
      <c r="W114" s="80">
        <f t="shared" si="17"/>
        <v>12610.484112417178</v>
      </c>
      <c r="Y114" s="53" t="s">
        <v>45</v>
      </c>
    </row>
    <row r="115" spans="1:25" ht="14.45" customHeight="1">
      <c r="A115" s="178" t="s">
        <v>160</v>
      </c>
      <c r="B115" s="194" t="s">
        <v>56</v>
      </c>
      <c r="C115" s="200">
        <v>165</v>
      </c>
      <c r="D115" s="200">
        <v>36</v>
      </c>
      <c r="E115" s="200">
        <v>9</v>
      </c>
      <c r="F115" s="231">
        <v>24450</v>
      </c>
      <c r="G115" s="201"/>
      <c r="H115" s="201"/>
      <c r="I115" s="201"/>
      <c r="J115" s="201"/>
      <c r="K115" s="202"/>
      <c r="L115" s="202"/>
      <c r="M115" s="202"/>
      <c r="N115" s="202"/>
      <c r="O115" s="222">
        <f t="shared" si="10"/>
        <v>1.8882072000000001</v>
      </c>
      <c r="P115" s="223">
        <f t="shared" si="11"/>
        <v>24450</v>
      </c>
      <c r="Q115" s="226">
        <f t="shared" si="18"/>
        <v>24450</v>
      </c>
      <c r="R115" s="225">
        <f t="shared" si="12"/>
        <v>24450</v>
      </c>
      <c r="S115" s="225">
        <f t="shared" si="13"/>
        <v>24450</v>
      </c>
      <c r="T115" s="135">
        <f t="shared" si="14"/>
        <v>24450</v>
      </c>
      <c r="U115" s="149">
        <f t="shared" si="15"/>
        <v>0</v>
      </c>
      <c r="V115" s="150">
        <f t="shared" si="16"/>
        <v>0</v>
      </c>
      <c r="W115" s="80">
        <f t="shared" si="17"/>
        <v>12948.790789485391</v>
      </c>
      <c r="Y115" s="53" t="s">
        <v>47</v>
      </c>
    </row>
    <row r="116" spans="1:25" ht="14.45" customHeight="1">
      <c r="A116" s="132" t="s">
        <v>161</v>
      </c>
      <c r="B116" s="194" t="s">
        <v>56</v>
      </c>
      <c r="C116" s="200">
        <v>121</v>
      </c>
      <c r="D116" s="200">
        <v>45</v>
      </c>
      <c r="E116" s="200">
        <v>6</v>
      </c>
      <c r="F116" s="231">
        <v>9850</v>
      </c>
      <c r="G116" s="201"/>
      <c r="H116" s="201"/>
      <c r="I116" s="201"/>
      <c r="J116" s="201"/>
      <c r="K116" s="202"/>
      <c r="L116" s="202"/>
      <c r="M116" s="202"/>
      <c r="N116" s="202"/>
      <c r="O116" s="222">
        <f t="shared" si="10"/>
        <v>1.1539043999999998</v>
      </c>
      <c r="P116" s="223">
        <f t="shared" si="11"/>
        <v>9850</v>
      </c>
      <c r="Q116" s="226">
        <f t="shared" si="18"/>
        <v>9850</v>
      </c>
      <c r="R116" s="225">
        <f t="shared" si="12"/>
        <v>9850</v>
      </c>
      <c r="S116" s="225">
        <f t="shared" si="13"/>
        <v>9850</v>
      </c>
      <c r="T116" s="135">
        <f t="shared" si="14"/>
        <v>9850</v>
      </c>
      <c r="U116" s="149">
        <f t="shared" si="15"/>
        <v>0</v>
      </c>
      <c r="V116" s="150">
        <f t="shared" si="16"/>
        <v>0</v>
      </c>
      <c r="W116" s="80">
        <f t="shared" si="17"/>
        <v>8536.2357574856305</v>
      </c>
      <c r="Y116" s="53" t="s">
        <v>45</v>
      </c>
    </row>
    <row r="117" spans="1:25" ht="14.45" customHeight="1">
      <c r="A117" s="132" t="s">
        <v>162</v>
      </c>
      <c r="B117" s="194" t="s">
        <v>56</v>
      </c>
      <c r="C117" s="200">
        <v>74</v>
      </c>
      <c r="D117" s="200">
        <v>17</v>
      </c>
      <c r="E117" s="200">
        <v>5</v>
      </c>
      <c r="F117" s="231">
        <v>2350</v>
      </c>
      <c r="G117" s="201"/>
      <c r="H117" s="201"/>
      <c r="I117" s="201"/>
      <c r="J117" s="201"/>
      <c r="K117" s="202"/>
      <c r="L117" s="202"/>
      <c r="M117" s="202"/>
      <c r="N117" s="202"/>
      <c r="O117" s="222">
        <f t="shared" si="10"/>
        <v>0.22216279999999999</v>
      </c>
      <c r="P117" s="223">
        <f t="shared" si="11"/>
        <v>2350</v>
      </c>
      <c r="Q117" s="226">
        <f t="shared" si="18"/>
        <v>2350</v>
      </c>
      <c r="R117" s="225">
        <f t="shared" si="12"/>
        <v>2350</v>
      </c>
      <c r="S117" s="225">
        <f t="shared" si="13"/>
        <v>2350</v>
      </c>
      <c r="T117" s="135">
        <f t="shared" si="14"/>
        <v>2350</v>
      </c>
      <c r="U117" s="149">
        <f t="shared" si="15"/>
        <v>0</v>
      </c>
      <c r="V117" s="150">
        <f t="shared" si="16"/>
        <v>0</v>
      </c>
      <c r="W117" s="80">
        <f t="shared" si="17"/>
        <v>10577.828511343934</v>
      </c>
      <c r="Y117" s="53" t="s">
        <v>47</v>
      </c>
    </row>
    <row r="118" spans="1:25" ht="14.45" customHeight="1">
      <c r="A118" s="132" t="s">
        <v>163</v>
      </c>
      <c r="B118" s="194" t="s">
        <v>56</v>
      </c>
      <c r="C118" s="200">
        <v>75</v>
      </c>
      <c r="D118" s="200">
        <v>36</v>
      </c>
      <c r="E118" s="200">
        <v>5</v>
      </c>
      <c r="F118" s="231">
        <v>3725</v>
      </c>
      <c r="G118" s="201"/>
      <c r="H118" s="201"/>
      <c r="I118" s="201"/>
      <c r="J118" s="201"/>
      <c r="K118" s="202"/>
      <c r="L118" s="202"/>
      <c r="M118" s="202"/>
      <c r="N118" s="202"/>
      <c r="O118" s="222">
        <f t="shared" si="10"/>
        <v>0.47682000000000002</v>
      </c>
      <c r="P118" s="223">
        <f t="shared" si="11"/>
        <v>3725</v>
      </c>
      <c r="Q118" s="226">
        <f t="shared" si="18"/>
        <v>3725</v>
      </c>
      <c r="R118" s="225">
        <f t="shared" si="12"/>
        <v>3725</v>
      </c>
      <c r="S118" s="225">
        <f t="shared" si="13"/>
        <v>3725</v>
      </c>
      <c r="T118" s="135">
        <f t="shared" si="14"/>
        <v>3725</v>
      </c>
      <c r="U118" s="149">
        <f t="shared" si="15"/>
        <v>0</v>
      </c>
      <c r="V118" s="150">
        <f t="shared" si="16"/>
        <v>0</v>
      </c>
      <c r="W118" s="80">
        <f t="shared" si="17"/>
        <v>7812.1723082085482</v>
      </c>
      <c r="Y118" s="53" t="s">
        <v>45</v>
      </c>
    </row>
    <row r="119" spans="1:25" ht="14.45" customHeight="1">
      <c r="A119" s="132" t="s">
        <v>164</v>
      </c>
      <c r="B119" s="194" t="s">
        <v>56</v>
      </c>
      <c r="C119" s="200">
        <v>68</v>
      </c>
      <c r="D119" s="200">
        <v>37</v>
      </c>
      <c r="E119" s="200">
        <v>6</v>
      </c>
      <c r="F119" s="231">
        <v>3890</v>
      </c>
      <c r="G119" s="201"/>
      <c r="H119" s="201"/>
      <c r="I119" s="201"/>
      <c r="J119" s="201"/>
      <c r="K119" s="202"/>
      <c r="L119" s="202"/>
      <c r="M119" s="202"/>
      <c r="N119" s="202"/>
      <c r="O119" s="222">
        <f t="shared" si="10"/>
        <v>0.53319072000000001</v>
      </c>
      <c r="P119" s="223">
        <f t="shared" si="11"/>
        <v>3890</v>
      </c>
      <c r="Q119" s="226">
        <f t="shared" si="18"/>
        <v>3890</v>
      </c>
      <c r="R119" s="225">
        <f t="shared" si="12"/>
        <v>3890</v>
      </c>
      <c r="S119" s="225">
        <f t="shared" si="13"/>
        <v>3890</v>
      </c>
      <c r="T119" s="135">
        <f t="shared" si="14"/>
        <v>3890</v>
      </c>
      <c r="U119" s="149">
        <f t="shared" si="15"/>
        <v>0</v>
      </c>
      <c r="V119" s="150">
        <f t="shared" si="16"/>
        <v>0</v>
      </c>
      <c r="W119" s="80">
        <f t="shared" si="17"/>
        <v>7295.7008704127484</v>
      </c>
      <c r="Y119" s="53" t="s">
        <v>47</v>
      </c>
    </row>
    <row r="120" spans="1:25" ht="14.45" customHeight="1">
      <c r="A120" s="132" t="s">
        <v>165</v>
      </c>
      <c r="B120" s="194" t="s">
        <v>56</v>
      </c>
      <c r="C120" s="200">
        <v>119</v>
      </c>
      <c r="D120" s="200">
        <v>30</v>
      </c>
      <c r="E120" s="200">
        <v>6</v>
      </c>
      <c r="F120" s="231">
        <v>6500</v>
      </c>
      <c r="G120" s="201"/>
      <c r="H120" s="201"/>
      <c r="I120" s="201"/>
      <c r="J120" s="201"/>
      <c r="K120" s="202"/>
      <c r="L120" s="202"/>
      <c r="M120" s="202"/>
      <c r="N120" s="202"/>
      <c r="O120" s="222">
        <f t="shared" si="10"/>
        <v>0.75655440000000007</v>
      </c>
      <c r="P120" s="223">
        <f t="shared" si="11"/>
        <v>6500</v>
      </c>
      <c r="Q120" s="226">
        <f t="shared" si="18"/>
        <v>6500</v>
      </c>
      <c r="R120" s="225">
        <f t="shared" si="12"/>
        <v>6500</v>
      </c>
      <c r="S120" s="225">
        <f t="shared" si="13"/>
        <v>6500</v>
      </c>
      <c r="T120" s="135">
        <f t="shared" si="14"/>
        <v>6500</v>
      </c>
      <c r="U120" s="149">
        <f t="shared" si="15"/>
        <v>0</v>
      </c>
      <c r="V120" s="150">
        <f t="shared" si="16"/>
        <v>0</v>
      </c>
      <c r="W120" s="80">
        <f t="shared" si="17"/>
        <v>8591.5831036076179</v>
      </c>
      <c r="Y120" s="53" t="s">
        <v>47</v>
      </c>
    </row>
    <row r="121" spans="1:25" ht="14.45" customHeight="1">
      <c r="A121" s="132" t="s">
        <v>166</v>
      </c>
      <c r="B121" s="194" t="s">
        <v>54</v>
      </c>
      <c r="C121" s="200"/>
      <c r="D121" s="200"/>
      <c r="E121" s="200"/>
      <c r="F121" s="231"/>
      <c r="G121" s="201"/>
      <c r="H121" s="201"/>
      <c r="I121" s="201"/>
      <c r="J121" s="201"/>
      <c r="K121" s="202"/>
      <c r="L121" s="202"/>
      <c r="M121" s="202"/>
      <c r="N121" s="202"/>
      <c r="O121" s="222">
        <f t="shared" si="10"/>
        <v>0</v>
      </c>
      <c r="P121" s="223">
        <f t="shared" si="11"/>
        <v>0</v>
      </c>
      <c r="Q121" s="226">
        <f t="shared" si="18"/>
        <v>0</v>
      </c>
      <c r="R121" s="225">
        <f t="shared" si="12"/>
        <v>0</v>
      </c>
      <c r="S121" s="225">
        <f t="shared" si="13"/>
        <v>0</v>
      </c>
      <c r="T121" s="135">
        <f t="shared" si="14"/>
        <v>0</v>
      </c>
      <c r="U121" s="149">
        <f t="shared" si="15"/>
        <v>0</v>
      </c>
      <c r="V121" s="150" t="e">
        <f t="shared" si="16"/>
        <v>#DIV/0!</v>
      </c>
      <c r="W121" s="80" t="e">
        <f t="shared" si="17"/>
        <v>#DIV/0!</v>
      </c>
      <c r="Y121" s="53" t="s">
        <v>45</v>
      </c>
    </row>
    <row r="122" spans="1:25" ht="14.45" customHeight="1">
      <c r="A122" s="132" t="s">
        <v>167</v>
      </c>
      <c r="B122" s="194" t="s">
        <v>56</v>
      </c>
      <c r="C122" s="200">
        <v>181</v>
      </c>
      <c r="D122" s="200">
        <v>32</v>
      </c>
      <c r="E122" s="200">
        <v>9</v>
      </c>
      <c r="F122" s="231">
        <v>31750</v>
      </c>
      <c r="G122" s="201"/>
      <c r="H122" s="201"/>
      <c r="I122" s="201"/>
      <c r="J122" s="201"/>
      <c r="K122" s="202"/>
      <c r="L122" s="202"/>
      <c r="M122" s="202"/>
      <c r="N122" s="202"/>
      <c r="O122" s="222">
        <f t="shared" si="10"/>
        <v>1.8411609600000001</v>
      </c>
      <c r="P122" s="223">
        <f t="shared" si="11"/>
        <v>31750</v>
      </c>
      <c r="Q122" s="226">
        <f t="shared" si="18"/>
        <v>31750</v>
      </c>
      <c r="R122" s="225">
        <f t="shared" si="12"/>
        <v>31750</v>
      </c>
      <c r="S122" s="225">
        <f t="shared" si="13"/>
        <v>31750</v>
      </c>
      <c r="T122" s="135">
        <f t="shared" si="14"/>
        <v>31750</v>
      </c>
      <c r="U122" s="149">
        <f t="shared" si="15"/>
        <v>0</v>
      </c>
      <c r="V122" s="150">
        <f t="shared" si="16"/>
        <v>0</v>
      </c>
      <c r="W122" s="80">
        <f t="shared" si="17"/>
        <v>17244.554218659949</v>
      </c>
      <c r="Y122" s="53" t="s">
        <v>47</v>
      </c>
    </row>
    <row r="123" spans="1:25" ht="14.45" customHeight="1">
      <c r="A123" s="132" t="s">
        <v>168</v>
      </c>
      <c r="B123" s="194" t="s">
        <v>56</v>
      </c>
      <c r="C123" s="200">
        <v>165</v>
      </c>
      <c r="D123" s="200">
        <v>34</v>
      </c>
      <c r="E123" s="200">
        <v>9</v>
      </c>
      <c r="F123" s="231">
        <v>21800</v>
      </c>
      <c r="G123" s="201"/>
      <c r="H123" s="201"/>
      <c r="I123" s="201"/>
      <c r="J123" s="201"/>
      <c r="K123" s="202"/>
      <c r="L123" s="202"/>
      <c r="M123" s="202"/>
      <c r="N123" s="202"/>
      <c r="O123" s="222">
        <f t="shared" si="10"/>
        <v>1.7833068000000001</v>
      </c>
      <c r="P123" s="223">
        <f t="shared" si="11"/>
        <v>21800</v>
      </c>
      <c r="Q123" s="226">
        <f t="shared" si="18"/>
        <v>21800</v>
      </c>
      <c r="R123" s="225">
        <f t="shared" si="12"/>
        <v>21800</v>
      </c>
      <c r="S123" s="225">
        <f t="shared" si="13"/>
        <v>21800</v>
      </c>
      <c r="T123" s="135">
        <f t="shared" si="14"/>
        <v>21800</v>
      </c>
      <c r="U123" s="149">
        <f t="shared" si="15"/>
        <v>0</v>
      </c>
      <c r="V123" s="150">
        <f t="shared" si="16"/>
        <v>0</v>
      </c>
      <c r="W123" s="80">
        <f t="shared" si="17"/>
        <v>12224.48094741746</v>
      </c>
      <c r="Y123" s="53" t="s">
        <v>47</v>
      </c>
    </row>
    <row r="124" spans="1:25" ht="14.45" customHeight="1">
      <c r="A124" s="132" t="s">
        <v>169</v>
      </c>
      <c r="B124" s="194" t="s">
        <v>56</v>
      </c>
      <c r="C124" s="200">
        <v>144</v>
      </c>
      <c r="D124" s="200">
        <v>31</v>
      </c>
      <c r="E124" s="200">
        <v>5</v>
      </c>
      <c r="F124" s="231">
        <v>7600</v>
      </c>
      <c r="G124" s="201"/>
      <c r="H124" s="201"/>
      <c r="I124" s="201"/>
      <c r="J124" s="201"/>
      <c r="K124" s="202"/>
      <c r="L124" s="202"/>
      <c r="M124" s="202"/>
      <c r="N124" s="202"/>
      <c r="O124" s="222">
        <f t="shared" si="10"/>
        <v>0.7883424</v>
      </c>
      <c r="P124" s="223">
        <f t="shared" si="11"/>
        <v>7600</v>
      </c>
      <c r="Q124" s="226">
        <f t="shared" si="18"/>
        <v>7600</v>
      </c>
      <c r="R124" s="225">
        <f t="shared" si="12"/>
        <v>7600</v>
      </c>
      <c r="S124" s="225">
        <f t="shared" si="13"/>
        <v>7600</v>
      </c>
      <c r="T124" s="135">
        <f t="shared" si="14"/>
        <v>7600</v>
      </c>
      <c r="U124" s="149">
        <f t="shared" si="15"/>
        <v>0</v>
      </c>
      <c r="V124" s="150">
        <f t="shared" si="16"/>
        <v>0</v>
      </c>
      <c r="W124" s="80">
        <f t="shared" si="17"/>
        <v>9640.4810904500373</v>
      </c>
      <c r="Y124" s="53" t="s">
        <v>47</v>
      </c>
    </row>
    <row r="125" spans="1:25" ht="14.45" customHeight="1">
      <c r="A125" s="132" t="s">
        <v>170</v>
      </c>
      <c r="B125" s="194" t="s">
        <v>56</v>
      </c>
      <c r="C125" s="200">
        <v>144</v>
      </c>
      <c r="D125" s="200">
        <v>21</v>
      </c>
      <c r="E125" s="200">
        <v>7</v>
      </c>
      <c r="F125" s="231">
        <v>7510</v>
      </c>
      <c r="G125" s="201"/>
      <c r="H125" s="201"/>
      <c r="I125" s="201"/>
      <c r="J125" s="201"/>
      <c r="K125" s="202"/>
      <c r="L125" s="202"/>
      <c r="M125" s="202"/>
      <c r="N125" s="202"/>
      <c r="O125" s="222">
        <f t="shared" si="10"/>
        <v>0.74765375999999995</v>
      </c>
      <c r="P125" s="223">
        <f t="shared" si="11"/>
        <v>7510</v>
      </c>
      <c r="Q125" s="226">
        <f t="shared" si="18"/>
        <v>7510</v>
      </c>
      <c r="R125" s="225">
        <f t="shared" si="12"/>
        <v>7510</v>
      </c>
      <c r="S125" s="225">
        <f t="shared" si="13"/>
        <v>7510</v>
      </c>
      <c r="T125" s="135">
        <f t="shared" si="14"/>
        <v>7510</v>
      </c>
      <c r="U125" s="149">
        <f t="shared" si="15"/>
        <v>0</v>
      </c>
      <c r="V125" s="150">
        <f t="shared" si="16"/>
        <v>0</v>
      </c>
      <c r="W125" s="80">
        <f t="shared" si="17"/>
        <v>10044.756546131728</v>
      </c>
      <c r="Y125" s="53" t="s">
        <v>47</v>
      </c>
    </row>
    <row r="126" spans="1:25" ht="14.45" customHeight="1">
      <c r="A126" s="132" t="s">
        <v>171</v>
      </c>
      <c r="B126" s="194" t="s">
        <v>56</v>
      </c>
      <c r="C126" s="200">
        <v>158</v>
      </c>
      <c r="D126" s="200">
        <v>31</v>
      </c>
      <c r="E126" s="200">
        <v>9</v>
      </c>
      <c r="F126" s="231">
        <v>18485</v>
      </c>
      <c r="G126" s="201"/>
      <c r="H126" s="201"/>
      <c r="I126" s="201"/>
      <c r="J126" s="201"/>
      <c r="K126" s="202"/>
      <c r="L126" s="202"/>
      <c r="M126" s="202"/>
      <c r="N126" s="202"/>
      <c r="O126" s="222">
        <f t="shared" si="10"/>
        <v>1.5569762400000002</v>
      </c>
      <c r="P126" s="223">
        <f t="shared" si="11"/>
        <v>18485</v>
      </c>
      <c r="Q126" s="226">
        <f t="shared" si="18"/>
        <v>18485</v>
      </c>
      <c r="R126" s="225">
        <f t="shared" si="12"/>
        <v>18485</v>
      </c>
      <c r="S126" s="225">
        <f t="shared" si="13"/>
        <v>18485</v>
      </c>
      <c r="T126" s="135">
        <f t="shared" si="14"/>
        <v>18485</v>
      </c>
      <c r="U126" s="149">
        <f t="shared" si="15"/>
        <v>0</v>
      </c>
      <c r="V126" s="150">
        <f t="shared" si="16"/>
        <v>0</v>
      </c>
      <c r="W126" s="80">
        <f t="shared" si="17"/>
        <v>11872.371282942633</v>
      </c>
      <c r="Y126" s="53" t="s">
        <v>47</v>
      </c>
    </row>
    <row r="127" spans="1:25" ht="14.45" customHeight="1">
      <c r="A127" s="132" t="s">
        <v>172</v>
      </c>
      <c r="B127" s="194" t="s">
        <v>56</v>
      </c>
      <c r="C127" s="200">
        <v>187</v>
      </c>
      <c r="D127" s="200">
        <v>43</v>
      </c>
      <c r="E127" s="200">
        <v>5</v>
      </c>
      <c r="F127" s="231">
        <v>13800</v>
      </c>
      <c r="G127" s="201"/>
      <c r="H127" s="201"/>
      <c r="I127" s="201"/>
      <c r="J127" s="201"/>
      <c r="K127" s="202"/>
      <c r="L127" s="202"/>
      <c r="M127" s="202"/>
      <c r="N127" s="202"/>
      <c r="O127" s="222">
        <f t="shared" si="10"/>
        <v>1.4200405999999999</v>
      </c>
      <c r="P127" s="223">
        <f t="shared" si="11"/>
        <v>13800</v>
      </c>
      <c r="Q127" s="226">
        <f t="shared" si="18"/>
        <v>13800</v>
      </c>
      <c r="R127" s="225">
        <f t="shared" si="12"/>
        <v>13800</v>
      </c>
      <c r="S127" s="225">
        <f t="shared" si="13"/>
        <v>13800</v>
      </c>
      <c r="T127" s="135">
        <f t="shared" si="14"/>
        <v>13800</v>
      </c>
      <c r="U127" s="149">
        <f t="shared" si="15"/>
        <v>0</v>
      </c>
      <c r="V127" s="150">
        <f t="shared" si="16"/>
        <v>0</v>
      </c>
      <c r="W127" s="80">
        <f t="shared" si="17"/>
        <v>9718.0320055637858</v>
      </c>
      <c r="Y127" s="53" t="s">
        <v>45</v>
      </c>
    </row>
    <row r="128" spans="1:25" ht="14.45" customHeight="1">
      <c r="A128" s="132" t="s">
        <v>173</v>
      </c>
      <c r="B128" s="194" t="s">
        <v>54</v>
      </c>
      <c r="C128" s="200"/>
      <c r="D128" s="200"/>
      <c r="E128" s="200"/>
      <c r="F128" s="231"/>
      <c r="G128" s="201"/>
      <c r="H128" s="201"/>
      <c r="I128" s="201"/>
      <c r="J128" s="201"/>
      <c r="K128" s="202"/>
      <c r="L128" s="202"/>
      <c r="M128" s="202"/>
      <c r="N128" s="202"/>
      <c r="O128" s="222">
        <f t="shared" si="10"/>
        <v>0</v>
      </c>
      <c r="P128" s="223">
        <f t="shared" si="11"/>
        <v>0</v>
      </c>
      <c r="Q128" s="226">
        <f t="shared" si="18"/>
        <v>0</v>
      </c>
      <c r="R128" s="225">
        <f t="shared" si="12"/>
        <v>0</v>
      </c>
      <c r="S128" s="225">
        <f t="shared" si="13"/>
        <v>0</v>
      </c>
      <c r="T128" s="135">
        <f t="shared" si="14"/>
        <v>0</v>
      </c>
      <c r="U128" s="149">
        <f t="shared" si="15"/>
        <v>0</v>
      </c>
      <c r="V128" s="150" t="e">
        <f t="shared" si="16"/>
        <v>#DIV/0!</v>
      </c>
      <c r="W128" s="80" t="e">
        <f t="shared" si="17"/>
        <v>#DIV/0!</v>
      </c>
      <c r="Y128" s="53" t="s">
        <v>45</v>
      </c>
    </row>
    <row r="129" spans="1:25" ht="14.45" customHeight="1">
      <c r="A129" s="132" t="s">
        <v>174</v>
      </c>
      <c r="B129" s="194" t="s">
        <v>56</v>
      </c>
      <c r="C129" s="200">
        <v>97</v>
      </c>
      <c r="D129" s="200">
        <v>20</v>
      </c>
      <c r="E129" s="200">
        <v>10</v>
      </c>
      <c r="F129" s="231">
        <v>8895</v>
      </c>
      <c r="G129" s="201"/>
      <c r="H129" s="201"/>
      <c r="I129" s="201"/>
      <c r="J129" s="201"/>
      <c r="K129" s="202"/>
      <c r="L129" s="202"/>
      <c r="M129" s="202"/>
      <c r="N129" s="202"/>
      <c r="O129" s="222">
        <f t="shared" si="10"/>
        <v>0.68520800000000004</v>
      </c>
      <c r="P129" s="223">
        <f t="shared" si="11"/>
        <v>8895</v>
      </c>
      <c r="Q129" s="226">
        <f t="shared" si="18"/>
        <v>8895</v>
      </c>
      <c r="R129" s="225">
        <f t="shared" si="12"/>
        <v>8895</v>
      </c>
      <c r="S129" s="225">
        <f t="shared" si="13"/>
        <v>8895</v>
      </c>
      <c r="T129" s="135">
        <f t="shared" si="14"/>
        <v>8895</v>
      </c>
      <c r="U129" s="149">
        <f t="shared" si="15"/>
        <v>0</v>
      </c>
      <c r="V129" s="150">
        <f t="shared" si="16"/>
        <v>0</v>
      </c>
      <c r="W129" s="80">
        <f t="shared" si="17"/>
        <v>12981.45964437076</v>
      </c>
      <c r="Y129" s="53" t="s">
        <v>47</v>
      </c>
    </row>
    <row r="130" spans="1:25" ht="14.45" customHeight="1">
      <c r="A130" s="178" t="s">
        <v>175</v>
      </c>
      <c r="B130" s="194" t="s">
        <v>56</v>
      </c>
      <c r="C130" s="200">
        <v>69</v>
      </c>
      <c r="D130" s="200">
        <v>35</v>
      </c>
      <c r="E130" s="200">
        <v>8</v>
      </c>
      <c r="F130" s="231">
        <v>9890</v>
      </c>
      <c r="G130" s="201"/>
      <c r="H130" s="201"/>
      <c r="I130" s="201"/>
      <c r="J130" s="201"/>
      <c r="K130" s="202"/>
      <c r="L130" s="202"/>
      <c r="M130" s="202"/>
      <c r="N130" s="202"/>
      <c r="O130" s="222">
        <f t="shared" si="10"/>
        <v>0.68238240000000006</v>
      </c>
      <c r="P130" s="223">
        <f t="shared" si="11"/>
        <v>9890</v>
      </c>
      <c r="Q130" s="226">
        <f t="shared" si="18"/>
        <v>9890</v>
      </c>
      <c r="R130" s="225">
        <f t="shared" si="12"/>
        <v>9890</v>
      </c>
      <c r="S130" s="225">
        <f t="shared" si="13"/>
        <v>9890</v>
      </c>
      <c r="T130" s="135">
        <f t="shared" si="14"/>
        <v>9890</v>
      </c>
      <c r="U130" s="149">
        <f t="shared" si="15"/>
        <v>0</v>
      </c>
      <c r="V130" s="150">
        <f t="shared" si="16"/>
        <v>0</v>
      </c>
      <c r="W130" s="80">
        <f t="shared" si="17"/>
        <v>14493.339804778083</v>
      </c>
      <c r="Y130" s="53" t="s">
        <v>47</v>
      </c>
    </row>
    <row r="131" spans="1:25" ht="14.45" customHeight="1">
      <c r="A131" s="132" t="s">
        <v>176</v>
      </c>
      <c r="B131" s="194" t="s">
        <v>56</v>
      </c>
      <c r="C131" s="200">
        <v>87</v>
      </c>
      <c r="D131" s="200">
        <v>19</v>
      </c>
      <c r="E131" s="200">
        <v>8</v>
      </c>
      <c r="F131" s="231">
        <v>4360</v>
      </c>
      <c r="G131" s="201"/>
      <c r="H131" s="201"/>
      <c r="I131" s="201"/>
      <c r="J131" s="201"/>
      <c r="K131" s="202"/>
      <c r="L131" s="202"/>
      <c r="M131" s="202"/>
      <c r="N131" s="202"/>
      <c r="O131" s="222">
        <f t="shared" si="10"/>
        <v>0.46707167999999999</v>
      </c>
      <c r="P131" s="223">
        <f t="shared" si="11"/>
        <v>4360</v>
      </c>
      <c r="Q131" s="226">
        <f t="shared" si="18"/>
        <v>4360</v>
      </c>
      <c r="R131" s="225">
        <f t="shared" si="12"/>
        <v>4360</v>
      </c>
      <c r="S131" s="225">
        <f t="shared" si="13"/>
        <v>4360</v>
      </c>
      <c r="T131" s="135">
        <f t="shared" si="14"/>
        <v>4360</v>
      </c>
      <c r="U131" s="149">
        <f t="shared" si="15"/>
        <v>0</v>
      </c>
      <c r="V131" s="150">
        <f t="shared" si="16"/>
        <v>0</v>
      </c>
      <c r="W131" s="80">
        <f t="shared" si="17"/>
        <v>9334.7556417892865</v>
      </c>
      <c r="Y131" s="53" t="s">
        <v>47</v>
      </c>
    </row>
    <row r="132" spans="1:25" ht="14.45" customHeight="1">
      <c r="A132" s="132" t="s">
        <v>177</v>
      </c>
      <c r="B132" s="194" t="s">
        <v>56</v>
      </c>
      <c r="C132" s="200">
        <v>19.5</v>
      </c>
      <c r="D132" s="200">
        <v>19</v>
      </c>
      <c r="E132" s="200">
        <v>7</v>
      </c>
      <c r="F132" s="231">
        <v>900</v>
      </c>
      <c r="G132" s="201"/>
      <c r="H132" s="201"/>
      <c r="I132" s="201"/>
      <c r="J132" s="201"/>
      <c r="K132" s="202"/>
      <c r="L132" s="202"/>
      <c r="M132" s="202"/>
      <c r="N132" s="202"/>
      <c r="O132" s="222">
        <f t="shared" ref="O132:O195" si="19">((IFERROR((C132*D132*E132),0)+IFERROR((G132*H132*I132),0)+IFERROR((K132*L132*M132),0))/1000000)*35.32</f>
        <v>9.160241999999999E-2</v>
      </c>
      <c r="P132" s="223">
        <f t="shared" ref="P132:P195" si="20">F132+J132+N132</f>
        <v>900</v>
      </c>
      <c r="Q132" s="226">
        <f t="shared" si="18"/>
        <v>900</v>
      </c>
      <c r="R132" s="225">
        <f t="shared" ref="R132:R195" si="21">MAX(Q132,O132)</f>
        <v>900</v>
      </c>
      <c r="S132" s="225">
        <f t="shared" ref="S132:S195" si="22">MAX(R132,P132)</f>
        <v>900</v>
      </c>
      <c r="T132" s="135">
        <f t="shared" ref="T132:T195" si="23">MAX(S132,Q132)</f>
        <v>900</v>
      </c>
      <c r="U132" s="149">
        <f t="shared" ref="U132:U195" si="24">T132-Q132</f>
        <v>0</v>
      </c>
      <c r="V132" s="150">
        <f t="shared" ref="V132:V195" si="25">U132/T132</f>
        <v>0</v>
      </c>
      <c r="W132" s="80">
        <f t="shared" ref="W132:W195" si="26">R132/O132</f>
        <v>9825.0679403448084</v>
      </c>
      <c r="Y132" s="53" t="s">
        <v>45</v>
      </c>
    </row>
    <row r="133" spans="1:25" ht="14.45" customHeight="1">
      <c r="A133" s="132" t="s">
        <v>178</v>
      </c>
      <c r="B133" s="194" t="s">
        <v>56</v>
      </c>
      <c r="C133" s="200">
        <v>69</v>
      </c>
      <c r="D133" s="200">
        <v>19</v>
      </c>
      <c r="E133" s="200">
        <v>9</v>
      </c>
      <c r="F133" s="231">
        <v>3890</v>
      </c>
      <c r="G133" s="201"/>
      <c r="H133" s="201"/>
      <c r="I133" s="201"/>
      <c r="J133" s="201"/>
      <c r="K133" s="202"/>
      <c r="L133" s="202"/>
      <c r="M133" s="202"/>
      <c r="N133" s="202"/>
      <c r="O133" s="222">
        <f t="shared" si="19"/>
        <v>0.41674068000000003</v>
      </c>
      <c r="P133" s="223">
        <f t="shared" si="20"/>
        <v>3890</v>
      </c>
      <c r="Q133" s="226">
        <f t="shared" si="18"/>
        <v>3890</v>
      </c>
      <c r="R133" s="225">
        <f t="shared" si="21"/>
        <v>3890</v>
      </c>
      <c r="S133" s="225">
        <f t="shared" si="22"/>
        <v>3890</v>
      </c>
      <c r="T133" s="135">
        <f t="shared" si="23"/>
        <v>3890</v>
      </c>
      <c r="U133" s="149">
        <f t="shared" si="24"/>
        <v>0</v>
      </c>
      <c r="V133" s="150">
        <f t="shared" si="25"/>
        <v>0</v>
      </c>
      <c r="W133" s="80">
        <f t="shared" si="26"/>
        <v>9334.3419221756794</v>
      </c>
      <c r="Y133" s="53" t="s">
        <v>45</v>
      </c>
    </row>
    <row r="134" spans="1:25" ht="14.45" customHeight="1">
      <c r="A134" s="129" t="s">
        <v>179</v>
      </c>
      <c r="B134" s="194" t="s">
        <v>56</v>
      </c>
      <c r="C134" s="200"/>
      <c r="D134" s="200"/>
      <c r="E134" s="200"/>
      <c r="F134" s="232">
        <v>1260</v>
      </c>
      <c r="G134" s="201"/>
      <c r="H134" s="201"/>
      <c r="I134" s="201"/>
      <c r="J134" s="201"/>
      <c r="K134" s="202"/>
      <c r="L134" s="202"/>
      <c r="M134" s="202"/>
      <c r="N134" s="202"/>
      <c r="O134" s="222">
        <f t="shared" si="19"/>
        <v>0</v>
      </c>
      <c r="P134" s="223">
        <f t="shared" si="20"/>
        <v>1260</v>
      </c>
      <c r="Q134" s="226">
        <f t="shared" si="18"/>
        <v>1260</v>
      </c>
      <c r="R134" s="225">
        <f t="shared" si="21"/>
        <v>1260</v>
      </c>
      <c r="S134" s="225">
        <f t="shared" si="22"/>
        <v>1260</v>
      </c>
      <c r="T134" s="135">
        <f t="shared" si="23"/>
        <v>1260</v>
      </c>
      <c r="U134" s="149">
        <f t="shared" si="24"/>
        <v>0</v>
      </c>
      <c r="V134" s="150">
        <f t="shared" si="25"/>
        <v>0</v>
      </c>
      <c r="W134" s="80" t="e">
        <f t="shared" si="26"/>
        <v>#DIV/0!</v>
      </c>
      <c r="Y134" s="53" t="s">
        <v>45</v>
      </c>
    </row>
    <row r="135" spans="1:25" ht="14.45" customHeight="1">
      <c r="A135" s="132" t="s">
        <v>180</v>
      </c>
      <c r="B135" s="194" t="s">
        <v>56</v>
      </c>
      <c r="C135" s="200">
        <v>82</v>
      </c>
      <c r="D135" s="200">
        <v>20</v>
      </c>
      <c r="E135" s="200">
        <v>9</v>
      </c>
      <c r="F135" s="231">
        <v>6800</v>
      </c>
      <c r="G135" s="201"/>
      <c r="H135" s="201"/>
      <c r="I135" s="201"/>
      <c r="J135" s="201"/>
      <c r="K135" s="202"/>
      <c r="L135" s="202"/>
      <c r="M135" s="202"/>
      <c r="N135" s="202"/>
      <c r="O135" s="222">
        <f t="shared" si="19"/>
        <v>0.52132319999999999</v>
      </c>
      <c r="P135" s="223">
        <f t="shared" si="20"/>
        <v>6800</v>
      </c>
      <c r="Q135" s="226">
        <f t="shared" si="18"/>
        <v>6800</v>
      </c>
      <c r="R135" s="225">
        <f t="shared" si="21"/>
        <v>6800</v>
      </c>
      <c r="S135" s="225">
        <f t="shared" si="22"/>
        <v>6800</v>
      </c>
      <c r="T135" s="135">
        <f t="shared" si="23"/>
        <v>6800</v>
      </c>
      <c r="U135" s="149">
        <f t="shared" si="24"/>
        <v>0</v>
      </c>
      <c r="V135" s="150">
        <f t="shared" si="25"/>
        <v>0</v>
      </c>
      <c r="W135" s="80">
        <f t="shared" si="26"/>
        <v>13043.731796321361</v>
      </c>
      <c r="Y135" s="53" t="s">
        <v>47</v>
      </c>
    </row>
    <row r="136" spans="1:25" ht="14.45" customHeight="1">
      <c r="A136" s="132" t="s">
        <v>181</v>
      </c>
      <c r="B136" s="194" t="s">
        <v>56</v>
      </c>
      <c r="C136" s="200">
        <v>61</v>
      </c>
      <c r="D136" s="200">
        <v>17</v>
      </c>
      <c r="E136" s="200">
        <v>6</v>
      </c>
      <c r="F136" s="231">
        <v>1890</v>
      </c>
      <c r="G136" s="201"/>
      <c r="H136" s="201"/>
      <c r="I136" s="201"/>
      <c r="J136" s="201"/>
      <c r="K136" s="202"/>
      <c r="L136" s="202"/>
      <c r="M136" s="202"/>
      <c r="N136" s="202"/>
      <c r="O136" s="222">
        <f t="shared" si="19"/>
        <v>0.21976104000000002</v>
      </c>
      <c r="P136" s="223">
        <f t="shared" si="20"/>
        <v>1890</v>
      </c>
      <c r="Q136" s="226">
        <f t="shared" si="18"/>
        <v>1890</v>
      </c>
      <c r="R136" s="225">
        <f t="shared" si="21"/>
        <v>1890</v>
      </c>
      <c r="S136" s="225">
        <f t="shared" si="22"/>
        <v>1890</v>
      </c>
      <c r="T136" s="135">
        <f t="shared" si="23"/>
        <v>1890</v>
      </c>
      <c r="U136" s="149">
        <f t="shared" si="24"/>
        <v>0</v>
      </c>
      <c r="V136" s="150">
        <f t="shared" si="25"/>
        <v>0</v>
      </c>
      <c r="W136" s="80">
        <f t="shared" si="26"/>
        <v>8600.2505266629596</v>
      </c>
      <c r="Y136" s="53" t="s">
        <v>45</v>
      </c>
    </row>
    <row r="137" spans="1:25">
      <c r="A137" s="132" t="s">
        <v>182</v>
      </c>
      <c r="B137" s="194" t="s">
        <v>56</v>
      </c>
      <c r="C137" s="200">
        <v>113</v>
      </c>
      <c r="D137" s="200">
        <v>18</v>
      </c>
      <c r="E137" s="200">
        <v>4</v>
      </c>
      <c r="F137" s="231">
        <v>2890</v>
      </c>
      <c r="G137" s="201"/>
      <c r="H137" s="201"/>
      <c r="I137" s="201"/>
      <c r="J137" s="201"/>
      <c r="K137" s="202"/>
      <c r="L137" s="202"/>
      <c r="M137" s="202"/>
      <c r="N137" s="202"/>
      <c r="O137" s="222">
        <f t="shared" si="19"/>
        <v>0.28736351999999998</v>
      </c>
      <c r="P137" s="223">
        <f t="shared" si="20"/>
        <v>2890</v>
      </c>
      <c r="Q137" s="226">
        <f t="shared" si="18"/>
        <v>2890</v>
      </c>
      <c r="R137" s="225">
        <f t="shared" si="21"/>
        <v>2890</v>
      </c>
      <c r="S137" s="225">
        <f t="shared" si="22"/>
        <v>2890</v>
      </c>
      <c r="T137" s="135">
        <f t="shared" si="23"/>
        <v>2890</v>
      </c>
      <c r="U137" s="149">
        <f t="shared" si="24"/>
        <v>0</v>
      </c>
      <c r="V137" s="150">
        <f t="shared" si="25"/>
        <v>0</v>
      </c>
      <c r="W137" s="80">
        <f t="shared" si="26"/>
        <v>10056.948077473438</v>
      </c>
      <c r="Y137" s="53" t="s">
        <v>47</v>
      </c>
    </row>
    <row r="138" spans="1:25" ht="12.4" customHeight="1">
      <c r="A138" s="132" t="s">
        <v>183</v>
      </c>
      <c r="B138" s="194" t="s">
        <v>54</v>
      </c>
      <c r="C138" s="200"/>
      <c r="D138" s="200"/>
      <c r="E138" s="200"/>
      <c r="F138" s="231"/>
      <c r="G138" s="201"/>
      <c r="H138" s="201"/>
      <c r="I138" s="201"/>
      <c r="J138" s="201"/>
      <c r="K138" s="202"/>
      <c r="L138" s="202"/>
      <c r="M138" s="202"/>
      <c r="N138" s="202"/>
      <c r="O138" s="222">
        <f t="shared" si="19"/>
        <v>0</v>
      </c>
      <c r="P138" s="223">
        <f t="shared" si="20"/>
        <v>0</v>
      </c>
      <c r="Q138" s="226">
        <f t="shared" si="18"/>
        <v>0</v>
      </c>
      <c r="R138" s="225">
        <f t="shared" si="21"/>
        <v>0</v>
      </c>
      <c r="S138" s="225">
        <f t="shared" si="22"/>
        <v>0</v>
      </c>
      <c r="T138" s="135">
        <f t="shared" si="23"/>
        <v>0</v>
      </c>
      <c r="U138" s="149">
        <f t="shared" si="24"/>
        <v>0</v>
      </c>
      <c r="V138" s="150" t="e">
        <f t="shared" si="25"/>
        <v>#DIV/0!</v>
      </c>
      <c r="W138" s="80" t="e">
        <f t="shared" si="26"/>
        <v>#DIV/0!</v>
      </c>
      <c r="Y138" s="53" t="s">
        <v>45</v>
      </c>
    </row>
    <row r="139" spans="1:25">
      <c r="A139" s="132" t="s">
        <v>184</v>
      </c>
      <c r="B139" s="194" t="s">
        <v>56</v>
      </c>
      <c r="C139" s="200">
        <v>50</v>
      </c>
      <c r="D139" s="200">
        <v>29</v>
      </c>
      <c r="E139" s="200">
        <v>8</v>
      </c>
      <c r="F139" s="231">
        <v>1890</v>
      </c>
      <c r="G139" s="201"/>
      <c r="H139" s="201"/>
      <c r="I139" s="201"/>
      <c r="J139" s="201"/>
      <c r="K139" s="202"/>
      <c r="L139" s="202"/>
      <c r="M139" s="202"/>
      <c r="N139" s="202"/>
      <c r="O139" s="222">
        <f t="shared" si="19"/>
        <v>0.40971199999999997</v>
      </c>
      <c r="P139" s="223">
        <f t="shared" si="20"/>
        <v>1890</v>
      </c>
      <c r="Q139" s="226">
        <f t="shared" si="18"/>
        <v>1890</v>
      </c>
      <c r="R139" s="225">
        <f t="shared" si="21"/>
        <v>1890</v>
      </c>
      <c r="S139" s="225">
        <f t="shared" si="22"/>
        <v>1890</v>
      </c>
      <c r="T139" s="135">
        <f t="shared" si="23"/>
        <v>1890</v>
      </c>
      <c r="U139" s="149">
        <f t="shared" si="24"/>
        <v>0</v>
      </c>
      <c r="V139" s="150">
        <f t="shared" si="25"/>
        <v>0</v>
      </c>
      <c r="W139" s="80">
        <f t="shared" si="26"/>
        <v>4612.9964462842199</v>
      </c>
      <c r="Y139" s="53" t="s">
        <v>45</v>
      </c>
    </row>
    <row r="140" spans="1:25">
      <c r="A140" s="132" t="s">
        <v>185</v>
      </c>
      <c r="B140" s="194" t="s">
        <v>56</v>
      </c>
      <c r="C140" s="200">
        <v>27.5</v>
      </c>
      <c r="D140" s="200">
        <v>27.5</v>
      </c>
      <c r="E140" s="200">
        <v>17.5</v>
      </c>
      <c r="F140" s="231">
        <v>2890</v>
      </c>
      <c r="G140" s="201"/>
      <c r="H140" s="201"/>
      <c r="I140" s="201"/>
      <c r="J140" s="201"/>
      <c r="K140" s="202"/>
      <c r="L140" s="202"/>
      <c r="M140" s="202"/>
      <c r="N140" s="202"/>
      <c r="O140" s="222">
        <f t="shared" si="19"/>
        <v>0.46743812499999998</v>
      </c>
      <c r="P140" s="223">
        <f t="shared" si="20"/>
        <v>2890</v>
      </c>
      <c r="Q140" s="226">
        <f t="shared" si="18"/>
        <v>2890</v>
      </c>
      <c r="R140" s="225">
        <f t="shared" si="21"/>
        <v>2890</v>
      </c>
      <c r="S140" s="225">
        <f t="shared" si="22"/>
        <v>2890</v>
      </c>
      <c r="T140" s="135">
        <f t="shared" si="23"/>
        <v>2890</v>
      </c>
      <c r="U140" s="149">
        <f t="shared" si="24"/>
        <v>0</v>
      </c>
      <c r="V140" s="150">
        <f t="shared" si="25"/>
        <v>0</v>
      </c>
      <c r="W140" s="80">
        <f t="shared" si="26"/>
        <v>6182.6364719394678</v>
      </c>
      <c r="Y140" s="53" t="s">
        <v>45</v>
      </c>
    </row>
    <row r="141" spans="1:25">
      <c r="A141" s="132" t="s">
        <v>186</v>
      </c>
      <c r="B141" s="194" t="s">
        <v>56</v>
      </c>
      <c r="C141" s="200">
        <v>26</v>
      </c>
      <c r="D141" s="200">
        <v>25</v>
      </c>
      <c r="E141" s="200">
        <v>25</v>
      </c>
      <c r="F141" s="231">
        <v>4500</v>
      </c>
      <c r="G141" s="201"/>
      <c r="H141" s="201"/>
      <c r="I141" s="201"/>
      <c r="J141" s="201"/>
      <c r="K141" s="202"/>
      <c r="L141" s="202"/>
      <c r="M141" s="202"/>
      <c r="N141" s="202"/>
      <c r="O141" s="222">
        <f t="shared" si="19"/>
        <v>0.57395000000000007</v>
      </c>
      <c r="P141" s="223">
        <f t="shared" si="20"/>
        <v>4500</v>
      </c>
      <c r="Q141" s="226">
        <f t="shared" si="18"/>
        <v>4500</v>
      </c>
      <c r="R141" s="225">
        <f t="shared" si="21"/>
        <v>4500</v>
      </c>
      <c r="S141" s="225">
        <f t="shared" si="22"/>
        <v>4500</v>
      </c>
      <c r="T141" s="135">
        <f t="shared" si="23"/>
        <v>4500</v>
      </c>
      <c r="U141" s="149">
        <f t="shared" si="24"/>
        <v>0</v>
      </c>
      <c r="V141" s="150">
        <f t="shared" si="25"/>
        <v>0</v>
      </c>
      <c r="W141" s="80">
        <f t="shared" si="26"/>
        <v>7840.4042163951553</v>
      </c>
      <c r="Y141" s="53" t="s">
        <v>45</v>
      </c>
    </row>
    <row r="142" spans="1:25">
      <c r="A142" s="132" t="s">
        <v>187</v>
      </c>
      <c r="B142" s="194" t="s">
        <v>56</v>
      </c>
      <c r="C142" s="200">
        <v>144</v>
      </c>
      <c r="D142" s="200">
        <v>20</v>
      </c>
      <c r="E142" s="200">
        <v>8</v>
      </c>
      <c r="F142" s="231">
        <v>11600</v>
      </c>
      <c r="G142" s="201"/>
      <c r="H142" s="201"/>
      <c r="I142" s="201"/>
      <c r="J142" s="201"/>
      <c r="K142" s="202"/>
      <c r="L142" s="202"/>
      <c r="M142" s="202"/>
      <c r="N142" s="202"/>
      <c r="O142" s="222">
        <f t="shared" si="19"/>
        <v>0.81377280000000007</v>
      </c>
      <c r="P142" s="223">
        <f t="shared" si="20"/>
        <v>11600</v>
      </c>
      <c r="Q142" s="226">
        <f t="shared" ref="Q142:Q205" si="27">F142+J142+N142</f>
        <v>11600</v>
      </c>
      <c r="R142" s="225">
        <f t="shared" si="21"/>
        <v>11600</v>
      </c>
      <c r="S142" s="225">
        <f t="shared" si="22"/>
        <v>11600</v>
      </c>
      <c r="T142" s="135">
        <f t="shared" si="23"/>
        <v>11600</v>
      </c>
      <c r="U142" s="149">
        <f t="shared" si="24"/>
        <v>0</v>
      </c>
      <c r="V142" s="150">
        <f t="shared" si="25"/>
        <v>0</v>
      </c>
      <c r="W142" s="80">
        <f t="shared" si="26"/>
        <v>14254.592928148986</v>
      </c>
      <c r="Y142" s="53" t="s">
        <v>47</v>
      </c>
    </row>
    <row r="143" spans="1:25">
      <c r="A143" s="132" t="s">
        <v>188</v>
      </c>
      <c r="B143" s="194" t="s">
        <v>56</v>
      </c>
      <c r="C143" s="200">
        <v>145</v>
      </c>
      <c r="D143" s="200">
        <v>22</v>
      </c>
      <c r="E143" s="200">
        <v>9</v>
      </c>
      <c r="F143" s="231">
        <v>11430</v>
      </c>
      <c r="G143" s="201"/>
      <c r="H143" s="201"/>
      <c r="I143" s="201"/>
      <c r="J143" s="201"/>
      <c r="K143" s="202"/>
      <c r="L143" s="202"/>
      <c r="M143" s="202"/>
      <c r="N143" s="202"/>
      <c r="O143" s="222">
        <f t="shared" si="19"/>
        <v>1.0140372</v>
      </c>
      <c r="P143" s="223">
        <f t="shared" si="20"/>
        <v>11430</v>
      </c>
      <c r="Q143" s="226">
        <f t="shared" si="27"/>
        <v>11430</v>
      </c>
      <c r="R143" s="225">
        <f t="shared" si="21"/>
        <v>11430</v>
      </c>
      <c r="S143" s="225">
        <f t="shared" si="22"/>
        <v>11430</v>
      </c>
      <c r="T143" s="135">
        <f t="shared" si="23"/>
        <v>11430</v>
      </c>
      <c r="U143" s="149">
        <f t="shared" si="24"/>
        <v>0</v>
      </c>
      <c r="V143" s="150">
        <f t="shared" si="25"/>
        <v>0</v>
      </c>
      <c r="W143" s="80">
        <f t="shared" si="26"/>
        <v>11271.775828342392</v>
      </c>
      <c r="Y143" s="53" t="s">
        <v>47</v>
      </c>
    </row>
    <row r="144" spans="1:25">
      <c r="A144" s="132" t="s">
        <v>189</v>
      </c>
      <c r="B144" s="194" t="s">
        <v>56</v>
      </c>
      <c r="C144" s="200">
        <v>83</v>
      </c>
      <c r="D144" s="200">
        <v>43</v>
      </c>
      <c r="E144" s="200">
        <v>15</v>
      </c>
      <c r="F144" s="231">
        <v>19850</v>
      </c>
      <c r="G144" s="201"/>
      <c r="H144" s="201"/>
      <c r="I144" s="201"/>
      <c r="J144" s="201"/>
      <c r="K144" s="202"/>
      <c r="L144" s="202"/>
      <c r="M144" s="202"/>
      <c r="N144" s="202"/>
      <c r="O144" s="222">
        <f t="shared" si="19"/>
        <v>1.8908562</v>
      </c>
      <c r="P144" s="223">
        <f t="shared" si="20"/>
        <v>19850</v>
      </c>
      <c r="Q144" s="226">
        <f t="shared" si="27"/>
        <v>19850</v>
      </c>
      <c r="R144" s="225">
        <f t="shared" si="21"/>
        <v>19850</v>
      </c>
      <c r="S144" s="225">
        <f t="shared" si="22"/>
        <v>19850</v>
      </c>
      <c r="T144" s="135">
        <f t="shared" si="23"/>
        <v>19850</v>
      </c>
      <c r="U144" s="149">
        <f t="shared" si="24"/>
        <v>0</v>
      </c>
      <c r="V144" s="150">
        <f t="shared" si="25"/>
        <v>0</v>
      </c>
      <c r="W144" s="80">
        <f t="shared" si="26"/>
        <v>10497.889791936585</v>
      </c>
      <c r="Y144" s="53" t="s">
        <v>45</v>
      </c>
    </row>
    <row r="145" spans="1:25" ht="12.95" customHeight="1">
      <c r="A145" s="129" t="s">
        <v>190</v>
      </c>
      <c r="B145" s="194" t="s">
        <v>56</v>
      </c>
      <c r="C145" s="200">
        <v>81</v>
      </c>
      <c r="D145" s="200">
        <v>43</v>
      </c>
      <c r="E145" s="200">
        <v>14</v>
      </c>
      <c r="F145" s="231">
        <v>20800</v>
      </c>
      <c r="G145" s="201"/>
      <c r="H145" s="201"/>
      <c r="I145" s="201"/>
      <c r="J145" s="201"/>
      <c r="K145" s="202"/>
      <c r="L145" s="202"/>
      <c r="M145" s="202"/>
      <c r="N145" s="202"/>
      <c r="O145" s="222">
        <f t="shared" si="19"/>
        <v>1.7222738399999999</v>
      </c>
      <c r="P145" s="223">
        <f t="shared" si="20"/>
        <v>20800</v>
      </c>
      <c r="Q145" s="226">
        <f t="shared" si="27"/>
        <v>20800</v>
      </c>
      <c r="R145" s="225">
        <f t="shared" si="21"/>
        <v>20800</v>
      </c>
      <c r="S145" s="225">
        <f t="shared" si="22"/>
        <v>20800</v>
      </c>
      <c r="T145" s="135">
        <f t="shared" si="23"/>
        <v>20800</v>
      </c>
      <c r="U145" s="149">
        <f t="shared" si="24"/>
        <v>0</v>
      </c>
      <c r="V145" s="150">
        <f t="shared" si="25"/>
        <v>0</v>
      </c>
      <c r="W145" s="80">
        <f t="shared" si="26"/>
        <v>12077.057385949729</v>
      </c>
      <c r="Y145" s="53" t="s">
        <v>47</v>
      </c>
    </row>
    <row r="146" spans="1:25">
      <c r="A146" s="132" t="s">
        <v>191</v>
      </c>
      <c r="B146" s="194" t="s">
        <v>56</v>
      </c>
      <c r="C146" s="200">
        <v>82</v>
      </c>
      <c r="D146" s="200">
        <v>43</v>
      </c>
      <c r="E146" s="200">
        <v>13</v>
      </c>
      <c r="F146" s="231">
        <v>16850</v>
      </c>
      <c r="G146" s="201"/>
      <c r="H146" s="201"/>
      <c r="I146" s="201"/>
      <c r="J146" s="201"/>
      <c r="K146" s="202"/>
      <c r="L146" s="202"/>
      <c r="M146" s="202"/>
      <c r="N146" s="202"/>
      <c r="O146" s="222">
        <f t="shared" si="19"/>
        <v>1.6189981599999999</v>
      </c>
      <c r="P146" s="223">
        <f t="shared" si="20"/>
        <v>16850</v>
      </c>
      <c r="Q146" s="226">
        <f t="shared" si="27"/>
        <v>16850</v>
      </c>
      <c r="R146" s="225">
        <f t="shared" si="21"/>
        <v>16850</v>
      </c>
      <c r="S146" s="225">
        <f t="shared" si="22"/>
        <v>16850</v>
      </c>
      <c r="T146" s="135">
        <f t="shared" si="23"/>
        <v>16850</v>
      </c>
      <c r="U146" s="149">
        <f t="shared" si="24"/>
        <v>0</v>
      </c>
      <c r="V146" s="150">
        <f t="shared" si="25"/>
        <v>0</v>
      </c>
      <c r="W146" s="80">
        <f t="shared" si="26"/>
        <v>10407.670877155291</v>
      </c>
      <c r="Y146" s="53" t="s">
        <v>47</v>
      </c>
    </row>
    <row r="147" spans="1:25" ht="14.45" customHeight="1">
      <c r="A147" s="132" t="s">
        <v>192</v>
      </c>
      <c r="B147" s="194" t="s">
        <v>56</v>
      </c>
      <c r="C147" s="200">
        <v>129</v>
      </c>
      <c r="D147" s="200">
        <v>43</v>
      </c>
      <c r="E147" s="200">
        <v>13</v>
      </c>
      <c r="F147" s="231">
        <v>26300</v>
      </c>
      <c r="G147" s="201"/>
      <c r="H147" s="201"/>
      <c r="I147" s="201"/>
      <c r="J147" s="201"/>
      <c r="K147" s="202"/>
      <c r="L147" s="202"/>
      <c r="M147" s="202"/>
      <c r="N147" s="202"/>
      <c r="O147" s="222">
        <f t="shared" si="19"/>
        <v>2.5469605199999998</v>
      </c>
      <c r="P147" s="223">
        <f t="shared" si="20"/>
        <v>26300</v>
      </c>
      <c r="Q147" s="226">
        <f t="shared" si="27"/>
        <v>26300</v>
      </c>
      <c r="R147" s="225">
        <f t="shared" si="21"/>
        <v>26300</v>
      </c>
      <c r="S147" s="225">
        <f t="shared" si="22"/>
        <v>26300</v>
      </c>
      <c r="T147" s="135">
        <f t="shared" si="23"/>
        <v>26300</v>
      </c>
      <c r="U147" s="149">
        <f t="shared" si="24"/>
        <v>0</v>
      </c>
      <c r="V147" s="150">
        <f t="shared" si="25"/>
        <v>0</v>
      </c>
      <c r="W147" s="80">
        <f t="shared" si="26"/>
        <v>10326.033636359625</v>
      </c>
      <c r="Y147" s="53" t="s">
        <v>47</v>
      </c>
    </row>
    <row r="148" spans="1:25" ht="12.75" customHeight="1">
      <c r="A148" s="131" t="s">
        <v>193</v>
      </c>
      <c r="B148" s="194" t="s">
        <v>56</v>
      </c>
      <c r="C148" s="200">
        <v>129</v>
      </c>
      <c r="D148" s="200">
        <v>43</v>
      </c>
      <c r="E148" s="200">
        <v>13</v>
      </c>
      <c r="F148" s="231">
        <v>30000</v>
      </c>
      <c r="G148" s="201"/>
      <c r="H148" s="201"/>
      <c r="I148" s="201"/>
      <c r="J148" s="201"/>
      <c r="K148" s="202"/>
      <c r="L148" s="202"/>
      <c r="M148" s="202"/>
      <c r="N148" s="202"/>
      <c r="O148" s="222">
        <f t="shared" si="19"/>
        <v>2.5469605199999998</v>
      </c>
      <c r="P148" s="223">
        <f t="shared" si="20"/>
        <v>30000</v>
      </c>
      <c r="Q148" s="226">
        <f t="shared" si="27"/>
        <v>30000</v>
      </c>
      <c r="R148" s="225">
        <f t="shared" si="21"/>
        <v>30000</v>
      </c>
      <c r="S148" s="225">
        <f t="shared" si="22"/>
        <v>30000</v>
      </c>
      <c r="T148" s="135">
        <f t="shared" si="23"/>
        <v>30000</v>
      </c>
      <c r="U148" s="149">
        <f t="shared" si="24"/>
        <v>0</v>
      </c>
      <c r="V148" s="150">
        <f t="shared" si="25"/>
        <v>0</v>
      </c>
      <c r="W148" s="80">
        <f t="shared" si="26"/>
        <v>11778.745592805655</v>
      </c>
      <c r="Y148" s="53" t="s">
        <v>47</v>
      </c>
    </row>
    <row r="149" spans="1:25" ht="14.45" customHeight="1">
      <c r="A149" s="132" t="s">
        <v>194</v>
      </c>
      <c r="B149" s="194" t="s">
        <v>56</v>
      </c>
      <c r="C149" s="200">
        <v>148</v>
      </c>
      <c r="D149" s="200">
        <v>40</v>
      </c>
      <c r="E149" s="200">
        <v>12</v>
      </c>
      <c r="F149" s="231">
        <v>33500</v>
      </c>
      <c r="G149" s="201"/>
      <c r="H149" s="201"/>
      <c r="I149" s="201"/>
      <c r="J149" s="201"/>
      <c r="K149" s="202"/>
      <c r="L149" s="202"/>
      <c r="M149" s="202"/>
      <c r="N149" s="202"/>
      <c r="O149" s="222">
        <f t="shared" si="19"/>
        <v>2.5091328000000002</v>
      </c>
      <c r="P149" s="223">
        <f t="shared" si="20"/>
        <v>33500</v>
      </c>
      <c r="Q149" s="226">
        <f t="shared" si="27"/>
        <v>33500</v>
      </c>
      <c r="R149" s="225">
        <f t="shared" si="21"/>
        <v>33500</v>
      </c>
      <c r="S149" s="225">
        <f t="shared" si="22"/>
        <v>33500</v>
      </c>
      <c r="T149" s="135">
        <f t="shared" si="23"/>
        <v>33500</v>
      </c>
      <c r="U149" s="149">
        <f t="shared" si="24"/>
        <v>0</v>
      </c>
      <c r="V149" s="150">
        <f t="shared" si="25"/>
        <v>0</v>
      </c>
      <c r="W149" s="80">
        <f t="shared" si="26"/>
        <v>13351.226367930783</v>
      </c>
      <c r="Y149" s="53" t="s">
        <v>47</v>
      </c>
    </row>
    <row r="150" spans="1:25">
      <c r="A150" s="132" t="s">
        <v>195</v>
      </c>
      <c r="B150" s="194" t="s">
        <v>56</v>
      </c>
      <c r="C150" s="200">
        <v>103</v>
      </c>
      <c r="D150" s="200">
        <v>35</v>
      </c>
      <c r="E150" s="200">
        <v>7</v>
      </c>
      <c r="F150" s="231">
        <v>12210</v>
      </c>
      <c r="G150" s="201"/>
      <c r="H150" s="201"/>
      <c r="I150" s="201"/>
      <c r="J150" s="201"/>
      <c r="K150" s="202"/>
      <c r="L150" s="202"/>
      <c r="M150" s="202"/>
      <c r="N150" s="202"/>
      <c r="O150" s="222">
        <f t="shared" si="19"/>
        <v>0.89130019999999999</v>
      </c>
      <c r="P150" s="223">
        <f t="shared" si="20"/>
        <v>12210</v>
      </c>
      <c r="Q150" s="226">
        <f t="shared" si="27"/>
        <v>12210</v>
      </c>
      <c r="R150" s="225">
        <f t="shared" si="21"/>
        <v>12210</v>
      </c>
      <c r="S150" s="225">
        <f t="shared" si="22"/>
        <v>12210</v>
      </c>
      <c r="T150" s="135">
        <f t="shared" si="23"/>
        <v>12210</v>
      </c>
      <c r="U150" s="149">
        <f t="shared" si="24"/>
        <v>0</v>
      </c>
      <c r="V150" s="150">
        <f t="shared" si="25"/>
        <v>0</v>
      </c>
      <c r="W150" s="80">
        <f t="shared" si="26"/>
        <v>13699.088141122375</v>
      </c>
      <c r="Y150" s="53" t="s">
        <v>45</v>
      </c>
    </row>
    <row r="151" spans="1:25" ht="14.45" customHeight="1">
      <c r="A151" s="129" t="s">
        <v>196</v>
      </c>
      <c r="B151" s="194" t="s">
        <v>56</v>
      </c>
      <c r="C151" s="200">
        <v>93</v>
      </c>
      <c r="D151" s="200">
        <v>42</v>
      </c>
      <c r="E151" s="200">
        <v>9</v>
      </c>
      <c r="F151" s="231">
        <v>30650</v>
      </c>
      <c r="G151" s="201"/>
      <c r="H151" s="201"/>
      <c r="I151" s="201"/>
      <c r="J151" s="201"/>
      <c r="K151" s="202"/>
      <c r="L151" s="202"/>
      <c r="M151" s="202"/>
      <c r="N151" s="202"/>
      <c r="O151" s="222">
        <f t="shared" si="19"/>
        <v>1.24163928</v>
      </c>
      <c r="P151" s="223">
        <f t="shared" si="20"/>
        <v>30650</v>
      </c>
      <c r="Q151" s="226">
        <f t="shared" si="27"/>
        <v>30650</v>
      </c>
      <c r="R151" s="225">
        <f t="shared" si="21"/>
        <v>30650</v>
      </c>
      <c r="S151" s="225">
        <f t="shared" si="22"/>
        <v>30650</v>
      </c>
      <c r="T151" s="135">
        <f t="shared" si="23"/>
        <v>30650</v>
      </c>
      <c r="U151" s="149">
        <f t="shared" si="24"/>
        <v>0</v>
      </c>
      <c r="V151" s="150">
        <f t="shared" si="25"/>
        <v>0</v>
      </c>
      <c r="W151" s="80">
        <f t="shared" si="26"/>
        <v>24685.108222413841</v>
      </c>
      <c r="Y151" s="53" t="s">
        <v>47</v>
      </c>
    </row>
    <row r="152" spans="1:25">
      <c r="A152" s="132" t="s">
        <v>197</v>
      </c>
      <c r="B152" s="194" t="s">
        <v>56</v>
      </c>
      <c r="C152" s="200">
        <v>147</v>
      </c>
      <c r="D152" s="200">
        <v>38</v>
      </c>
      <c r="E152" s="200">
        <v>11</v>
      </c>
      <c r="F152" s="231">
        <v>29450</v>
      </c>
      <c r="G152" s="201"/>
      <c r="H152" s="201"/>
      <c r="I152" s="201"/>
      <c r="J152" s="201"/>
      <c r="K152" s="202"/>
      <c r="L152" s="202"/>
      <c r="M152" s="202"/>
      <c r="N152" s="202"/>
      <c r="O152" s="222">
        <f t="shared" si="19"/>
        <v>2.1702727199999998</v>
      </c>
      <c r="P152" s="223">
        <f t="shared" si="20"/>
        <v>29450</v>
      </c>
      <c r="Q152" s="226">
        <f t="shared" si="27"/>
        <v>29450</v>
      </c>
      <c r="R152" s="225">
        <f t="shared" si="21"/>
        <v>29450</v>
      </c>
      <c r="S152" s="225">
        <f t="shared" si="22"/>
        <v>29450</v>
      </c>
      <c r="T152" s="135">
        <f t="shared" si="23"/>
        <v>29450</v>
      </c>
      <c r="U152" s="149">
        <f t="shared" si="24"/>
        <v>0</v>
      </c>
      <c r="V152" s="150">
        <f t="shared" si="25"/>
        <v>0</v>
      </c>
      <c r="W152" s="80">
        <f t="shared" si="26"/>
        <v>13569.723163640007</v>
      </c>
      <c r="Y152" s="53" t="s">
        <v>47</v>
      </c>
    </row>
    <row r="153" spans="1:25" ht="14.45" customHeight="1">
      <c r="A153" s="129" t="s">
        <v>198</v>
      </c>
      <c r="B153" s="194" t="s">
        <v>56</v>
      </c>
      <c r="C153" s="200">
        <v>140</v>
      </c>
      <c r="D153" s="200">
        <v>49</v>
      </c>
      <c r="E153" s="200">
        <v>12</v>
      </c>
      <c r="F153" s="231">
        <v>35720</v>
      </c>
      <c r="G153" s="201"/>
      <c r="H153" s="201"/>
      <c r="I153" s="201"/>
      <c r="J153" s="201"/>
      <c r="K153" s="202"/>
      <c r="L153" s="202"/>
      <c r="M153" s="202"/>
      <c r="N153" s="202"/>
      <c r="O153" s="222">
        <f t="shared" si="19"/>
        <v>2.9075424000000001</v>
      </c>
      <c r="P153" s="223">
        <f t="shared" si="20"/>
        <v>35720</v>
      </c>
      <c r="Q153" s="226">
        <f t="shared" si="27"/>
        <v>35720</v>
      </c>
      <c r="R153" s="225">
        <f t="shared" si="21"/>
        <v>35720</v>
      </c>
      <c r="S153" s="225">
        <f t="shared" si="22"/>
        <v>35720</v>
      </c>
      <c r="T153" s="135">
        <f t="shared" si="23"/>
        <v>35720</v>
      </c>
      <c r="U153" s="149">
        <f t="shared" si="24"/>
        <v>0</v>
      </c>
      <c r="V153" s="150">
        <f t="shared" si="25"/>
        <v>0</v>
      </c>
      <c r="W153" s="80">
        <f t="shared" si="26"/>
        <v>12285.289459579333</v>
      </c>
      <c r="Y153" s="53" t="s">
        <v>47</v>
      </c>
    </row>
    <row r="154" spans="1:25" ht="14.45" customHeight="1">
      <c r="A154" s="132" t="s">
        <v>199</v>
      </c>
      <c r="B154" s="194" t="s">
        <v>56</v>
      </c>
      <c r="C154" s="200">
        <v>117</v>
      </c>
      <c r="D154" s="200">
        <v>42</v>
      </c>
      <c r="E154" s="200">
        <v>17</v>
      </c>
      <c r="F154" s="231">
        <v>24400</v>
      </c>
      <c r="G154" s="201"/>
      <c r="H154" s="201"/>
      <c r="I154" s="201"/>
      <c r="J154" s="201"/>
      <c r="K154" s="202"/>
      <c r="L154" s="202"/>
      <c r="M154" s="202"/>
      <c r="N154" s="202"/>
      <c r="O154" s="222">
        <f t="shared" si="19"/>
        <v>2.95056216</v>
      </c>
      <c r="P154" s="223">
        <f t="shared" si="20"/>
        <v>24400</v>
      </c>
      <c r="Q154" s="226">
        <f t="shared" si="27"/>
        <v>24400</v>
      </c>
      <c r="R154" s="225">
        <f t="shared" si="21"/>
        <v>24400</v>
      </c>
      <c r="S154" s="225">
        <f t="shared" si="22"/>
        <v>24400</v>
      </c>
      <c r="T154" s="135">
        <f t="shared" si="23"/>
        <v>24400</v>
      </c>
      <c r="U154" s="149">
        <f t="shared" si="24"/>
        <v>0</v>
      </c>
      <c r="V154" s="150">
        <f t="shared" si="25"/>
        <v>0</v>
      </c>
      <c r="W154" s="80">
        <f t="shared" si="26"/>
        <v>8269.6105612633492</v>
      </c>
      <c r="Y154" s="53" t="s">
        <v>47</v>
      </c>
    </row>
    <row r="155" spans="1:25" ht="14.45" customHeight="1">
      <c r="A155" s="132" t="s">
        <v>200</v>
      </c>
      <c r="B155" s="194" t="s">
        <v>56</v>
      </c>
      <c r="C155" s="200">
        <v>67</v>
      </c>
      <c r="D155" s="200">
        <v>19</v>
      </c>
      <c r="E155" s="200">
        <v>9</v>
      </c>
      <c r="F155" s="231">
        <v>3890</v>
      </c>
      <c r="G155" s="201"/>
      <c r="H155" s="201"/>
      <c r="I155" s="201"/>
      <c r="J155" s="201"/>
      <c r="K155" s="202"/>
      <c r="L155" s="202"/>
      <c r="M155" s="202"/>
      <c r="N155" s="202"/>
      <c r="O155" s="222">
        <f t="shared" si="19"/>
        <v>0.40466124000000003</v>
      </c>
      <c r="P155" s="223">
        <f t="shared" si="20"/>
        <v>3890</v>
      </c>
      <c r="Q155" s="226">
        <f t="shared" si="27"/>
        <v>3890</v>
      </c>
      <c r="R155" s="225">
        <f t="shared" si="21"/>
        <v>3890</v>
      </c>
      <c r="S155" s="225">
        <f t="shared" si="22"/>
        <v>3890</v>
      </c>
      <c r="T155" s="135">
        <f t="shared" si="23"/>
        <v>3890</v>
      </c>
      <c r="U155" s="149">
        <f t="shared" si="24"/>
        <v>0</v>
      </c>
      <c r="V155" s="150">
        <f t="shared" si="25"/>
        <v>0</v>
      </c>
      <c r="W155" s="80">
        <f t="shared" si="26"/>
        <v>9612.9789944794302</v>
      </c>
      <c r="Y155" s="53" t="s">
        <v>45</v>
      </c>
    </row>
    <row r="156" spans="1:25" ht="14.45" customHeight="1">
      <c r="A156" s="132" t="s">
        <v>201</v>
      </c>
      <c r="B156" s="194" t="s">
        <v>56</v>
      </c>
      <c r="C156" s="200">
        <v>32</v>
      </c>
      <c r="D156" s="200">
        <v>32</v>
      </c>
      <c r="E156" s="200">
        <v>12</v>
      </c>
      <c r="F156" s="231">
        <v>1890</v>
      </c>
      <c r="G156" s="201"/>
      <c r="H156" s="201"/>
      <c r="I156" s="201"/>
      <c r="J156" s="201"/>
      <c r="K156" s="202"/>
      <c r="L156" s="202"/>
      <c r="M156" s="202"/>
      <c r="N156" s="202"/>
      <c r="O156" s="222">
        <f t="shared" si="19"/>
        <v>0.43401216000000004</v>
      </c>
      <c r="P156" s="223">
        <f t="shared" si="20"/>
        <v>1890</v>
      </c>
      <c r="Q156" s="226">
        <f t="shared" si="27"/>
        <v>1890</v>
      </c>
      <c r="R156" s="225">
        <f t="shared" si="21"/>
        <v>1890</v>
      </c>
      <c r="S156" s="225">
        <f t="shared" si="22"/>
        <v>1890</v>
      </c>
      <c r="T156" s="135">
        <f t="shared" si="23"/>
        <v>1890</v>
      </c>
      <c r="U156" s="149">
        <f t="shared" si="24"/>
        <v>0</v>
      </c>
      <c r="V156" s="150">
        <f t="shared" si="25"/>
        <v>0</v>
      </c>
      <c r="W156" s="80">
        <f t="shared" si="26"/>
        <v>4354.7166973386184</v>
      </c>
      <c r="Y156" s="53" t="s">
        <v>45</v>
      </c>
    </row>
    <row r="157" spans="1:25" ht="15" customHeight="1">
      <c r="A157" s="132" t="s">
        <v>202</v>
      </c>
      <c r="B157" s="194" t="s">
        <v>56</v>
      </c>
      <c r="C157" s="200">
        <v>86.5</v>
      </c>
      <c r="D157" s="200">
        <v>16</v>
      </c>
      <c r="E157" s="200">
        <v>6</v>
      </c>
      <c r="F157" s="231">
        <v>3890</v>
      </c>
      <c r="G157" s="201"/>
      <c r="H157" s="201"/>
      <c r="I157" s="201"/>
      <c r="J157" s="201"/>
      <c r="K157" s="202"/>
      <c r="L157" s="202"/>
      <c r="M157" s="202"/>
      <c r="N157" s="202"/>
      <c r="O157" s="222">
        <f t="shared" si="19"/>
        <v>0.29329728000000005</v>
      </c>
      <c r="P157" s="223">
        <f t="shared" si="20"/>
        <v>3890</v>
      </c>
      <c r="Q157" s="226">
        <f t="shared" si="27"/>
        <v>3890</v>
      </c>
      <c r="R157" s="225">
        <f t="shared" si="21"/>
        <v>3890</v>
      </c>
      <c r="S157" s="225">
        <f t="shared" si="22"/>
        <v>3890</v>
      </c>
      <c r="T157" s="135">
        <f t="shared" si="23"/>
        <v>3890</v>
      </c>
      <c r="U157" s="149">
        <f t="shared" si="24"/>
        <v>0</v>
      </c>
      <c r="V157" s="150">
        <f t="shared" si="25"/>
        <v>0</v>
      </c>
      <c r="W157" s="80">
        <f t="shared" si="26"/>
        <v>13262.993778871729</v>
      </c>
      <c r="Y157" s="53" t="s">
        <v>45</v>
      </c>
    </row>
    <row r="158" spans="1:25" ht="14.45" customHeight="1">
      <c r="A158" s="132" t="s">
        <v>203</v>
      </c>
      <c r="B158" s="194" t="s">
        <v>56</v>
      </c>
      <c r="C158" s="200">
        <v>122</v>
      </c>
      <c r="D158" s="200">
        <v>63</v>
      </c>
      <c r="E158" s="200">
        <v>8</v>
      </c>
      <c r="F158" s="231">
        <v>18890</v>
      </c>
      <c r="G158" s="201"/>
      <c r="H158" s="201"/>
      <c r="I158" s="201"/>
      <c r="J158" s="201"/>
      <c r="K158" s="202"/>
      <c r="L158" s="202"/>
      <c r="M158" s="202"/>
      <c r="N158" s="202"/>
      <c r="O158" s="222">
        <f t="shared" si="19"/>
        <v>2.1717561600000002</v>
      </c>
      <c r="P158" s="223">
        <f t="shared" si="20"/>
        <v>18890</v>
      </c>
      <c r="Q158" s="226">
        <f t="shared" si="27"/>
        <v>18890</v>
      </c>
      <c r="R158" s="225">
        <f t="shared" si="21"/>
        <v>18890</v>
      </c>
      <c r="S158" s="225">
        <f t="shared" si="22"/>
        <v>18890</v>
      </c>
      <c r="T158" s="135">
        <f t="shared" si="23"/>
        <v>18890</v>
      </c>
      <c r="U158" s="149">
        <f t="shared" si="24"/>
        <v>0</v>
      </c>
      <c r="V158" s="150">
        <f t="shared" si="25"/>
        <v>0</v>
      </c>
      <c r="W158" s="80">
        <f t="shared" si="26"/>
        <v>8698.0298930060362</v>
      </c>
      <c r="Y158" s="53" t="s">
        <v>47</v>
      </c>
    </row>
    <row r="159" spans="1:25" ht="14.45" customHeight="1">
      <c r="A159" s="178" t="s">
        <v>204</v>
      </c>
      <c r="B159" s="194" t="s">
        <v>56</v>
      </c>
      <c r="C159" s="200">
        <v>152</v>
      </c>
      <c r="D159" s="200">
        <v>58</v>
      </c>
      <c r="E159" s="200">
        <v>9</v>
      </c>
      <c r="F159" s="231">
        <v>31890</v>
      </c>
      <c r="G159" s="201"/>
      <c r="H159" s="201"/>
      <c r="I159" s="201"/>
      <c r="J159" s="201"/>
      <c r="K159" s="202"/>
      <c r="L159" s="202"/>
      <c r="M159" s="202"/>
      <c r="N159" s="202"/>
      <c r="O159" s="222">
        <f t="shared" si="19"/>
        <v>2.8024300800000002</v>
      </c>
      <c r="P159" s="223">
        <f t="shared" si="20"/>
        <v>31890</v>
      </c>
      <c r="Q159" s="226">
        <f t="shared" si="27"/>
        <v>31890</v>
      </c>
      <c r="R159" s="225">
        <f t="shared" si="21"/>
        <v>31890</v>
      </c>
      <c r="S159" s="225">
        <f t="shared" si="22"/>
        <v>31890</v>
      </c>
      <c r="T159" s="135">
        <f t="shared" si="23"/>
        <v>31890</v>
      </c>
      <c r="U159" s="149">
        <f t="shared" si="24"/>
        <v>0</v>
      </c>
      <c r="V159" s="150">
        <f t="shared" si="25"/>
        <v>0</v>
      </c>
      <c r="W159" s="80">
        <f t="shared" si="26"/>
        <v>11379.409687181205</v>
      </c>
      <c r="Y159" s="53" t="s">
        <v>47</v>
      </c>
    </row>
    <row r="160" spans="1:25" ht="15">
      <c r="A160" s="129" t="s">
        <v>205</v>
      </c>
      <c r="B160" s="194" t="s">
        <v>56</v>
      </c>
      <c r="C160" s="200">
        <v>125</v>
      </c>
      <c r="D160" s="200">
        <v>53</v>
      </c>
      <c r="E160" s="200">
        <v>13</v>
      </c>
      <c r="F160" s="232">
        <v>17600</v>
      </c>
      <c r="G160" s="201"/>
      <c r="H160" s="201"/>
      <c r="I160" s="201"/>
      <c r="J160" s="201"/>
      <c r="K160" s="202"/>
      <c r="L160" s="202"/>
      <c r="M160" s="202"/>
      <c r="N160" s="202"/>
      <c r="O160" s="222">
        <f t="shared" si="19"/>
        <v>3.0419349999999996</v>
      </c>
      <c r="P160" s="223">
        <f t="shared" si="20"/>
        <v>17600</v>
      </c>
      <c r="Q160" s="226">
        <f t="shared" si="27"/>
        <v>17600</v>
      </c>
      <c r="R160" s="225">
        <f t="shared" si="21"/>
        <v>17600</v>
      </c>
      <c r="S160" s="225">
        <f t="shared" si="22"/>
        <v>17600</v>
      </c>
      <c r="T160" s="135">
        <f t="shared" si="23"/>
        <v>17600</v>
      </c>
      <c r="U160" s="149">
        <f t="shared" si="24"/>
        <v>0</v>
      </c>
      <c r="V160" s="150">
        <f t="shared" si="25"/>
        <v>0</v>
      </c>
      <c r="W160" s="80">
        <f t="shared" si="26"/>
        <v>5785.7909521406609</v>
      </c>
      <c r="Y160" s="53" t="s">
        <v>45</v>
      </c>
    </row>
    <row r="161" spans="1:25" ht="14.45" customHeight="1">
      <c r="A161" s="129" t="s">
        <v>206</v>
      </c>
      <c r="B161" s="194" t="s">
        <v>56</v>
      </c>
      <c r="C161" s="200">
        <v>107</v>
      </c>
      <c r="D161" s="200">
        <v>59</v>
      </c>
      <c r="E161" s="200">
        <v>8</v>
      </c>
      <c r="F161" s="231">
        <v>12700</v>
      </c>
      <c r="G161" s="201"/>
      <c r="H161" s="201"/>
      <c r="I161" s="201"/>
      <c r="J161" s="201"/>
      <c r="K161" s="202"/>
      <c r="L161" s="202"/>
      <c r="M161" s="202"/>
      <c r="N161" s="202"/>
      <c r="O161" s="222">
        <f t="shared" si="19"/>
        <v>1.78380128</v>
      </c>
      <c r="P161" s="223">
        <f t="shared" si="20"/>
        <v>12700</v>
      </c>
      <c r="Q161" s="226">
        <f t="shared" si="27"/>
        <v>12700</v>
      </c>
      <c r="R161" s="225">
        <f t="shared" si="21"/>
        <v>12700</v>
      </c>
      <c r="S161" s="225">
        <f t="shared" si="22"/>
        <v>12700</v>
      </c>
      <c r="T161" s="135">
        <f t="shared" si="23"/>
        <v>12700</v>
      </c>
      <c r="U161" s="149">
        <f t="shared" si="24"/>
        <v>0</v>
      </c>
      <c r="V161" s="150">
        <f t="shared" si="25"/>
        <v>0</v>
      </c>
      <c r="W161" s="80">
        <f t="shared" si="26"/>
        <v>7119.6271369420701</v>
      </c>
      <c r="Y161" s="53" t="s">
        <v>47</v>
      </c>
    </row>
    <row r="162" spans="1:25" ht="14.45" customHeight="1">
      <c r="A162" s="132" t="s">
        <v>207</v>
      </c>
      <c r="B162" s="194" t="s">
        <v>56</v>
      </c>
      <c r="C162" s="200">
        <v>112</v>
      </c>
      <c r="D162" s="200">
        <v>51</v>
      </c>
      <c r="E162" s="200">
        <v>8</v>
      </c>
      <c r="F162" s="231">
        <v>14550</v>
      </c>
      <c r="G162" s="201"/>
      <c r="H162" s="201"/>
      <c r="I162" s="201"/>
      <c r="J162" s="201"/>
      <c r="K162" s="202"/>
      <c r="L162" s="202"/>
      <c r="M162" s="202"/>
      <c r="N162" s="202"/>
      <c r="O162" s="222">
        <f t="shared" si="19"/>
        <v>1.6139827200000001</v>
      </c>
      <c r="P162" s="223">
        <f t="shared" si="20"/>
        <v>14550</v>
      </c>
      <c r="Q162" s="226">
        <f t="shared" si="27"/>
        <v>14550</v>
      </c>
      <c r="R162" s="225">
        <f t="shared" si="21"/>
        <v>14550</v>
      </c>
      <c r="S162" s="225">
        <f t="shared" si="22"/>
        <v>14550</v>
      </c>
      <c r="T162" s="135">
        <f t="shared" si="23"/>
        <v>14550</v>
      </c>
      <c r="U162" s="149">
        <f t="shared" si="24"/>
        <v>0</v>
      </c>
      <c r="V162" s="150">
        <f t="shared" si="25"/>
        <v>0</v>
      </c>
      <c r="W162" s="80">
        <f t="shared" si="26"/>
        <v>9014.9664055882822</v>
      </c>
      <c r="Y162" s="53" t="s">
        <v>45</v>
      </c>
    </row>
    <row r="163" spans="1:25" ht="14.45" customHeight="1">
      <c r="A163" s="132" t="s">
        <v>208</v>
      </c>
      <c r="B163" s="194" t="s">
        <v>56</v>
      </c>
      <c r="C163" s="200">
        <v>85.7</v>
      </c>
      <c r="D163" s="200">
        <v>45.7</v>
      </c>
      <c r="E163" s="200">
        <v>6.5</v>
      </c>
      <c r="F163" s="231">
        <v>12000</v>
      </c>
      <c r="G163" s="201"/>
      <c r="H163" s="201"/>
      <c r="I163" s="201"/>
      <c r="J163" s="201"/>
      <c r="K163" s="202"/>
      <c r="L163" s="202"/>
      <c r="M163" s="202"/>
      <c r="N163" s="202"/>
      <c r="O163" s="222">
        <f t="shared" si="19"/>
        <v>0.89914777420000003</v>
      </c>
      <c r="P163" s="223">
        <f t="shared" si="20"/>
        <v>12000</v>
      </c>
      <c r="Q163" s="226">
        <f t="shared" si="27"/>
        <v>12000</v>
      </c>
      <c r="R163" s="225">
        <f t="shared" si="21"/>
        <v>12000</v>
      </c>
      <c r="S163" s="225">
        <f t="shared" si="22"/>
        <v>12000</v>
      </c>
      <c r="T163" s="135">
        <f t="shared" si="23"/>
        <v>12000</v>
      </c>
      <c r="U163" s="149">
        <f t="shared" si="24"/>
        <v>0</v>
      </c>
      <c r="V163" s="150">
        <f t="shared" si="25"/>
        <v>0</v>
      </c>
      <c r="W163" s="80">
        <f t="shared" si="26"/>
        <v>13345.970867443648</v>
      </c>
      <c r="Y163" s="53" t="s">
        <v>45</v>
      </c>
    </row>
    <row r="164" spans="1:25">
      <c r="A164" s="132" t="s">
        <v>209</v>
      </c>
      <c r="B164" s="194" t="s">
        <v>56</v>
      </c>
      <c r="C164" s="200">
        <v>35</v>
      </c>
      <c r="D164" s="200">
        <v>33</v>
      </c>
      <c r="E164" s="200">
        <v>7</v>
      </c>
      <c r="F164" s="231">
        <v>1535</v>
      </c>
      <c r="G164" s="201"/>
      <c r="H164" s="201"/>
      <c r="I164" s="201"/>
      <c r="J164" s="201"/>
      <c r="K164" s="202"/>
      <c r="L164" s="202"/>
      <c r="M164" s="202"/>
      <c r="N164" s="202"/>
      <c r="O164" s="222">
        <f t="shared" si="19"/>
        <v>0.28556219999999999</v>
      </c>
      <c r="P164" s="223">
        <f t="shared" si="20"/>
        <v>1535</v>
      </c>
      <c r="Q164" s="226">
        <f t="shared" si="27"/>
        <v>1535</v>
      </c>
      <c r="R164" s="225">
        <f t="shared" si="21"/>
        <v>1535</v>
      </c>
      <c r="S164" s="225">
        <f t="shared" si="22"/>
        <v>1535</v>
      </c>
      <c r="T164" s="135">
        <f t="shared" si="23"/>
        <v>1535</v>
      </c>
      <c r="U164" s="149">
        <f t="shared" si="24"/>
        <v>0</v>
      </c>
      <c r="V164" s="150">
        <f t="shared" si="25"/>
        <v>0</v>
      </c>
      <c r="W164" s="80">
        <f t="shared" si="26"/>
        <v>5375.361304822557</v>
      </c>
      <c r="Y164" s="53" t="s">
        <v>47</v>
      </c>
    </row>
    <row r="165" spans="1:25" ht="14.45" customHeight="1">
      <c r="A165" s="132" t="s">
        <v>210</v>
      </c>
      <c r="B165" s="194" t="s">
        <v>56</v>
      </c>
      <c r="C165" s="200">
        <v>76</v>
      </c>
      <c r="D165" s="200">
        <v>26</v>
      </c>
      <c r="E165" s="200">
        <v>5</v>
      </c>
      <c r="F165" s="231">
        <v>945</v>
      </c>
      <c r="G165" s="201"/>
      <c r="H165" s="201"/>
      <c r="I165" s="201"/>
      <c r="J165" s="201"/>
      <c r="K165" s="202"/>
      <c r="L165" s="202"/>
      <c r="M165" s="202"/>
      <c r="N165" s="202"/>
      <c r="O165" s="222">
        <f t="shared" si="19"/>
        <v>0.34896159999999998</v>
      </c>
      <c r="P165" s="223">
        <f t="shared" si="20"/>
        <v>945</v>
      </c>
      <c r="Q165" s="226">
        <f t="shared" si="27"/>
        <v>945</v>
      </c>
      <c r="R165" s="225">
        <f t="shared" si="21"/>
        <v>945</v>
      </c>
      <c r="S165" s="225">
        <f t="shared" si="22"/>
        <v>945</v>
      </c>
      <c r="T165" s="135">
        <f t="shared" si="23"/>
        <v>945</v>
      </c>
      <c r="U165" s="149">
        <f t="shared" si="24"/>
        <v>0</v>
      </c>
      <c r="V165" s="150">
        <f t="shared" si="25"/>
        <v>0</v>
      </c>
      <c r="W165" s="80">
        <f t="shared" si="26"/>
        <v>2708.0343510575376</v>
      </c>
      <c r="Y165" s="53" t="s">
        <v>45</v>
      </c>
    </row>
    <row r="166" spans="1:25">
      <c r="A166" s="132" t="s">
        <v>211</v>
      </c>
      <c r="B166" s="194" t="s">
        <v>56</v>
      </c>
      <c r="C166" s="200">
        <v>114</v>
      </c>
      <c r="D166" s="200">
        <v>60</v>
      </c>
      <c r="E166" s="200">
        <v>5</v>
      </c>
      <c r="F166" s="231">
        <v>13200</v>
      </c>
      <c r="G166" s="201"/>
      <c r="H166" s="201"/>
      <c r="I166" s="201"/>
      <c r="J166" s="201"/>
      <c r="K166" s="202"/>
      <c r="L166" s="202"/>
      <c r="M166" s="202"/>
      <c r="N166" s="202"/>
      <c r="O166" s="222">
        <f t="shared" si="19"/>
        <v>1.2079440000000001</v>
      </c>
      <c r="P166" s="223">
        <f t="shared" si="20"/>
        <v>13200</v>
      </c>
      <c r="Q166" s="226">
        <f t="shared" si="27"/>
        <v>13200</v>
      </c>
      <c r="R166" s="225">
        <f t="shared" si="21"/>
        <v>13200</v>
      </c>
      <c r="S166" s="225">
        <f t="shared" si="22"/>
        <v>13200</v>
      </c>
      <c r="T166" s="135">
        <f t="shared" si="23"/>
        <v>13200</v>
      </c>
      <c r="U166" s="149">
        <f t="shared" si="24"/>
        <v>0</v>
      </c>
      <c r="V166" s="150">
        <f t="shared" si="25"/>
        <v>0</v>
      </c>
      <c r="W166" s="80">
        <f t="shared" si="26"/>
        <v>10927.658898094613</v>
      </c>
      <c r="Y166" s="53" t="s">
        <v>47</v>
      </c>
    </row>
    <row r="167" spans="1:25" ht="14.45" customHeight="1">
      <c r="A167" s="132" t="s">
        <v>212</v>
      </c>
      <c r="B167" s="194" t="s">
        <v>56</v>
      </c>
      <c r="C167" s="200">
        <v>97</v>
      </c>
      <c r="D167" s="200">
        <v>51</v>
      </c>
      <c r="E167" s="200">
        <v>5</v>
      </c>
      <c r="F167" s="231">
        <v>9140</v>
      </c>
      <c r="G167" s="201"/>
      <c r="H167" s="201"/>
      <c r="I167" s="201"/>
      <c r="J167" s="201"/>
      <c r="K167" s="202"/>
      <c r="L167" s="202"/>
      <c r="M167" s="202"/>
      <c r="N167" s="202"/>
      <c r="O167" s="222">
        <f t="shared" si="19"/>
        <v>0.87364019999999998</v>
      </c>
      <c r="P167" s="223">
        <f t="shared" si="20"/>
        <v>9140</v>
      </c>
      <c r="Q167" s="226">
        <f t="shared" si="27"/>
        <v>9140</v>
      </c>
      <c r="R167" s="225">
        <f t="shared" si="21"/>
        <v>9140</v>
      </c>
      <c r="S167" s="225">
        <f t="shared" si="22"/>
        <v>9140</v>
      </c>
      <c r="T167" s="135">
        <f t="shared" si="23"/>
        <v>9140</v>
      </c>
      <c r="U167" s="149">
        <f t="shared" si="24"/>
        <v>0</v>
      </c>
      <c r="V167" s="150">
        <f t="shared" si="25"/>
        <v>0</v>
      </c>
      <c r="W167" s="80">
        <f t="shared" si="26"/>
        <v>10461.972789255806</v>
      </c>
      <c r="Y167" s="53" t="s">
        <v>45</v>
      </c>
    </row>
    <row r="168" spans="1:25">
      <c r="A168" s="132" t="s">
        <v>213</v>
      </c>
      <c r="B168" s="194" t="s">
        <v>56</v>
      </c>
      <c r="C168" s="200">
        <v>121</v>
      </c>
      <c r="D168" s="200">
        <v>63</v>
      </c>
      <c r="E168" s="200">
        <v>5</v>
      </c>
      <c r="F168" s="231">
        <v>13215</v>
      </c>
      <c r="G168" s="201"/>
      <c r="H168" s="201"/>
      <c r="I168" s="201"/>
      <c r="J168" s="201"/>
      <c r="K168" s="202"/>
      <c r="L168" s="202"/>
      <c r="M168" s="202"/>
      <c r="N168" s="202"/>
      <c r="O168" s="222">
        <f t="shared" si="19"/>
        <v>1.3462218000000001</v>
      </c>
      <c r="P168" s="223">
        <f t="shared" si="20"/>
        <v>13215</v>
      </c>
      <c r="Q168" s="226">
        <f t="shared" si="27"/>
        <v>13215</v>
      </c>
      <c r="R168" s="225">
        <f t="shared" si="21"/>
        <v>13215</v>
      </c>
      <c r="S168" s="225">
        <f t="shared" si="22"/>
        <v>13215</v>
      </c>
      <c r="T168" s="135">
        <f t="shared" si="23"/>
        <v>13215</v>
      </c>
      <c r="U168" s="149">
        <f t="shared" si="24"/>
        <v>0</v>
      </c>
      <c r="V168" s="150">
        <f t="shared" si="25"/>
        <v>0</v>
      </c>
      <c r="W168" s="80">
        <f t="shared" si="26"/>
        <v>9816.3616129229213</v>
      </c>
      <c r="Y168" s="53" t="s">
        <v>47</v>
      </c>
    </row>
    <row r="169" spans="1:25" ht="14.45" customHeight="1">
      <c r="A169" s="132" t="s">
        <v>214</v>
      </c>
      <c r="B169" s="194" t="s">
        <v>56</v>
      </c>
      <c r="C169" s="200">
        <v>97</v>
      </c>
      <c r="D169" s="200">
        <v>56</v>
      </c>
      <c r="E169" s="200">
        <v>4</v>
      </c>
      <c r="F169" s="231">
        <v>9550</v>
      </c>
      <c r="G169" s="201"/>
      <c r="H169" s="201"/>
      <c r="I169" s="201"/>
      <c r="J169" s="201"/>
      <c r="K169" s="202"/>
      <c r="L169" s="202"/>
      <c r="M169" s="202"/>
      <c r="N169" s="202"/>
      <c r="O169" s="222">
        <f t="shared" si="19"/>
        <v>0.76743296000000005</v>
      </c>
      <c r="P169" s="223">
        <f t="shared" si="20"/>
        <v>9550</v>
      </c>
      <c r="Q169" s="226">
        <f t="shared" si="27"/>
        <v>9550</v>
      </c>
      <c r="R169" s="225">
        <f t="shared" si="21"/>
        <v>9550</v>
      </c>
      <c r="S169" s="225">
        <f t="shared" si="22"/>
        <v>9550</v>
      </c>
      <c r="T169" s="135">
        <f t="shared" si="23"/>
        <v>9550</v>
      </c>
      <c r="U169" s="149">
        <f t="shared" si="24"/>
        <v>0</v>
      </c>
      <c r="V169" s="150">
        <f t="shared" si="25"/>
        <v>0</v>
      </c>
      <c r="W169" s="80">
        <f t="shared" si="26"/>
        <v>12444.083715143013</v>
      </c>
      <c r="Y169" s="53" t="s">
        <v>47</v>
      </c>
    </row>
    <row r="170" spans="1:25" ht="12.95" customHeight="1">
      <c r="A170" s="132" t="s">
        <v>215</v>
      </c>
      <c r="B170" s="194" t="s">
        <v>56</v>
      </c>
      <c r="C170" s="200">
        <v>87</v>
      </c>
      <c r="D170" s="200">
        <v>59</v>
      </c>
      <c r="E170" s="200">
        <v>5</v>
      </c>
      <c r="F170" s="231">
        <v>6360</v>
      </c>
      <c r="G170" s="201"/>
      <c r="H170" s="201"/>
      <c r="I170" s="201"/>
      <c r="J170" s="201"/>
      <c r="K170" s="202"/>
      <c r="L170" s="202"/>
      <c r="M170" s="202"/>
      <c r="N170" s="202"/>
      <c r="O170" s="222">
        <f t="shared" si="19"/>
        <v>0.90648780000000007</v>
      </c>
      <c r="P170" s="223">
        <f t="shared" si="20"/>
        <v>6360</v>
      </c>
      <c r="Q170" s="226">
        <f t="shared" si="27"/>
        <v>6360</v>
      </c>
      <c r="R170" s="225">
        <f t="shared" si="21"/>
        <v>6360</v>
      </c>
      <c r="S170" s="225">
        <f t="shared" si="22"/>
        <v>6360</v>
      </c>
      <c r="T170" s="135">
        <f t="shared" si="23"/>
        <v>6360</v>
      </c>
      <c r="U170" s="149">
        <f t="shared" si="24"/>
        <v>0</v>
      </c>
      <c r="V170" s="150">
        <f t="shared" si="25"/>
        <v>0</v>
      </c>
      <c r="W170" s="80">
        <f t="shared" si="26"/>
        <v>7016.0900124634873</v>
      </c>
      <c r="Y170" s="53" t="s">
        <v>47</v>
      </c>
    </row>
    <row r="171" spans="1:25" ht="12.95" customHeight="1">
      <c r="A171" s="132" t="s">
        <v>216</v>
      </c>
      <c r="B171" s="194" t="s">
        <v>56</v>
      </c>
      <c r="C171" s="200">
        <v>86</v>
      </c>
      <c r="D171" s="200">
        <v>60</v>
      </c>
      <c r="E171" s="200">
        <v>5</v>
      </c>
      <c r="F171" s="231">
        <v>8000</v>
      </c>
      <c r="G171" s="201"/>
      <c r="H171" s="201"/>
      <c r="I171" s="201"/>
      <c r="J171" s="201"/>
      <c r="K171" s="202"/>
      <c r="L171" s="202"/>
      <c r="M171" s="202"/>
      <c r="N171" s="202"/>
      <c r="O171" s="222">
        <f t="shared" si="19"/>
        <v>0.91125599999999995</v>
      </c>
      <c r="P171" s="223">
        <f t="shared" si="20"/>
        <v>8000</v>
      </c>
      <c r="Q171" s="226">
        <f t="shared" si="27"/>
        <v>8000</v>
      </c>
      <c r="R171" s="225">
        <f t="shared" si="21"/>
        <v>8000</v>
      </c>
      <c r="S171" s="225">
        <f t="shared" si="22"/>
        <v>8000</v>
      </c>
      <c r="T171" s="135">
        <f t="shared" si="23"/>
        <v>8000</v>
      </c>
      <c r="U171" s="149">
        <f t="shared" si="24"/>
        <v>0</v>
      </c>
      <c r="V171" s="150">
        <f t="shared" si="25"/>
        <v>0</v>
      </c>
      <c r="W171" s="80">
        <f t="shared" si="26"/>
        <v>8779.0917151711492</v>
      </c>
      <c r="Y171" s="53" t="s">
        <v>45</v>
      </c>
    </row>
    <row r="172" spans="1:25" ht="12.95" customHeight="1">
      <c r="A172" s="132" t="s">
        <v>217</v>
      </c>
      <c r="B172" s="194" t="s">
        <v>56</v>
      </c>
      <c r="C172" s="200"/>
      <c r="D172" s="200"/>
      <c r="E172" s="200"/>
      <c r="F172" s="231"/>
      <c r="G172" s="201"/>
      <c r="H172" s="201"/>
      <c r="I172" s="201"/>
      <c r="J172" s="201"/>
      <c r="K172" s="202"/>
      <c r="L172" s="202"/>
      <c r="M172" s="202"/>
      <c r="N172" s="202"/>
      <c r="O172" s="222">
        <f t="shared" si="19"/>
        <v>0</v>
      </c>
      <c r="P172" s="223">
        <f t="shared" si="20"/>
        <v>0</v>
      </c>
      <c r="Q172" s="226">
        <f t="shared" si="27"/>
        <v>0</v>
      </c>
      <c r="R172" s="225">
        <f t="shared" si="21"/>
        <v>0</v>
      </c>
      <c r="S172" s="225">
        <f t="shared" si="22"/>
        <v>0</v>
      </c>
      <c r="T172" s="135">
        <f t="shared" si="23"/>
        <v>0</v>
      </c>
      <c r="U172" s="149">
        <f t="shared" si="24"/>
        <v>0</v>
      </c>
      <c r="V172" s="150" t="e">
        <f t="shared" si="25"/>
        <v>#DIV/0!</v>
      </c>
      <c r="W172" s="80" t="e">
        <f t="shared" si="26"/>
        <v>#DIV/0!</v>
      </c>
      <c r="Y172" s="53" t="s">
        <v>45</v>
      </c>
    </row>
    <row r="173" spans="1:25">
      <c r="A173" s="132" t="s">
        <v>218</v>
      </c>
      <c r="B173" s="194" t="s">
        <v>56</v>
      </c>
      <c r="C173" s="200">
        <v>87</v>
      </c>
      <c r="D173" s="200">
        <v>59</v>
      </c>
      <c r="E173" s="200">
        <v>5</v>
      </c>
      <c r="F173" s="231">
        <v>6360</v>
      </c>
      <c r="G173" s="201"/>
      <c r="H173" s="201"/>
      <c r="I173" s="201"/>
      <c r="J173" s="201"/>
      <c r="K173" s="202"/>
      <c r="L173" s="202"/>
      <c r="M173" s="202"/>
      <c r="N173" s="202"/>
      <c r="O173" s="222">
        <f t="shared" si="19"/>
        <v>0.90648780000000007</v>
      </c>
      <c r="P173" s="223">
        <f t="shared" si="20"/>
        <v>6360</v>
      </c>
      <c r="Q173" s="226">
        <f t="shared" si="27"/>
        <v>6360</v>
      </c>
      <c r="R173" s="225">
        <f t="shared" si="21"/>
        <v>6360</v>
      </c>
      <c r="S173" s="225">
        <f t="shared" si="22"/>
        <v>6360</v>
      </c>
      <c r="T173" s="135">
        <f t="shared" si="23"/>
        <v>6360</v>
      </c>
      <c r="U173" s="149">
        <f t="shared" si="24"/>
        <v>0</v>
      </c>
      <c r="V173" s="150">
        <f t="shared" si="25"/>
        <v>0</v>
      </c>
      <c r="W173" s="80">
        <f t="shared" si="26"/>
        <v>7016.0900124634873</v>
      </c>
      <c r="Y173" s="53" t="s">
        <v>45</v>
      </c>
    </row>
    <row r="174" spans="1:25" ht="14.45" customHeight="1">
      <c r="A174" s="132" t="s">
        <v>219</v>
      </c>
      <c r="B174" s="194" t="s">
        <v>56</v>
      </c>
      <c r="C174" s="200">
        <v>85</v>
      </c>
      <c r="D174" s="200">
        <v>58</v>
      </c>
      <c r="E174" s="200">
        <v>4</v>
      </c>
      <c r="F174" s="231">
        <v>7000</v>
      </c>
      <c r="G174" s="201"/>
      <c r="H174" s="201"/>
      <c r="I174" s="201"/>
      <c r="J174" s="201"/>
      <c r="K174" s="202"/>
      <c r="L174" s="202"/>
      <c r="M174" s="202"/>
      <c r="N174" s="202"/>
      <c r="O174" s="222">
        <f t="shared" si="19"/>
        <v>0.69651040000000009</v>
      </c>
      <c r="P174" s="223">
        <f t="shared" si="20"/>
        <v>7000</v>
      </c>
      <c r="Q174" s="226">
        <f t="shared" si="27"/>
        <v>7000</v>
      </c>
      <c r="R174" s="225">
        <f t="shared" si="21"/>
        <v>7000</v>
      </c>
      <c r="S174" s="225">
        <f t="shared" si="22"/>
        <v>7000</v>
      </c>
      <c r="T174" s="135">
        <f t="shared" si="23"/>
        <v>7000</v>
      </c>
      <c r="U174" s="149">
        <f t="shared" si="24"/>
        <v>0</v>
      </c>
      <c r="V174" s="150">
        <f t="shared" si="25"/>
        <v>0</v>
      </c>
      <c r="W174" s="80">
        <f t="shared" si="26"/>
        <v>10050.101190161697</v>
      </c>
      <c r="Y174" s="53" t="s">
        <v>47</v>
      </c>
    </row>
    <row r="175" spans="1:25" ht="14.45" customHeight="1">
      <c r="A175" s="132" t="s">
        <v>220</v>
      </c>
      <c r="B175" s="194" t="s">
        <v>56</v>
      </c>
      <c r="C175" s="200">
        <v>85</v>
      </c>
      <c r="D175" s="200">
        <v>66</v>
      </c>
      <c r="E175" s="200">
        <v>5</v>
      </c>
      <c r="F175" s="231">
        <v>10750</v>
      </c>
      <c r="G175" s="201"/>
      <c r="H175" s="201"/>
      <c r="I175" s="201"/>
      <c r="J175" s="201"/>
      <c r="K175" s="202"/>
      <c r="L175" s="202"/>
      <c r="M175" s="202"/>
      <c r="N175" s="202"/>
      <c r="O175" s="222">
        <f t="shared" si="19"/>
        <v>0.990726</v>
      </c>
      <c r="P175" s="223">
        <f t="shared" si="20"/>
        <v>10750</v>
      </c>
      <c r="Q175" s="226">
        <f t="shared" si="27"/>
        <v>10750</v>
      </c>
      <c r="R175" s="225">
        <f t="shared" si="21"/>
        <v>10750</v>
      </c>
      <c r="S175" s="225">
        <f t="shared" si="22"/>
        <v>10750</v>
      </c>
      <c r="T175" s="135">
        <f t="shared" si="23"/>
        <v>10750</v>
      </c>
      <c r="U175" s="149">
        <f t="shared" si="24"/>
        <v>0</v>
      </c>
      <c r="V175" s="150">
        <f t="shared" si="25"/>
        <v>0</v>
      </c>
      <c r="W175" s="80">
        <f t="shared" si="26"/>
        <v>10850.628730849901</v>
      </c>
      <c r="Y175" s="53" t="s">
        <v>47</v>
      </c>
    </row>
    <row r="176" spans="1:25" ht="12.75" customHeight="1">
      <c r="A176" s="131" t="s">
        <v>221</v>
      </c>
      <c r="B176" s="194" t="s">
        <v>56</v>
      </c>
      <c r="C176" s="200">
        <v>85</v>
      </c>
      <c r="D176" s="200">
        <v>54</v>
      </c>
      <c r="E176" s="200">
        <v>11</v>
      </c>
      <c r="F176" s="231">
        <v>24500</v>
      </c>
      <c r="G176" s="201"/>
      <c r="H176" s="201"/>
      <c r="I176" s="201"/>
      <c r="J176" s="201"/>
      <c r="K176" s="202"/>
      <c r="L176" s="202"/>
      <c r="M176" s="202"/>
      <c r="N176" s="202"/>
      <c r="O176" s="222">
        <f t="shared" si="19"/>
        <v>1.7833068000000001</v>
      </c>
      <c r="P176" s="223">
        <f t="shared" si="20"/>
        <v>24500</v>
      </c>
      <c r="Q176" s="226">
        <f t="shared" si="27"/>
        <v>24500</v>
      </c>
      <c r="R176" s="225">
        <f t="shared" si="21"/>
        <v>24500</v>
      </c>
      <c r="S176" s="225">
        <f t="shared" si="22"/>
        <v>24500</v>
      </c>
      <c r="T176" s="135">
        <f t="shared" si="23"/>
        <v>24500</v>
      </c>
      <c r="U176" s="149">
        <f t="shared" si="24"/>
        <v>0</v>
      </c>
      <c r="V176" s="150">
        <f t="shared" si="25"/>
        <v>0</v>
      </c>
      <c r="W176" s="80">
        <f t="shared" si="26"/>
        <v>13738.522165675586</v>
      </c>
      <c r="Y176" s="53" t="s">
        <v>47</v>
      </c>
    </row>
    <row r="177" spans="1:25" ht="14.45" customHeight="1">
      <c r="A177" s="170" t="s">
        <v>222</v>
      </c>
      <c r="B177" s="194" t="s">
        <v>56</v>
      </c>
      <c r="C177" s="200">
        <v>111</v>
      </c>
      <c r="D177" s="200">
        <v>48</v>
      </c>
      <c r="E177" s="200">
        <v>10</v>
      </c>
      <c r="F177" s="231">
        <v>20500</v>
      </c>
      <c r="G177" s="201"/>
      <c r="H177" s="201"/>
      <c r="I177" s="201"/>
      <c r="J177" s="201"/>
      <c r="K177" s="202"/>
      <c r="L177" s="202"/>
      <c r="M177" s="202"/>
      <c r="N177" s="202"/>
      <c r="O177" s="222">
        <f t="shared" si="19"/>
        <v>1.8818496</v>
      </c>
      <c r="P177" s="223">
        <f t="shared" si="20"/>
        <v>20500</v>
      </c>
      <c r="Q177" s="226">
        <f t="shared" si="27"/>
        <v>20500</v>
      </c>
      <c r="R177" s="225">
        <f t="shared" si="21"/>
        <v>20500</v>
      </c>
      <c r="S177" s="225">
        <f t="shared" si="22"/>
        <v>20500</v>
      </c>
      <c r="T177" s="135">
        <f t="shared" si="23"/>
        <v>20500</v>
      </c>
      <c r="U177" s="149">
        <f t="shared" si="24"/>
        <v>0</v>
      </c>
      <c r="V177" s="150">
        <f t="shared" si="25"/>
        <v>0</v>
      </c>
      <c r="W177" s="80">
        <f t="shared" si="26"/>
        <v>10893.537932043027</v>
      </c>
      <c r="Y177" s="53" t="s">
        <v>47</v>
      </c>
    </row>
    <row r="178" spans="1:25" ht="14.45" customHeight="1">
      <c r="A178" s="132" t="s">
        <v>223</v>
      </c>
      <c r="B178" s="194" t="s">
        <v>56</v>
      </c>
      <c r="C178" s="200">
        <v>109</v>
      </c>
      <c r="D178" s="200">
        <v>47</v>
      </c>
      <c r="E178" s="200">
        <v>9</v>
      </c>
      <c r="F178" s="231">
        <v>18300</v>
      </c>
      <c r="G178" s="201"/>
      <c r="H178" s="201"/>
      <c r="I178" s="201"/>
      <c r="J178" s="201"/>
      <c r="K178" s="202"/>
      <c r="L178" s="202"/>
      <c r="M178" s="202"/>
      <c r="N178" s="202"/>
      <c r="O178" s="222">
        <f t="shared" si="19"/>
        <v>1.62849924</v>
      </c>
      <c r="P178" s="223">
        <f t="shared" si="20"/>
        <v>18300</v>
      </c>
      <c r="Q178" s="226">
        <f t="shared" si="27"/>
        <v>18300</v>
      </c>
      <c r="R178" s="225">
        <f t="shared" si="21"/>
        <v>18300</v>
      </c>
      <c r="S178" s="225">
        <f t="shared" si="22"/>
        <v>18300</v>
      </c>
      <c r="T178" s="135">
        <f t="shared" si="23"/>
        <v>18300</v>
      </c>
      <c r="U178" s="149">
        <f t="shared" si="24"/>
        <v>0</v>
      </c>
      <c r="V178" s="150">
        <f t="shared" si="25"/>
        <v>0</v>
      </c>
      <c r="W178" s="80">
        <f t="shared" si="26"/>
        <v>11237.340215154169</v>
      </c>
      <c r="Y178" s="53" t="s">
        <v>47</v>
      </c>
    </row>
    <row r="179" spans="1:25" ht="14.45" customHeight="1">
      <c r="A179" s="131" t="s">
        <v>224</v>
      </c>
      <c r="B179" s="194" t="s">
        <v>56</v>
      </c>
      <c r="C179" s="200">
        <v>123</v>
      </c>
      <c r="D179" s="200">
        <v>30</v>
      </c>
      <c r="E179" s="200">
        <v>13</v>
      </c>
      <c r="F179" s="231">
        <v>25000</v>
      </c>
      <c r="G179" s="201"/>
      <c r="H179" s="201"/>
      <c r="I179" s="201"/>
      <c r="J179" s="201"/>
      <c r="K179" s="202"/>
      <c r="L179" s="202"/>
      <c r="M179" s="202"/>
      <c r="N179" s="202"/>
      <c r="O179" s="222">
        <f t="shared" si="19"/>
        <v>1.6943003999999999</v>
      </c>
      <c r="P179" s="223">
        <f t="shared" si="20"/>
        <v>25000</v>
      </c>
      <c r="Q179" s="226">
        <f t="shared" si="27"/>
        <v>25000</v>
      </c>
      <c r="R179" s="225">
        <f t="shared" si="21"/>
        <v>25000</v>
      </c>
      <c r="S179" s="225">
        <f t="shared" si="22"/>
        <v>25000</v>
      </c>
      <c r="T179" s="135">
        <f t="shared" si="23"/>
        <v>25000</v>
      </c>
      <c r="U179" s="149">
        <f t="shared" si="24"/>
        <v>0</v>
      </c>
      <c r="V179" s="150">
        <f t="shared" si="25"/>
        <v>0</v>
      </c>
      <c r="W179" s="80">
        <f t="shared" si="26"/>
        <v>14755.35271077077</v>
      </c>
      <c r="Y179" s="53" t="s">
        <v>47</v>
      </c>
    </row>
    <row r="180" spans="1:25" ht="14.45" customHeight="1">
      <c r="A180" s="132" t="s">
        <v>225</v>
      </c>
      <c r="B180" s="194" t="s">
        <v>56</v>
      </c>
      <c r="C180" s="200">
        <v>97</v>
      </c>
      <c r="D180" s="200">
        <v>49</v>
      </c>
      <c r="E180" s="200">
        <v>8</v>
      </c>
      <c r="F180" s="231">
        <v>16992</v>
      </c>
      <c r="G180" s="201"/>
      <c r="H180" s="201"/>
      <c r="I180" s="201"/>
      <c r="J180" s="201"/>
      <c r="K180" s="202"/>
      <c r="L180" s="202"/>
      <c r="M180" s="202"/>
      <c r="N180" s="202"/>
      <c r="O180" s="222">
        <f t="shared" si="19"/>
        <v>1.3430076800000001</v>
      </c>
      <c r="P180" s="223">
        <f t="shared" si="20"/>
        <v>16992</v>
      </c>
      <c r="Q180" s="226">
        <f t="shared" si="27"/>
        <v>16992</v>
      </c>
      <c r="R180" s="225">
        <f t="shared" si="21"/>
        <v>16992</v>
      </c>
      <c r="S180" s="225">
        <f t="shared" si="22"/>
        <v>16992</v>
      </c>
      <c r="T180" s="135">
        <f t="shared" si="23"/>
        <v>16992</v>
      </c>
      <c r="U180" s="149">
        <f t="shared" si="24"/>
        <v>0</v>
      </c>
      <c r="V180" s="150">
        <f t="shared" si="25"/>
        <v>0</v>
      </c>
      <c r="W180" s="80">
        <f t="shared" si="26"/>
        <v>12652.198682884671</v>
      </c>
      <c r="Y180" s="53" t="s">
        <v>47</v>
      </c>
    </row>
    <row r="181" spans="1:25">
      <c r="A181" s="132" t="s">
        <v>226</v>
      </c>
      <c r="B181" s="194" t="s">
        <v>56</v>
      </c>
      <c r="C181" s="200">
        <v>55</v>
      </c>
      <c r="D181" s="200">
        <v>17</v>
      </c>
      <c r="E181" s="200">
        <v>5</v>
      </c>
      <c r="F181" s="231">
        <v>1790</v>
      </c>
      <c r="G181" s="201"/>
      <c r="H181" s="201"/>
      <c r="I181" s="201"/>
      <c r="J181" s="201"/>
      <c r="K181" s="202"/>
      <c r="L181" s="202"/>
      <c r="M181" s="202"/>
      <c r="N181" s="202"/>
      <c r="O181" s="222">
        <f t="shared" si="19"/>
        <v>0.16512100000000002</v>
      </c>
      <c r="P181" s="223">
        <f t="shared" si="20"/>
        <v>1790</v>
      </c>
      <c r="Q181" s="226">
        <f t="shared" si="27"/>
        <v>1790</v>
      </c>
      <c r="R181" s="225">
        <f t="shared" si="21"/>
        <v>1790</v>
      </c>
      <c r="S181" s="225">
        <f t="shared" si="22"/>
        <v>1790</v>
      </c>
      <c r="T181" s="135">
        <f t="shared" si="23"/>
        <v>1790</v>
      </c>
      <c r="U181" s="149">
        <f t="shared" si="24"/>
        <v>0</v>
      </c>
      <c r="V181" s="150">
        <f t="shared" si="25"/>
        <v>0</v>
      </c>
      <c r="W181" s="80">
        <f t="shared" si="26"/>
        <v>10840.535122728181</v>
      </c>
      <c r="Y181" s="53" t="s">
        <v>45</v>
      </c>
    </row>
    <row r="182" spans="1:25" ht="14.45" customHeight="1">
      <c r="A182" s="178" t="s">
        <v>227</v>
      </c>
      <c r="B182" s="194" t="s">
        <v>56</v>
      </c>
      <c r="C182" s="200">
        <v>136</v>
      </c>
      <c r="D182" s="200">
        <v>77</v>
      </c>
      <c r="E182" s="200">
        <v>10</v>
      </c>
      <c r="F182" s="231">
        <v>47550</v>
      </c>
      <c r="G182" s="201"/>
      <c r="H182" s="201"/>
      <c r="I182" s="201"/>
      <c r="J182" s="201"/>
      <c r="K182" s="202"/>
      <c r="L182" s="202"/>
      <c r="M182" s="202"/>
      <c r="N182" s="202"/>
      <c r="O182" s="222">
        <f t="shared" si="19"/>
        <v>3.6987104</v>
      </c>
      <c r="P182" s="223">
        <f t="shared" si="20"/>
        <v>47550</v>
      </c>
      <c r="Q182" s="226">
        <f t="shared" si="27"/>
        <v>47550</v>
      </c>
      <c r="R182" s="225">
        <f t="shared" si="21"/>
        <v>47550</v>
      </c>
      <c r="S182" s="225">
        <f t="shared" si="22"/>
        <v>47550</v>
      </c>
      <c r="T182" s="135">
        <f t="shared" si="23"/>
        <v>47550</v>
      </c>
      <c r="U182" s="149">
        <f t="shared" si="24"/>
        <v>0</v>
      </c>
      <c r="V182" s="150">
        <f t="shared" si="25"/>
        <v>0</v>
      </c>
      <c r="W182" s="80">
        <f t="shared" si="26"/>
        <v>12855.832130031051</v>
      </c>
      <c r="Y182" s="53" t="s">
        <v>45</v>
      </c>
    </row>
    <row r="183" spans="1:25" ht="14.45" customHeight="1">
      <c r="A183" s="132" t="s">
        <v>228</v>
      </c>
      <c r="B183" s="194" t="s">
        <v>56</v>
      </c>
      <c r="C183" s="200">
        <v>98</v>
      </c>
      <c r="D183" s="200">
        <v>25</v>
      </c>
      <c r="E183" s="200">
        <v>10</v>
      </c>
      <c r="F183" s="231">
        <v>9700</v>
      </c>
      <c r="G183" s="201"/>
      <c r="H183" s="201"/>
      <c r="I183" s="201"/>
      <c r="J183" s="201"/>
      <c r="K183" s="202"/>
      <c r="L183" s="202"/>
      <c r="M183" s="202"/>
      <c r="N183" s="202"/>
      <c r="O183" s="222">
        <f t="shared" si="19"/>
        <v>0.86534</v>
      </c>
      <c r="P183" s="223">
        <f t="shared" si="20"/>
        <v>9700</v>
      </c>
      <c r="Q183" s="226">
        <f t="shared" si="27"/>
        <v>9700</v>
      </c>
      <c r="R183" s="225">
        <f t="shared" si="21"/>
        <v>9700</v>
      </c>
      <c r="S183" s="225">
        <f t="shared" si="22"/>
        <v>9700</v>
      </c>
      <c r="T183" s="135">
        <f t="shared" si="23"/>
        <v>9700</v>
      </c>
      <c r="U183" s="149">
        <f t="shared" si="24"/>
        <v>0</v>
      </c>
      <c r="V183" s="150">
        <f t="shared" si="25"/>
        <v>0</v>
      </c>
      <c r="W183" s="80">
        <f t="shared" si="26"/>
        <v>11209.466799177202</v>
      </c>
      <c r="Y183" s="53" t="s">
        <v>47</v>
      </c>
    </row>
    <row r="184" spans="1:25" ht="14.45" customHeight="1">
      <c r="A184" s="129" t="s">
        <v>229</v>
      </c>
      <c r="B184" s="194" t="s">
        <v>56</v>
      </c>
      <c r="C184" s="200">
        <v>145</v>
      </c>
      <c r="D184" s="200">
        <v>26</v>
      </c>
      <c r="E184" s="200">
        <v>10</v>
      </c>
      <c r="F184" s="232">
        <v>16000</v>
      </c>
      <c r="G184" s="201"/>
      <c r="H184" s="201"/>
      <c r="I184" s="201"/>
      <c r="J184" s="201"/>
      <c r="K184" s="202"/>
      <c r="L184" s="202"/>
      <c r="M184" s="202"/>
      <c r="N184" s="202"/>
      <c r="O184" s="222">
        <f t="shared" si="19"/>
        <v>1.331564</v>
      </c>
      <c r="P184" s="223">
        <f t="shared" si="20"/>
        <v>16000</v>
      </c>
      <c r="Q184" s="226">
        <f t="shared" si="27"/>
        <v>16000</v>
      </c>
      <c r="R184" s="225">
        <f t="shared" si="21"/>
        <v>16000</v>
      </c>
      <c r="S184" s="225">
        <f t="shared" si="22"/>
        <v>16000</v>
      </c>
      <c r="T184" s="135">
        <f t="shared" si="23"/>
        <v>16000</v>
      </c>
      <c r="U184" s="149">
        <f t="shared" si="24"/>
        <v>0</v>
      </c>
      <c r="V184" s="150">
        <f t="shared" si="25"/>
        <v>0</v>
      </c>
      <c r="W184" s="80">
        <f t="shared" si="26"/>
        <v>12015.945159226294</v>
      </c>
      <c r="Y184" s="53" t="s">
        <v>45</v>
      </c>
    </row>
    <row r="185" spans="1:25" ht="14.45" customHeight="1">
      <c r="A185" s="132" t="s">
        <v>230</v>
      </c>
      <c r="B185" s="194" t="s">
        <v>56</v>
      </c>
      <c r="C185" s="200">
        <v>56</v>
      </c>
      <c r="D185" s="200">
        <v>29</v>
      </c>
      <c r="E185" s="200">
        <v>9</v>
      </c>
      <c r="F185" s="231">
        <v>5525</v>
      </c>
      <c r="G185" s="201"/>
      <c r="H185" s="201"/>
      <c r="I185" s="201"/>
      <c r="J185" s="201"/>
      <c r="K185" s="202"/>
      <c r="L185" s="202"/>
      <c r="M185" s="202"/>
      <c r="N185" s="202"/>
      <c r="O185" s="222">
        <f t="shared" si="19"/>
        <v>0.51623711999999999</v>
      </c>
      <c r="P185" s="223">
        <f t="shared" si="20"/>
        <v>5525</v>
      </c>
      <c r="Q185" s="226">
        <f t="shared" si="27"/>
        <v>5525</v>
      </c>
      <c r="R185" s="225">
        <f t="shared" si="21"/>
        <v>5525</v>
      </c>
      <c r="S185" s="225">
        <f t="shared" si="22"/>
        <v>5525</v>
      </c>
      <c r="T185" s="135">
        <f t="shared" si="23"/>
        <v>5525</v>
      </c>
      <c r="U185" s="149">
        <f t="shared" si="24"/>
        <v>0</v>
      </c>
      <c r="V185" s="150">
        <f t="shared" si="25"/>
        <v>0</v>
      </c>
      <c r="W185" s="80">
        <f t="shared" si="26"/>
        <v>10702.446193718111</v>
      </c>
      <c r="Y185" s="53" t="s">
        <v>47</v>
      </c>
    </row>
    <row r="186" spans="1:25" ht="14.45" customHeight="1">
      <c r="A186" s="171" t="s">
        <v>231</v>
      </c>
      <c r="B186" s="194" t="s">
        <v>56</v>
      </c>
      <c r="C186" s="200">
        <v>35</v>
      </c>
      <c r="D186" s="200">
        <v>25</v>
      </c>
      <c r="E186" s="200">
        <v>5</v>
      </c>
      <c r="F186" s="231">
        <v>1100</v>
      </c>
      <c r="G186" s="201"/>
      <c r="H186" s="201"/>
      <c r="I186" s="201"/>
      <c r="J186" s="201"/>
      <c r="K186" s="202"/>
      <c r="L186" s="202"/>
      <c r="M186" s="202"/>
      <c r="N186" s="202"/>
      <c r="O186" s="222">
        <f t="shared" si="19"/>
        <v>0.15452500000000002</v>
      </c>
      <c r="P186" s="223">
        <f t="shared" si="20"/>
        <v>1100</v>
      </c>
      <c r="Q186" s="226">
        <f t="shared" si="27"/>
        <v>1100</v>
      </c>
      <c r="R186" s="225">
        <f t="shared" si="21"/>
        <v>1100</v>
      </c>
      <c r="S186" s="225">
        <f t="shared" si="22"/>
        <v>1100</v>
      </c>
      <c r="T186" s="135">
        <f t="shared" si="23"/>
        <v>1100</v>
      </c>
      <c r="U186" s="149">
        <f t="shared" si="24"/>
        <v>0</v>
      </c>
      <c r="V186" s="150">
        <f t="shared" si="25"/>
        <v>0</v>
      </c>
      <c r="W186" s="80">
        <f t="shared" si="26"/>
        <v>7118.5892250444904</v>
      </c>
      <c r="Y186" s="53" t="s">
        <v>47</v>
      </c>
    </row>
    <row r="187" spans="1:25" ht="14.45" customHeight="1">
      <c r="A187" s="171" t="s">
        <v>232</v>
      </c>
      <c r="B187" s="194" t="s">
        <v>56</v>
      </c>
      <c r="C187" s="200">
        <v>36</v>
      </c>
      <c r="D187" s="200">
        <v>25</v>
      </c>
      <c r="E187" s="200">
        <v>5</v>
      </c>
      <c r="F187" s="231">
        <v>1515</v>
      </c>
      <c r="G187" s="201"/>
      <c r="H187" s="201"/>
      <c r="I187" s="201"/>
      <c r="J187" s="201"/>
      <c r="K187" s="202"/>
      <c r="L187" s="202"/>
      <c r="M187" s="202"/>
      <c r="N187" s="202"/>
      <c r="O187" s="222">
        <f t="shared" si="19"/>
        <v>0.15894</v>
      </c>
      <c r="P187" s="223">
        <f t="shared" si="20"/>
        <v>1515</v>
      </c>
      <c r="Q187" s="226">
        <f t="shared" si="27"/>
        <v>1515</v>
      </c>
      <c r="R187" s="225">
        <f t="shared" si="21"/>
        <v>1515</v>
      </c>
      <c r="S187" s="225">
        <f t="shared" si="22"/>
        <v>1515</v>
      </c>
      <c r="T187" s="135">
        <f t="shared" si="23"/>
        <v>1515</v>
      </c>
      <c r="U187" s="149">
        <f t="shared" si="24"/>
        <v>0</v>
      </c>
      <c r="V187" s="150">
        <f t="shared" si="25"/>
        <v>0</v>
      </c>
      <c r="W187" s="80">
        <f t="shared" si="26"/>
        <v>9531.8988297470751</v>
      </c>
      <c r="Y187" s="53" t="s">
        <v>47</v>
      </c>
    </row>
    <row r="188" spans="1:25" s="261" customFormat="1" ht="14.45" customHeight="1">
      <c r="A188" s="277" t="s">
        <v>233</v>
      </c>
      <c r="B188" s="278" t="s">
        <v>56</v>
      </c>
      <c r="C188" s="279">
        <v>47</v>
      </c>
      <c r="D188" s="279">
        <v>35</v>
      </c>
      <c r="E188" s="279">
        <v>8</v>
      </c>
      <c r="F188" s="280">
        <v>6000</v>
      </c>
      <c r="G188" s="279"/>
      <c r="H188" s="279"/>
      <c r="I188" s="279"/>
      <c r="J188" s="279"/>
      <c r="K188" s="279"/>
      <c r="L188" s="279"/>
      <c r="M188" s="279"/>
      <c r="N188" s="279"/>
      <c r="O188" s="281">
        <f t="shared" si="19"/>
        <v>0.46481119999999998</v>
      </c>
      <c r="P188" s="255">
        <f t="shared" si="20"/>
        <v>6000</v>
      </c>
      <c r="Q188" s="282">
        <f t="shared" si="27"/>
        <v>6000</v>
      </c>
      <c r="R188" s="283">
        <f t="shared" si="21"/>
        <v>6000</v>
      </c>
      <c r="S188" s="283">
        <f t="shared" si="22"/>
        <v>6000</v>
      </c>
      <c r="T188" s="284">
        <f t="shared" si="23"/>
        <v>6000</v>
      </c>
      <c r="U188" s="285">
        <f t="shared" si="24"/>
        <v>0</v>
      </c>
      <c r="V188" s="286">
        <f t="shared" si="25"/>
        <v>0</v>
      </c>
      <c r="W188" s="260">
        <f t="shared" si="26"/>
        <v>12908.466921623232</v>
      </c>
      <c r="Y188" s="261" t="s">
        <v>47</v>
      </c>
    </row>
    <row r="189" spans="1:25" ht="14.45" customHeight="1">
      <c r="A189" s="132" t="s">
        <v>234</v>
      </c>
      <c r="B189" s="194" t="s">
        <v>56</v>
      </c>
      <c r="C189" s="200">
        <v>35</v>
      </c>
      <c r="D189" s="200">
        <v>30</v>
      </c>
      <c r="E189" s="200">
        <v>9</v>
      </c>
      <c r="F189" s="231">
        <v>3725</v>
      </c>
      <c r="G189" s="201"/>
      <c r="H189" s="201"/>
      <c r="I189" s="201"/>
      <c r="J189" s="201"/>
      <c r="K189" s="202"/>
      <c r="L189" s="202"/>
      <c r="M189" s="202"/>
      <c r="N189" s="202"/>
      <c r="O189" s="222">
        <f t="shared" si="19"/>
        <v>0.33377400000000002</v>
      </c>
      <c r="P189" s="223">
        <f t="shared" si="20"/>
        <v>3725</v>
      </c>
      <c r="Q189" s="226">
        <f t="shared" si="27"/>
        <v>3725</v>
      </c>
      <c r="R189" s="225">
        <f t="shared" si="21"/>
        <v>3725</v>
      </c>
      <c r="S189" s="225">
        <f t="shared" si="22"/>
        <v>3725</v>
      </c>
      <c r="T189" s="135">
        <f t="shared" si="23"/>
        <v>3725</v>
      </c>
      <c r="U189" s="149">
        <f t="shared" si="24"/>
        <v>0</v>
      </c>
      <c r="V189" s="150">
        <f t="shared" si="25"/>
        <v>0</v>
      </c>
      <c r="W189" s="80">
        <f t="shared" si="26"/>
        <v>11160.24615458364</v>
      </c>
      <c r="Y189" s="53" t="s">
        <v>45</v>
      </c>
    </row>
    <row r="190" spans="1:25" ht="14.45" customHeight="1">
      <c r="A190" s="132" t="s">
        <v>235</v>
      </c>
      <c r="B190" s="194" t="s">
        <v>56</v>
      </c>
      <c r="C190" s="200">
        <v>175</v>
      </c>
      <c r="D190" s="200">
        <v>42</v>
      </c>
      <c r="E190" s="200">
        <v>6</v>
      </c>
      <c r="F190" s="231">
        <v>21430</v>
      </c>
      <c r="G190" s="201"/>
      <c r="H190" s="201"/>
      <c r="I190" s="201"/>
      <c r="J190" s="201"/>
      <c r="K190" s="202"/>
      <c r="L190" s="202"/>
      <c r="M190" s="202"/>
      <c r="N190" s="202"/>
      <c r="O190" s="222">
        <f t="shared" si="19"/>
        <v>1.557612</v>
      </c>
      <c r="P190" s="223">
        <f t="shared" si="20"/>
        <v>21430</v>
      </c>
      <c r="Q190" s="226">
        <f t="shared" si="27"/>
        <v>21430</v>
      </c>
      <c r="R190" s="225">
        <f t="shared" si="21"/>
        <v>21430</v>
      </c>
      <c r="S190" s="225">
        <f t="shared" si="22"/>
        <v>21430</v>
      </c>
      <c r="T190" s="135">
        <f t="shared" si="23"/>
        <v>21430</v>
      </c>
      <c r="U190" s="149">
        <f t="shared" si="24"/>
        <v>0</v>
      </c>
      <c r="V190" s="150">
        <f t="shared" si="25"/>
        <v>0</v>
      </c>
      <c r="W190" s="80">
        <f t="shared" si="26"/>
        <v>13758.240177913371</v>
      </c>
      <c r="Y190" s="53" t="s">
        <v>47</v>
      </c>
    </row>
    <row r="191" spans="1:25" ht="15">
      <c r="A191" s="129" t="s">
        <v>236</v>
      </c>
      <c r="B191" s="194" t="s">
        <v>56</v>
      </c>
      <c r="C191" s="200">
        <v>156</v>
      </c>
      <c r="D191" s="200">
        <v>40</v>
      </c>
      <c r="E191" s="200">
        <v>7</v>
      </c>
      <c r="F191" s="231">
        <v>16800</v>
      </c>
      <c r="G191" s="201"/>
      <c r="H191" s="201"/>
      <c r="I191" s="201"/>
      <c r="J191" s="201"/>
      <c r="K191" s="202"/>
      <c r="L191" s="202"/>
      <c r="M191" s="202"/>
      <c r="N191" s="202"/>
      <c r="O191" s="222">
        <f t="shared" si="19"/>
        <v>1.5427776</v>
      </c>
      <c r="P191" s="223">
        <f t="shared" si="20"/>
        <v>16800</v>
      </c>
      <c r="Q191" s="226">
        <f t="shared" si="27"/>
        <v>16800</v>
      </c>
      <c r="R191" s="225">
        <f t="shared" si="21"/>
        <v>16800</v>
      </c>
      <c r="S191" s="225">
        <f t="shared" si="22"/>
        <v>16800</v>
      </c>
      <c r="T191" s="135">
        <f t="shared" si="23"/>
        <v>16800</v>
      </c>
      <c r="U191" s="149">
        <f t="shared" si="24"/>
        <v>0</v>
      </c>
      <c r="V191" s="150">
        <f t="shared" si="25"/>
        <v>0</v>
      </c>
      <c r="W191" s="80">
        <f t="shared" si="26"/>
        <v>10889.450300548828</v>
      </c>
      <c r="Y191" s="53" t="s">
        <v>47</v>
      </c>
    </row>
    <row r="192" spans="1:25" ht="14.45" customHeight="1">
      <c r="A192" s="159" t="s">
        <v>237</v>
      </c>
      <c r="B192" s="194" t="s">
        <v>56</v>
      </c>
      <c r="C192" s="200">
        <v>195</v>
      </c>
      <c r="D192" s="200">
        <v>40</v>
      </c>
      <c r="E192" s="200">
        <v>10</v>
      </c>
      <c r="F192" s="231">
        <v>32700</v>
      </c>
      <c r="G192" s="201">
        <v>145</v>
      </c>
      <c r="H192" s="201">
        <v>26</v>
      </c>
      <c r="I192" s="201">
        <v>10</v>
      </c>
      <c r="J192" s="201">
        <v>16000</v>
      </c>
      <c r="K192" s="202"/>
      <c r="L192" s="202"/>
      <c r="M192" s="202"/>
      <c r="N192" s="202"/>
      <c r="O192" s="222">
        <f t="shared" si="19"/>
        <v>4.0865239999999998</v>
      </c>
      <c r="P192" s="223">
        <f t="shared" si="20"/>
        <v>48700</v>
      </c>
      <c r="Q192" s="226">
        <f t="shared" si="27"/>
        <v>48700</v>
      </c>
      <c r="R192" s="225">
        <f t="shared" si="21"/>
        <v>48700</v>
      </c>
      <c r="S192" s="225">
        <f t="shared" si="22"/>
        <v>48700</v>
      </c>
      <c r="T192" s="135">
        <f t="shared" si="23"/>
        <v>48700</v>
      </c>
      <c r="U192" s="149">
        <f t="shared" si="24"/>
        <v>0</v>
      </c>
      <c r="V192" s="150">
        <f t="shared" si="25"/>
        <v>0</v>
      </c>
      <c r="W192" s="80">
        <f t="shared" si="26"/>
        <v>11917.218643521977</v>
      </c>
    </row>
    <row r="193" spans="1:25" ht="15">
      <c r="A193" s="129" t="s">
        <v>238</v>
      </c>
      <c r="B193" s="194" t="s">
        <v>56</v>
      </c>
      <c r="C193" s="200">
        <v>195</v>
      </c>
      <c r="D193" s="200">
        <v>40</v>
      </c>
      <c r="E193" s="200">
        <v>10</v>
      </c>
      <c r="F193" s="232">
        <v>32700</v>
      </c>
      <c r="G193" s="201"/>
      <c r="H193" s="201"/>
      <c r="I193" s="201"/>
      <c r="J193" s="201"/>
      <c r="K193" s="202"/>
      <c r="L193" s="202"/>
      <c r="M193" s="202"/>
      <c r="N193" s="202"/>
      <c r="O193" s="222">
        <f t="shared" si="19"/>
        <v>2.7549600000000001</v>
      </c>
      <c r="P193" s="223">
        <f t="shared" si="20"/>
        <v>32700</v>
      </c>
      <c r="Q193" s="226">
        <f t="shared" si="27"/>
        <v>32700</v>
      </c>
      <c r="R193" s="225">
        <f t="shared" si="21"/>
        <v>32700</v>
      </c>
      <c r="S193" s="225">
        <f t="shared" si="22"/>
        <v>32700</v>
      </c>
      <c r="T193" s="135">
        <f t="shared" si="23"/>
        <v>32700</v>
      </c>
      <c r="U193" s="149">
        <f t="shared" si="24"/>
        <v>0</v>
      </c>
      <c r="V193" s="150">
        <f t="shared" si="25"/>
        <v>0</v>
      </c>
      <c r="W193" s="80">
        <f t="shared" si="26"/>
        <v>11869.500827598222</v>
      </c>
      <c r="Y193" s="53" t="s">
        <v>45</v>
      </c>
    </row>
    <row r="194" spans="1:25" ht="12.75" customHeight="1">
      <c r="A194" s="131" t="s">
        <v>239</v>
      </c>
      <c r="B194" s="194" t="s">
        <v>56</v>
      </c>
      <c r="C194" s="200">
        <v>91</v>
      </c>
      <c r="D194" s="200">
        <v>54</v>
      </c>
      <c r="E194" s="200">
        <v>9</v>
      </c>
      <c r="F194" s="231">
        <v>28300</v>
      </c>
      <c r="G194" s="201"/>
      <c r="H194" s="201"/>
      <c r="I194" s="201"/>
      <c r="J194" s="201"/>
      <c r="K194" s="202"/>
      <c r="L194" s="202"/>
      <c r="M194" s="202"/>
      <c r="N194" s="202"/>
      <c r="O194" s="222">
        <f t="shared" si="19"/>
        <v>1.5620623200000001</v>
      </c>
      <c r="P194" s="223">
        <f t="shared" si="20"/>
        <v>28300</v>
      </c>
      <c r="Q194" s="226">
        <f t="shared" si="27"/>
        <v>28300</v>
      </c>
      <c r="R194" s="225">
        <f t="shared" si="21"/>
        <v>28300</v>
      </c>
      <c r="S194" s="225">
        <f t="shared" si="22"/>
        <v>28300</v>
      </c>
      <c r="T194" s="135">
        <f t="shared" si="23"/>
        <v>28300</v>
      </c>
      <c r="U194" s="149">
        <f t="shared" si="24"/>
        <v>0</v>
      </c>
      <c r="V194" s="150">
        <f t="shared" si="25"/>
        <v>0</v>
      </c>
      <c r="W194" s="80">
        <f t="shared" si="26"/>
        <v>18117.074868050076</v>
      </c>
      <c r="Y194" s="53" t="s">
        <v>47</v>
      </c>
    </row>
    <row r="195" spans="1:25">
      <c r="A195" s="132" t="s">
        <v>240</v>
      </c>
      <c r="B195" s="194" t="s">
        <v>56</v>
      </c>
      <c r="C195" s="200">
        <v>117</v>
      </c>
      <c r="D195" s="200">
        <v>30</v>
      </c>
      <c r="E195" s="200">
        <v>6</v>
      </c>
      <c r="F195" s="231">
        <v>8500</v>
      </c>
      <c r="G195" s="201"/>
      <c r="H195" s="201"/>
      <c r="I195" s="201"/>
      <c r="J195" s="201"/>
      <c r="K195" s="202"/>
      <c r="L195" s="202"/>
      <c r="M195" s="202"/>
      <c r="N195" s="202"/>
      <c r="O195" s="222">
        <f t="shared" si="19"/>
        <v>0.74383919999999992</v>
      </c>
      <c r="P195" s="223">
        <f t="shared" si="20"/>
        <v>8500</v>
      </c>
      <c r="Q195" s="226">
        <f t="shared" si="27"/>
        <v>8500</v>
      </c>
      <c r="R195" s="225">
        <f t="shared" si="21"/>
        <v>8500</v>
      </c>
      <c r="S195" s="225">
        <f t="shared" si="22"/>
        <v>8500</v>
      </c>
      <c r="T195" s="135">
        <f t="shared" si="23"/>
        <v>8500</v>
      </c>
      <c r="U195" s="149">
        <f t="shared" si="24"/>
        <v>0</v>
      </c>
      <c r="V195" s="150">
        <f t="shared" si="25"/>
        <v>0</v>
      </c>
      <c r="W195" s="80">
        <f t="shared" si="26"/>
        <v>11427.200932674697</v>
      </c>
      <c r="Y195" s="53" t="s">
        <v>47</v>
      </c>
    </row>
    <row r="196" spans="1:25">
      <c r="A196" s="132" t="s">
        <v>241</v>
      </c>
      <c r="B196" s="194" t="s">
        <v>56</v>
      </c>
      <c r="C196" s="200">
        <v>69</v>
      </c>
      <c r="D196" s="200">
        <v>28</v>
      </c>
      <c r="E196" s="200">
        <v>6</v>
      </c>
      <c r="F196" s="231">
        <v>5000</v>
      </c>
      <c r="G196" s="201"/>
      <c r="H196" s="201"/>
      <c r="I196" s="201"/>
      <c r="J196" s="201"/>
      <c r="K196" s="202"/>
      <c r="L196" s="202"/>
      <c r="M196" s="202"/>
      <c r="N196" s="202"/>
      <c r="O196" s="222">
        <f t="shared" ref="O196:O259" si="28">((IFERROR((C196*D196*E196),0)+IFERROR((G196*H196*I196),0)+IFERROR((K196*L196*M196),0))/1000000)*35.32</f>
        <v>0.40942943999999998</v>
      </c>
      <c r="P196" s="223">
        <f t="shared" ref="P196:P259" si="29">F196+J196+N196</f>
        <v>5000</v>
      </c>
      <c r="Q196" s="226">
        <f t="shared" si="27"/>
        <v>5000</v>
      </c>
      <c r="R196" s="225">
        <f t="shared" ref="R196:R259" si="30">MAX(Q196,O196)</f>
        <v>5000</v>
      </c>
      <c r="S196" s="225">
        <f t="shared" ref="S196:S259" si="31">MAX(R196,P196)</f>
        <v>5000</v>
      </c>
      <c r="T196" s="135">
        <f t="shared" ref="T196:T259" si="32">MAX(S196,Q196)</f>
        <v>5000</v>
      </c>
      <c r="U196" s="149">
        <f t="shared" ref="U196:U259" si="33">T196-Q196</f>
        <v>0</v>
      </c>
      <c r="V196" s="150">
        <f t="shared" ref="V196:V259" si="34">U196/T196</f>
        <v>0</v>
      </c>
      <c r="W196" s="80">
        <f t="shared" ref="W196:W259" si="35">R196/O196</f>
        <v>12212.116451616181</v>
      </c>
      <c r="Y196" s="53" t="s">
        <v>45</v>
      </c>
    </row>
    <row r="197" spans="1:25">
      <c r="A197" s="132" t="s">
        <v>242</v>
      </c>
      <c r="B197" s="194" t="s">
        <v>56</v>
      </c>
      <c r="C197" s="200">
        <v>144</v>
      </c>
      <c r="D197" s="200">
        <v>42</v>
      </c>
      <c r="E197" s="200">
        <v>10</v>
      </c>
      <c r="F197" s="231">
        <v>27500</v>
      </c>
      <c r="G197" s="201"/>
      <c r="H197" s="201"/>
      <c r="I197" s="201"/>
      <c r="J197" s="201"/>
      <c r="K197" s="202"/>
      <c r="L197" s="202"/>
      <c r="M197" s="202"/>
      <c r="N197" s="202"/>
      <c r="O197" s="222">
        <f t="shared" si="28"/>
        <v>2.1361536000000001</v>
      </c>
      <c r="P197" s="223">
        <f t="shared" si="29"/>
        <v>27500</v>
      </c>
      <c r="Q197" s="226">
        <f t="shared" si="27"/>
        <v>27500</v>
      </c>
      <c r="R197" s="225">
        <f t="shared" si="30"/>
        <v>27500</v>
      </c>
      <c r="S197" s="225">
        <f t="shared" si="31"/>
        <v>27500</v>
      </c>
      <c r="T197" s="135">
        <f t="shared" si="32"/>
        <v>27500</v>
      </c>
      <c r="U197" s="149">
        <f t="shared" si="33"/>
        <v>0</v>
      </c>
      <c r="V197" s="150">
        <f t="shared" si="34"/>
        <v>0</v>
      </c>
      <c r="W197" s="80">
        <f t="shared" si="35"/>
        <v>12873.606092745389</v>
      </c>
      <c r="Y197" s="53" t="s">
        <v>47</v>
      </c>
    </row>
    <row r="198" spans="1:25">
      <c r="A198" s="132" t="s">
        <v>243</v>
      </c>
      <c r="B198" s="194" t="s">
        <v>56</v>
      </c>
      <c r="C198" s="200">
        <v>149</v>
      </c>
      <c r="D198" s="200">
        <v>46</v>
      </c>
      <c r="E198" s="200">
        <v>7</v>
      </c>
      <c r="F198" s="231">
        <v>23500</v>
      </c>
      <c r="G198" s="201"/>
      <c r="H198" s="201"/>
      <c r="I198" s="201"/>
      <c r="J198" s="201"/>
      <c r="K198" s="202"/>
      <c r="L198" s="202"/>
      <c r="M198" s="202"/>
      <c r="N198" s="202"/>
      <c r="O198" s="222">
        <f t="shared" si="28"/>
        <v>1.69458296</v>
      </c>
      <c r="P198" s="223">
        <f t="shared" si="29"/>
        <v>23500</v>
      </c>
      <c r="Q198" s="226">
        <f t="shared" si="27"/>
        <v>23500</v>
      </c>
      <c r="R198" s="225">
        <f t="shared" si="30"/>
        <v>23500</v>
      </c>
      <c r="S198" s="225">
        <f t="shared" si="31"/>
        <v>23500</v>
      </c>
      <c r="T198" s="135">
        <f t="shared" si="32"/>
        <v>23500</v>
      </c>
      <c r="U198" s="149">
        <f t="shared" si="33"/>
        <v>0</v>
      </c>
      <c r="V198" s="150">
        <f t="shared" si="34"/>
        <v>0</v>
      </c>
      <c r="W198" s="80">
        <f t="shared" si="35"/>
        <v>13867.718816197703</v>
      </c>
      <c r="Y198" s="53" t="s">
        <v>45</v>
      </c>
    </row>
    <row r="199" spans="1:25">
      <c r="A199" s="178" t="s">
        <v>244</v>
      </c>
      <c r="B199" s="194" t="s">
        <v>56</v>
      </c>
      <c r="C199" s="200">
        <v>164</v>
      </c>
      <c r="D199" s="200">
        <v>40</v>
      </c>
      <c r="E199" s="200">
        <v>7</v>
      </c>
      <c r="F199" s="231">
        <v>17400</v>
      </c>
      <c r="G199" s="201"/>
      <c r="H199" s="201"/>
      <c r="I199" s="201"/>
      <c r="J199" s="201"/>
      <c r="K199" s="202"/>
      <c r="L199" s="202"/>
      <c r="M199" s="202"/>
      <c r="N199" s="202"/>
      <c r="O199" s="222">
        <f t="shared" si="28"/>
        <v>1.6218944000000002</v>
      </c>
      <c r="P199" s="223">
        <f t="shared" si="29"/>
        <v>17400</v>
      </c>
      <c r="Q199" s="226">
        <f t="shared" si="27"/>
        <v>17400</v>
      </c>
      <c r="R199" s="225">
        <f t="shared" si="30"/>
        <v>17400</v>
      </c>
      <c r="S199" s="225">
        <f t="shared" si="31"/>
        <v>17400</v>
      </c>
      <c r="T199" s="135">
        <f t="shared" si="32"/>
        <v>17400</v>
      </c>
      <c r="U199" s="149">
        <f t="shared" si="33"/>
        <v>0</v>
      </c>
      <c r="V199" s="150">
        <f t="shared" si="34"/>
        <v>0</v>
      </c>
      <c r="W199" s="80">
        <f t="shared" si="35"/>
        <v>10728.195374495404</v>
      </c>
      <c r="Y199" s="53" t="s">
        <v>47</v>
      </c>
    </row>
    <row r="200" spans="1:25" ht="15">
      <c r="A200" s="129" t="s">
        <v>245</v>
      </c>
      <c r="B200" s="194" t="s">
        <v>56</v>
      </c>
      <c r="C200" s="200">
        <v>100</v>
      </c>
      <c r="D200" s="200">
        <v>53</v>
      </c>
      <c r="E200" s="200">
        <v>9</v>
      </c>
      <c r="F200" s="232">
        <v>28500</v>
      </c>
      <c r="G200" s="201"/>
      <c r="H200" s="201"/>
      <c r="I200" s="201"/>
      <c r="J200" s="201"/>
      <c r="K200" s="202"/>
      <c r="L200" s="202"/>
      <c r="M200" s="202"/>
      <c r="N200" s="202"/>
      <c r="O200" s="222">
        <f t="shared" si="28"/>
        <v>1.6847639999999999</v>
      </c>
      <c r="P200" s="223">
        <f t="shared" si="29"/>
        <v>28500</v>
      </c>
      <c r="Q200" s="226">
        <f t="shared" si="27"/>
        <v>28500</v>
      </c>
      <c r="R200" s="225">
        <f t="shared" si="30"/>
        <v>28500</v>
      </c>
      <c r="S200" s="225">
        <f t="shared" si="31"/>
        <v>28500</v>
      </c>
      <c r="T200" s="135">
        <f t="shared" si="32"/>
        <v>28500</v>
      </c>
      <c r="U200" s="149">
        <f t="shared" si="33"/>
        <v>0</v>
      </c>
      <c r="V200" s="150">
        <f t="shared" si="34"/>
        <v>0</v>
      </c>
      <c r="W200" s="80">
        <f t="shared" si="35"/>
        <v>16916.315875695349</v>
      </c>
      <c r="Y200" s="53" t="s">
        <v>45</v>
      </c>
    </row>
    <row r="201" spans="1:25">
      <c r="A201" s="132" t="s">
        <v>246</v>
      </c>
      <c r="B201" s="194" t="s">
        <v>56</v>
      </c>
      <c r="C201" s="200">
        <v>127</v>
      </c>
      <c r="D201" s="200">
        <v>30</v>
      </c>
      <c r="E201" s="200">
        <v>9</v>
      </c>
      <c r="F201" s="231">
        <v>13400</v>
      </c>
      <c r="G201" s="201"/>
      <c r="H201" s="201"/>
      <c r="I201" s="201"/>
      <c r="J201" s="201"/>
      <c r="K201" s="202"/>
      <c r="L201" s="202"/>
      <c r="M201" s="202"/>
      <c r="N201" s="202"/>
      <c r="O201" s="222">
        <f t="shared" si="28"/>
        <v>1.2111228000000001</v>
      </c>
      <c r="P201" s="223">
        <f t="shared" si="29"/>
        <v>13400</v>
      </c>
      <c r="Q201" s="226">
        <f t="shared" si="27"/>
        <v>13400</v>
      </c>
      <c r="R201" s="225">
        <f t="shared" si="30"/>
        <v>13400</v>
      </c>
      <c r="S201" s="225">
        <f t="shared" si="31"/>
        <v>13400</v>
      </c>
      <c r="T201" s="135">
        <f t="shared" si="32"/>
        <v>13400</v>
      </c>
      <c r="U201" s="149">
        <f t="shared" si="33"/>
        <v>0</v>
      </c>
      <c r="V201" s="150">
        <f t="shared" si="34"/>
        <v>0</v>
      </c>
      <c r="W201" s="80">
        <f t="shared" si="35"/>
        <v>11064.113399566088</v>
      </c>
      <c r="Y201" s="53" t="s">
        <v>47</v>
      </c>
    </row>
    <row r="202" spans="1:25">
      <c r="A202" s="132" t="s">
        <v>247</v>
      </c>
      <c r="B202" s="194" t="s">
        <v>56</v>
      </c>
      <c r="C202" s="200">
        <v>98</v>
      </c>
      <c r="D202" s="200">
        <v>27</v>
      </c>
      <c r="E202" s="200">
        <v>6</v>
      </c>
      <c r="F202" s="231">
        <v>6230</v>
      </c>
      <c r="G202" s="201"/>
      <c r="H202" s="201"/>
      <c r="I202" s="201"/>
      <c r="J202" s="201"/>
      <c r="K202" s="202"/>
      <c r="L202" s="202"/>
      <c r="M202" s="202"/>
      <c r="N202" s="202"/>
      <c r="O202" s="222">
        <f t="shared" si="28"/>
        <v>0.56074032000000007</v>
      </c>
      <c r="P202" s="223">
        <f t="shared" si="29"/>
        <v>6230</v>
      </c>
      <c r="Q202" s="226">
        <f t="shared" si="27"/>
        <v>6230</v>
      </c>
      <c r="R202" s="225">
        <f t="shared" si="30"/>
        <v>6230</v>
      </c>
      <c r="S202" s="225">
        <f t="shared" si="31"/>
        <v>6230</v>
      </c>
      <c r="T202" s="135">
        <f t="shared" si="32"/>
        <v>6230</v>
      </c>
      <c r="U202" s="149">
        <f t="shared" si="33"/>
        <v>0</v>
      </c>
      <c r="V202" s="150">
        <f t="shared" si="34"/>
        <v>0</v>
      </c>
      <c r="W202" s="80">
        <f t="shared" si="35"/>
        <v>11110.312167314809</v>
      </c>
      <c r="Y202" s="53" t="s">
        <v>47</v>
      </c>
    </row>
    <row r="203" spans="1:25">
      <c r="A203" s="132" t="s">
        <v>248</v>
      </c>
      <c r="B203" s="194" t="s">
        <v>56</v>
      </c>
      <c r="C203" s="200">
        <v>97</v>
      </c>
      <c r="D203" s="200">
        <v>31</v>
      </c>
      <c r="E203" s="200">
        <v>8</v>
      </c>
      <c r="F203" s="231">
        <v>11500</v>
      </c>
      <c r="G203" s="201"/>
      <c r="H203" s="201"/>
      <c r="I203" s="201"/>
      <c r="J203" s="201"/>
      <c r="K203" s="202"/>
      <c r="L203" s="202"/>
      <c r="M203" s="202"/>
      <c r="N203" s="202"/>
      <c r="O203" s="222">
        <f t="shared" si="28"/>
        <v>0.84965792000000007</v>
      </c>
      <c r="P203" s="223">
        <f t="shared" si="29"/>
        <v>11500</v>
      </c>
      <c r="Q203" s="226">
        <f t="shared" si="27"/>
        <v>11500</v>
      </c>
      <c r="R203" s="225">
        <f t="shared" si="30"/>
        <v>11500</v>
      </c>
      <c r="S203" s="225">
        <f t="shared" si="31"/>
        <v>11500</v>
      </c>
      <c r="T203" s="135">
        <f t="shared" si="32"/>
        <v>11500</v>
      </c>
      <c r="U203" s="149">
        <f t="shared" si="33"/>
        <v>0</v>
      </c>
      <c r="V203" s="150">
        <f t="shared" si="34"/>
        <v>0</v>
      </c>
      <c r="W203" s="80">
        <f t="shared" si="35"/>
        <v>13534.858828833138</v>
      </c>
      <c r="Y203" s="53" t="s">
        <v>47</v>
      </c>
    </row>
    <row r="204" spans="1:25">
      <c r="A204" s="132" t="s">
        <v>249</v>
      </c>
      <c r="B204" s="194" t="s">
        <v>44</v>
      </c>
      <c r="C204" s="200">
        <v>207</v>
      </c>
      <c r="D204" s="200">
        <v>45</v>
      </c>
      <c r="E204" s="200">
        <v>10</v>
      </c>
      <c r="F204" s="231">
        <v>47400</v>
      </c>
      <c r="G204" s="201">
        <v>146</v>
      </c>
      <c r="H204" s="201">
        <v>28</v>
      </c>
      <c r="I204" s="201">
        <v>10</v>
      </c>
      <c r="J204" s="201">
        <v>20000</v>
      </c>
      <c r="K204" s="202">
        <v>158</v>
      </c>
      <c r="L204" s="202">
        <v>28</v>
      </c>
      <c r="M204" s="202">
        <v>7</v>
      </c>
      <c r="N204" s="202">
        <v>15180</v>
      </c>
      <c r="O204" s="222">
        <f t="shared" si="28"/>
        <v>5.8277293600000002</v>
      </c>
      <c r="P204" s="223">
        <f t="shared" si="29"/>
        <v>82580</v>
      </c>
      <c r="Q204" s="226">
        <f t="shared" si="27"/>
        <v>82580</v>
      </c>
      <c r="R204" s="225">
        <f t="shared" si="30"/>
        <v>82580</v>
      </c>
      <c r="S204" s="225">
        <f t="shared" si="31"/>
        <v>82580</v>
      </c>
      <c r="T204" s="135">
        <f t="shared" si="32"/>
        <v>82580</v>
      </c>
      <c r="U204" s="149">
        <f t="shared" si="33"/>
        <v>0</v>
      </c>
      <c r="V204" s="150">
        <f t="shared" si="34"/>
        <v>0</v>
      </c>
      <c r="W204" s="80">
        <f t="shared" si="35"/>
        <v>14170.184457570624</v>
      </c>
      <c r="Y204" s="53" t="s">
        <v>47</v>
      </c>
    </row>
    <row r="205" spans="1:25">
      <c r="A205" s="132" t="s">
        <v>250</v>
      </c>
      <c r="B205" s="194" t="s">
        <v>56</v>
      </c>
      <c r="C205" s="200">
        <v>92</v>
      </c>
      <c r="D205" s="200">
        <v>53</v>
      </c>
      <c r="E205" s="200">
        <v>9</v>
      </c>
      <c r="F205" s="231">
        <v>19000</v>
      </c>
      <c r="G205" s="201"/>
      <c r="H205" s="201"/>
      <c r="I205" s="201"/>
      <c r="J205" s="201"/>
      <c r="K205" s="202"/>
      <c r="L205" s="202"/>
      <c r="M205" s="202"/>
      <c r="N205" s="202"/>
      <c r="O205" s="222">
        <f t="shared" si="28"/>
        <v>1.54998288</v>
      </c>
      <c r="P205" s="223">
        <f t="shared" si="29"/>
        <v>19000</v>
      </c>
      <c r="Q205" s="226">
        <f t="shared" si="27"/>
        <v>19000</v>
      </c>
      <c r="R205" s="225">
        <f t="shared" si="30"/>
        <v>19000</v>
      </c>
      <c r="S205" s="225">
        <f t="shared" si="31"/>
        <v>19000</v>
      </c>
      <c r="T205" s="135">
        <f t="shared" si="32"/>
        <v>19000</v>
      </c>
      <c r="U205" s="149">
        <f t="shared" si="33"/>
        <v>0</v>
      </c>
      <c r="V205" s="150">
        <f t="shared" si="34"/>
        <v>0</v>
      </c>
      <c r="W205" s="80">
        <f t="shared" si="35"/>
        <v>12258.199909924168</v>
      </c>
      <c r="Y205" s="53" t="s">
        <v>47</v>
      </c>
    </row>
    <row r="206" spans="1:25">
      <c r="A206" s="132" t="s">
        <v>251</v>
      </c>
      <c r="B206" s="194" t="s">
        <v>56</v>
      </c>
      <c r="C206" s="200">
        <v>134</v>
      </c>
      <c r="D206" s="200">
        <v>44</v>
      </c>
      <c r="E206" s="200">
        <v>10</v>
      </c>
      <c r="F206" s="231">
        <v>26500</v>
      </c>
      <c r="G206" s="201"/>
      <c r="H206" s="201"/>
      <c r="I206" s="201"/>
      <c r="J206" s="201"/>
      <c r="K206" s="202"/>
      <c r="L206" s="202"/>
      <c r="M206" s="202"/>
      <c r="N206" s="202"/>
      <c r="O206" s="222">
        <f t="shared" si="28"/>
        <v>2.0824672</v>
      </c>
      <c r="P206" s="223">
        <f t="shared" si="29"/>
        <v>26500</v>
      </c>
      <c r="Q206" s="226">
        <f t="shared" ref="Q206:Q262" si="36">F206+J206+N206</f>
        <v>26500</v>
      </c>
      <c r="R206" s="225">
        <f t="shared" si="30"/>
        <v>26500</v>
      </c>
      <c r="S206" s="225">
        <f t="shared" si="31"/>
        <v>26500</v>
      </c>
      <c r="T206" s="135">
        <f t="shared" si="32"/>
        <v>26500</v>
      </c>
      <c r="U206" s="149">
        <f t="shared" si="33"/>
        <v>0</v>
      </c>
      <c r="V206" s="150">
        <f t="shared" si="34"/>
        <v>0</v>
      </c>
      <c r="W206" s="80">
        <f t="shared" si="35"/>
        <v>12725.290463158315</v>
      </c>
      <c r="Y206" s="53" t="s">
        <v>47</v>
      </c>
    </row>
    <row r="207" spans="1:25">
      <c r="A207" s="132" t="s">
        <v>252</v>
      </c>
      <c r="B207" s="194" t="s">
        <v>56</v>
      </c>
      <c r="C207" s="200">
        <v>127</v>
      </c>
      <c r="D207" s="200">
        <v>35</v>
      </c>
      <c r="E207" s="200">
        <v>7</v>
      </c>
      <c r="F207" s="231">
        <v>12000</v>
      </c>
      <c r="G207" s="201"/>
      <c r="H207" s="201"/>
      <c r="I207" s="201"/>
      <c r="J207" s="201"/>
      <c r="K207" s="202"/>
      <c r="L207" s="202"/>
      <c r="M207" s="202"/>
      <c r="N207" s="202"/>
      <c r="O207" s="222">
        <f t="shared" si="28"/>
        <v>1.0989818</v>
      </c>
      <c r="P207" s="223">
        <f t="shared" si="29"/>
        <v>12000</v>
      </c>
      <c r="Q207" s="226">
        <f t="shared" si="36"/>
        <v>12000</v>
      </c>
      <c r="R207" s="225">
        <f t="shared" si="30"/>
        <v>12000</v>
      </c>
      <c r="S207" s="225">
        <f t="shared" si="31"/>
        <v>12000</v>
      </c>
      <c r="T207" s="135">
        <f t="shared" si="32"/>
        <v>12000</v>
      </c>
      <c r="U207" s="149">
        <f t="shared" si="33"/>
        <v>0</v>
      </c>
      <c r="V207" s="150">
        <f t="shared" si="34"/>
        <v>0</v>
      </c>
      <c r="W207" s="80">
        <f t="shared" si="35"/>
        <v>10919.198115928762</v>
      </c>
      <c r="Y207" s="53" t="s">
        <v>45</v>
      </c>
    </row>
    <row r="208" spans="1:25">
      <c r="A208" s="132" t="s">
        <v>253</v>
      </c>
      <c r="B208" s="194" t="s">
        <v>56</v>
      </c>
      <c r="C208" s="200">
        <v>85</v>
      </c>
      <c r="D208" s="200">
        <v>29</v>
      </c>
      <c r="E208" s="200">
        <v>6</v>
      </c>
      <c r="F208" s="231">
        <v>6000</v>
      </c>
      <c r="G208" s="201"/>
      <c r="H208" s="201"/>
      <c r="I208" s="201"/>
      <c r="J208" s="201"/>
      <c r="K208" s="202"/>
      <c r="L208" s="202"/>
      <c r="M208" s="202"/>
      <c r="N208" s="202"/>
      <c r="O208" s="222">
        <f t="shared" si="28"/>
        <v>0.52238279999999992</v>
      </c>
      <c r="P208" s="223">
        <f t="shared" si="29"/>
        <v>6000</v>
      </c>
      <c r="Q208" s="226">
        <f t="shared" si="36"/>
        <v>6000</v>
      </c>
      <c r="R208" s="225">
        <f t="shared" si="30"/>
        <v>6000</v>
      </c>
      <c r="S208" s="225">
        <f t="shared" si="31"/>
        <v>6000</v>
      </c>
      <c r="T208" s="135">
        <f t="shared" si="32"/>
        <v>6000</v>
      </c>
      <c r="U208" s="149">
        <f t="shared" si="33"/>
        <v>0</v>
      </c>
      <c r="V208" s="150">
        <f t="shared" si="34"/>
        <v>0</v>
      </c>
      <c r="W208" s="80">
        <f t="shared" si="35"/>
        <v>11485.829931613371</v>
      </c>
      <c r="Y208" s="53" t="s">
        <v>45</v>
      </c>
    </row>
    <row r="209" spans="1:25">
      <c r="A209" s="132" t="s">
        <v>254</v>
      </c>
      <c r="B209" s="194" t="s">
        <v>56</v>
      </c>
      <c r="C209" s="200">
        <v>97</v>
      </c>
      <c r="D209" s="200">
        <v>30</v>
      </c>
      <c r="E209" s="200">
        <v>5</v>
      </c>
      <c r="F209" s="231">
        <v>4000</v>
      </c>
      <c r="G209" s="201"/>
      <c r="H209" s="201"/>
      <c r="I209" s="201"/>
      <c r="J209" s="201"/>
      <c r="K209" s="202"/>
      <c r="L209" s="202"/>
      <c r="M209" s="202"/>
      <c r="N209" s="202"/>
      <c r="O209" s="222">
        <f t="shared" si="28"/>
        <v>0.51390599999999997</v>
      </c>
      <c r="P209" s="223">
        <f t="shared" si="29"/>
        <v>4000</v>
      </c>
      <c r="Q209" s="226">
        <f t="shared" si="36"/>
        <v>4000</v>
      </c>
      <c r="R209" s="225">
        <f t="shared" si="30"/>
        <v>4000</v>
      </c>
      <c r="S209" s="225">
        <f t="shared" si="31"/>
        <v>4000</v>
      </c>
      <c r="T209" s="135">
        <f t="shared" si="32"/>
        <v>4000</v>
      </c>
      <c r="U209" s="149">
        <f t="shared" si="33"/>
        <v>0</v>
      </c>
      <c r="V209" s="150">
        <f t="shared" si="34"/>
        <v>0</v>
      </c>
      <c r="W209" s="80">
        <f t="shared" si="35"/>
        <v>7783.5246134507097</v>
      </c>
      <c r="Y209" s="53" t="s">
        <v>47</v>
      </c>
    </row>
    <row r="210" spans="1:25">
      <c r="A210" s="132" t="s">
        <v>255</v>
      </c>
      <c r="B210" s="194" t="s">
        <v>56</v>
      </c>
      <c r="C210" s="200">
        <v>66</v>
      </c>
      <c r="D210" s="200">
        <v>29</v>
      </c>
      <c r="E210" s="200">
        <v>5</v>
      </c>
      <c r="F210" s="231">
        <v>3310</v>
      </c>
      <c r="G210" s="201"/>
      <c r="H210" s="201"/>
      <c r="I210" s="201"/>
      <c r="J210" s="201"/>
      <c r="K210" s="202"/>
      <c r="L210" s="202"/>
      <c r="M210" s="202"/>
      <c r="N210" s="202"/>
      <c r="O210" s="222">
        <f t="shared" si="28"/>
        <v>0.33801239999999999</v>
      </c>
      <c r="P210" s="223">
        <f t="shared" si="29"/>
        <v>3310</v>
      </c>
      <c r="Q210" s="226">
        <f t="shared" si="36"/>
        <v>3310</v>
      </c>
      <c r="R210" s="225">
        <f t="shared" si="30"/>
        <v>3310</v>
      </c>
      <c r="S210" s="225">
        <f t="shared" si="31"/>
        <v>3310</v>
      </c>
      <c r="T210" s="135">
        <f t="shared" si="32"/>
        <v>3310</v>
      </c>
      <c r="U210" s="149">
        <f t="shared" si="33"/>
        <v>0</v>
      </c>
      <c r="V210" s="150">
        <f t="shared" si="34"/>
        <v>0</v>
      </c>
      <c r="W210" s="80">
        <f t="shared" si="35"/>
        <v>9792.5401553315805</v>
      </c>
      <c r="Y210" s="53" t="s">
        <v>47</v>
      </c>
    </row>
    <row r="211" spans="1:25">
      <c r="A211" s="132" t="s">
        <v>256</v>
      </c>
      <c r="B211" s="194" t="s">
        <v>56</v>
      </c>
      <c r="C211" s="200">
        <v>123</v>
      </c>
      <c r="D211" s="200">
        <v>40</v>
      </c>
      <c r="E211" s="200">
        <v>9</v>
      </c>
      <c r="F211" s="231">
        <v>16000</v>
      </c>
      <c r="G211" s="201"/>
      <c r="H211" s="201"/>
      <c r="I211" s="201"/>
      <c r="J211" s="201"/>
      <c r="K211" s="202"/>
      <c r="L211" s="202"/>
      <c r="M211" s="202"/>
      <c r="N211" s="202"/>
      <c r="O211" s="222">
        <f t="shared" si="28"/>
        <v>1.5639696000000001</v>
      </c>
      <c r="P211" s="223">
        <f t="shared" si="29"/>
        <v>16000</v>
      </c>
      <c r="Q211" s="226">
        <f t="shared" si="36"/>
        <v>16000</v>
      </c>
      <c r="R211" s="225">
        <f t="shared" si="30"/>
        <v>16000</v>
      </c>
      <c r="S211" s="225">
        <f t="shared" si="31"/>
        <v>16000</v>
      </c>
      <c r="T211" s="135">
        <f t="shared" si="32"/>
        <v>16000</v>
      </c>
      <c r="U211" s="149">
        <f t="shared" si="33"/>
        <v>0</v>
      </c>
      <c r="V211" s="150">
        <f t="shared" si="34"/>
        <v>0</v>
      </c>
      <c r="W211" s="80">
        <f t="shared" si="35"/>
        <v>10230.377879467733</v>
      </c>
      <c r="Y211" s="53" t="s">
        <v>45</v>
      </c>
    </row>
    <row r="212" spans="1:25">
      <c r="A212" s="162" t="s">
        <v>257</v>
      </c>
      <c r="B212" s="194" t="s">
        <v>56</v>
      </c>
      <c r="C212" s="200">
        <v>96</v>
      </c>
      <c r="D212" s="200">
        <v>31</v>
      </c>
      <c r="E212" s="200">
        <v>4</v>
      </c>
      <c r="F212" s="231">
        <v>4500</v>
      </c>
      <c r="G212" s="201"/>
      <c r="H212" s="201"/>
      <c r="I212" s="201"/>
      <c r="J212" s="201"/>
      <c r="K212" s="202"/>
      <c r="L212" s="202"/>
      <c r="M212" s="202"/>
      <c r="N212" s="202"/>
      <c r="O212" s="222">
        <f t="shared" si="28"/>
        <v>0.42044927999999998</v>
      </c>
      <c r="P212" s="223">
        <f t="shared" si="29"/>
        <v>4500</v>
      </c>
      <c r="Q212" s="226">
        <f t="shared" si="36"/>
        <v>4500</v>
      </c>
      <c r="R212" s="225">
        <f t="shared" si="30"/>
        <v>4500</v>
      </c>
      <c r="S212" s="225">
        <f t="shared" si="31"/>
        <v>4500</v>
      </c>
      <c r="T212" s="135">
        <f t="shared" si="32"/>
        <v>4500</v>
      </c>
      <c r="U212" s="149">
        <f t="shared" si="33"/>
        <v>0</v>
      </c>
      <c r="V212" s="150">
        <f t="shared" si="34"/>
        <v>0</v>
      </c>
      <c r="W212" s="80">
        <f t="shared" si="35"/>
        <v>10702.836736930552</v>
      </c>
      <c r="Y212" s="53" t="s">
        <v>47</v>
      </c>
    </row>
    <row r="213" spans="1:25">
      <c r="A213" s="162" t="s">
        <v>258</v>
      </c>
      <c r="B213" s="194" t="s">
        <v>56</v>
      </c>
      <c r="C213" s="200">
        <v>68</v>
      </c>
      <c r="D213" s="200">
        <v>31</v>
      </c>
      <c r="E213" s="200">
        <v>5</v>
      </c>
      <c r="F213" s="231">
        <v>3000</v>
      </c>
      <c r="G213" s="201"/>
      <c r="H213" s="201"/>
      <c r="I213" s="201"/>
      <c r="J213" s="201"/>
      <c r="K213" s="202"/>
      <c r="L213" s="202"/>
      <c r="M213" s="202"/>
      <c r="N213" s="202"/>
      <c r="O213" s="222">
        <f t="shared" si="28"/>
        <v>0.37227280000000001</v>
      </c>
      <c r="P213" s="223">
        <f t="shared" si="29"/>
        <v>3000</v>
      </c>
      <c r="Q213" s="226">
        <f t="shared" si="36"/>
        <v>3000</v>
      </c>
      <c r="R213" s="225">
        <f t="shared" si="30"/>
        <v>3000</v>
      </c>
      <c r="S213" s="225">
        <f t="shared" si="31"/>
        <v>3000</v>
      </c>
      <c r="T213" s="135">
        <f t="shared" si="32"/>
        <v>3000</v>
      </c>
      <c r="U213" s="149">
        <f t="shared" si="33"/>
        <v>0</v>
      </c>
      <c r="V213" s="150">
        <f t="shared" si="34"/>
        <v>0</v>
      </c>
      <c r="W213" s="80">
        <f t="shared" si="35"/>
        <v>8058.6064842771211</v>
      </c>
      <c r="Y213" s="53" t="s">
        <v>47</v>
      </c>
    </row>
    <row r="214" spans="1:25">
      <c r="A214" s="132" t="s">
        <v>259</v>
      </c>
      <c r="B214" s="194" t="s">
        <v>56</v>
      </c>
      <c r="C214" s="200">
        <v>65.7</v>
      </c>
      <c r="D214" s="200">
        <v>29.2</v>
      </c>
      <c r="E214" s="200">
        <v>5</v>
      </c>
      <c r="F214" s="231">
        <v>4000</v>
      </c>
      <c r="G214" s="201"/>
      <c r="H214" s="201"/>
      <c r="I214" s="201"/>
      <c r="J214" s="201"/>
      <c r="K214" s="202"/>
      <c r="L214" s="202"/>
      <c r="M214" s="202"/>
      <c r="N214" s="202"/>
      <c r="O214" s="222">
        <f t="shared" si="28"/>
        <v>0.338796504</v>
      </c>
      <c r="P214" s="223">
        <f t="shared" si="29"/>
        <v>4000</v>
      </c>
      <c r="Q214" s="226">
        <f t="shared" si="36"/>
        <v>4000</v>
      </c>
      <c r="R214" s="225">
        <f t="shared" si="30"/>
        <v>4000</v>
      </c>
      <c r="S214" s="225">
        <f t="shared" si="31"/>
        <v>4000</v>
      </c>
      <c r="T214" s="135">
        <f t="shared" si="32"/>
        <v>4000</v>
      </c>
      <c r="U214" s="149">
        <f t="shared" si="33"/>
        <v>0</v>
      </c>
      <c r="V214" s="150">
        <f t="shared" si="34"/>
        <v>0</v>
      </c>
      <c r="W214" s="80">
        <f t="shared" si="35"/>
        <v>11806.497271294158</v>
      </c>
      <c r="Y214" s="53" t="s">
        <v>45</v>
      </c>
    </row>
    <row r="215" spans="1:25">
      <c r="A215" s="178" t="s">
        <v>260</v>
      </c>
      <c r="B215" s="194" t="s">
        <v>56</v>
      </c>
      <c r="C215" s="200">
        <v>194</v>
      </c>
      <c r="D215" s="200">
        <v>44</v>
      </c>
      <c r="E215" s="200">
        <v>8</v>
      </c>
      <c r="F215" s="231">
        <v>31500</v>
      </c>
      <c r="G215" s="201"/>
      <c r="H215" s="201"/>
      <c r="I215" s="201"/>
      <c r="J215" s="201"/>
      <c r="K215" s="202"/>
      <c r="L215" s="202"/>
      <c r="M215" s="202"/>
      <c r="N215" s="202"/>
      <c r="O215" s="222">
        <f t="shared" si="28"/>
        <v>2.4119321600000001</v>
      </c>
      <c r="P215" s="223">
        <f t="shared" si="29"/>
        <v>31500</v>
      </c>
      <c r="Q215" s="226">
        <f t="shared" si="36"/>
        <v>31500</v>
      </c>
      <c r="R215" s="225">
        <f t="shared" si="30"/>
        <v>31500</v>
      </c>
      <c r="S215" s="225">
        <f t="shared" si="31"/>
        <v>31500</v>
      </c>
      <c r="T215" s="135">
        <f t="shared" si="32"/>
        <v>31500</v>
      </c>
      <c r="U215" s="149">
        <f t="shared" si="33"/>
        <v>0</v>
      </c>
      <c r="V215" s="150">
        <f t="shared" si="34"/>
        <v>0</v>
      </c>
      <c r="W215" s="80">
        <f t="shared" si="35"/>
        <v>13060.068820509445</v>
      </c>
      <c r="Y215" s="53" t="s">
        <v>47</v>
      </c>
    </row>
    <row r="216" spans="1:25">
      <c r="A216" s="132" t="s">
        <v>261</v>
      </c>
      <c r="B216" s="194" t="s">
        <v>56</v>
      </c>
      <c r="C216" s="200">
        <v>127</v>
      </c>
      <c r="D216" s="200">
        <v>46</v>
      </c>
      <c r="E216" s="200">
        <v>7</v>
      </c>
      <c r="F216" s="231">
        <v>22400</v>
      </c>
      <c r="G216" s="201"/>
      <c r="H216" s="201"/>
      <c r="I216" s="201"/>
      <c r="J216" s="201"/>
      <c r="K216" s="202"/>
      <c r="L216" s="202"/>
      <c r="M216" s="202"/>
      <c r="N216" s="202"/>
      <c r="O216" s="222">
        <f t="shared" si="28"/>
        <v>1.4443760800000001</v>
      </c>
      <c r="P216" s="223">
        <f t="shared" si="29"/>
        <v>22400</v>
      </c>
      <c r="Q216" s="226">
        <f t="shared" si="36"/>
        <v>22400</v>
      </c>
      <c r="R216" s="225">
        <f t="shared" si="30"/>
        <v>22400</v>
      </c>
      <c r="S216" s="225">
        <f t="shared" si="31"/>
        <v>22400</v>
      </c>
      <c r="T216" s="135">
        <f t="shared" si="32"/>
        <v>22400</v>
      </c>
      <c r="U216" s="149">
        <f t="shared" si="33"/>
        <v>0</v>
      </c>
      <c r="V216" s="150">
        <f t="shared" si="34"/>
        <v>0</v>
      </c>
      <c r="W216" s="80">
        <f t="shared" si="35"/>
        <v>15508.426309579982</v>
      </c>
      <c r="Y216" s="53" t="s">
        <v>45</v>
      </c>
    </row>
    <row r="217" spans="1:25">
      <c r="A217" s="132" t="s">
        <v>262</v>
      </c>
      <c r="B217" s="194" t="s">
        <v>54</v>
      </c>
      <c r="C217" s="200"/>
      <c r="D217" s="200"/>
      <c r="E217" s="200"/>
      <c r="F217" s="231"/>
      <c r="G217" s="201"/>
      <c r="H217" s="201"/>
      <c r="I217" s="201"/>
      <c r="J217" s="201"/>
      <c r="K217" s="202"/>
      <c r="L217" s="202"/>
      <c r="M217" s="202"/>
      <c r="N217" s="202"/>
      <c r="O217" s="222">
        <f t="shared" si="28"/>
        <v>0</v>
      </c>
      <c r="P217" s="223">
        <f t="shared" si="29"/>
        <v>0</v>
      </c>
      <c r="Q217" s="226">
        <f t="shared" si="36"/>
        <v>0</v>
      </c>
      <c r="R217" s="225">
        <f t="shared" si="30"/>
        <v>0</v>
      </c>
      <c r="S217" s="225">
        <f t="shared" si="31"/>
        <v>0</v>
      </c>
      <c r="T217" s="135">
        <f t="shared" si="32"/>
        <v>0</v>
      </c>
      <c r="U217" s="149">
        <f t="shared" si="33"/>
        <v>0</v>
      </c>
      <c r="V217" s="150" t="e">
        <f t="shared" si="34"/>
        <v>#DIV/0!</v>
      </c>
      <c r="W217" s="80" t="e">
        <f t="shared" si="35"/>
        <v>#DIV/0!</v>
      </c>
      <c r="Y217" s="53" t="s">
        <v>45</v>
      </c>
    </row>
    <row r="218" spans="1:25">
      <c r="A218" s="132" t="s">
        <v>263</v>
      </c>
      <c r="B218" s="194" t="s">
        <v>56</v>
      </c>
      <c r="C218" s="200">
        <v>116</v>
      </c>
      <c r="D218" s="200">
        <v>40</v>
      </c>
      <c r="E218" s="200">
        <v>7</v>
      </c>
      <c r="F218" s="231">
        <v>12500</v>
      </c>
      <c r="G218" s="201"/>
      <c r="H218" s="201"/>
      <c r="I218" s="201"/>
      <c r="J218" s="201"/>
      <c r="K218" s="202"/>
      <c r="L218" s="202"/>
      <c r="M218" s="202"/>
      <c r="N218" s="202"/>
      <c r="O218" s="222">
        <f t="shared" si="28"/>
        <v>1.1471936</v>
      </c>
      <c r="P218" s="223">
        <f t="shared" si="29"/>
        <v>12500</v>
      </c>
      <c r="Q218" s="226">
        <f t="shared" si="36"/>
        <v>12500</v>
      </c>
      <c r="R218" s="225">
        <f t="shared" si="30"/>
        <v>12500</v>
      </c>
      <c r="S218" s="225">
        <f t="shared" si="31"/>
        <v>12500</v>
      </c>
      <c r="T218" s="135">
        <f t="shared" si="32"/>
        <v>12500</v>
      </c>
      <c r="U218" s="149">
        <f t="shared" si="33"/>
        <v>0</v>
      </c>
      <c r="V218" s="150">
        <f t="shared" si="34"/>
        <v>0</v>
      </c>
      <c r="W218" s="80">
        <f t="shared" si="35"/>
        <v>10896.155627088574</v>
      </c>
      <c r="Y218" s="53" t="s">
        <v>47</v>
      </c>
    </row>
    <row r="219" spans="1:25">
      <c r="A219" s="132" t="s">
        <v>264</v>
      </c>
      <c r="B219" s="194" t="s">
        <v>56</v>
      </c>
      <c r="C219" s="200">
        <v>163</v>
      </c>
      <c r="D219" s="200">
        <v>30</v>
      </c>
      <c r="E219" s="200">
        <v>9</v>
      </c>
      <c r="F219" s="231">
        <v>20850</v>
      </c>
      <c r="G219" s="201"/>
      <c r="H219" s="201"/>
      <c r="I219" s="201"/>
      <c r="J219" s="201"/>
      <c r="K219" s="202"/>
      <c r="L219" s="202"/>
      <c r="M219" s="202"/>
      <c r="N219" s="202"/>
      <c r="O219" s="222">
        <f t="shared" si="28"/>
        <v>1.5544332000000001</v>
      </c>
      <c r="P219" s="223">
        <f t="shared" si="29"/>
        <v>20850</v>
      </c>
      <c r="Q219" s="226">
        <f t="shared" si="36"/>
        <v>20850</v>
      </c>
      <c r="R219" s="225">
        <f t="shared" si="30"/>
        <v>20850</v>
      </c>
      <c r="S219" s="225">
        <f t="shared" si="31"/>
        <v>20850</v>
      </c>
      <c r="T219" s="135">
        <f t="shared" si="32"/>
        <v>20850</v>
      </c>
      <c r="U219" s="149">
        <f t="shared" si="33"/>
        <v>0</v>
      </c>
      <c r="V219" s="150">
        <f t="shared" si="34"/>
        <v>0</v>
      </c>
      <c r="W219" s="80">
        <f t="shared" si="35"/>
        <v>13413.249279544467</v>
      </c>
      <c r="Y219" s="53" t="s">
        <v>47</v>
      </c>
    </row>
    <row r="220" spans="1:25">
      <c r="A220" s="132" t="s">
        <v>265</v>
      </c>
      <c r="B220" s="194" t="s">
        <v>56</v>
      </c>
      <c r="C220" s="200">
        <v>135</v>
      </c>
      <c r="D220" s="200">
        <v>35</v>
      </c>
      <c r="E220" s="200">
        <v>8</v>
      </c>
      <c r="F220" s="232">
        <v>14850</v>
      </c>
      <c r="G220" s="201"/>
      <c r="H220" s="201"/>
      <c r="I220" s="201"/>
      <c r="J220" s="201"/>
      <c r="K220" s="202"/>
      <c r="L220" s="202"/>
      <c r="M220" s="202"/>
      <c r="N220" s="202"/>
      <c r="O220" s="222">
        <f t="shared" si="28"/>
        <v>1.3350960000000001</v>
      </c>
      <c r="P220" s="223">
        <f t="shared" si="29"/>
        <v>14850</v>
      </c>
      <c r="Q220" s="226">
        <f t="shared" si="36"/>
        <v>14850</v>
      </c>
      <c r="R220" s="225">
        <f t="shared" si="30"/>
        <v>14850</v>
      </c>
      <c r="S220" s="225">
        <f t="shared" si="31"/>
        <v>14850</v>
      </c>
      <c r="T220" s="135">
        <f t="shared" si="32"/>
        <v>14850</v>
      </c>
      <c r="U220" s="149">
        <f t="shared" si="33"/>
        <v>0</v>
      </c>
      <c r="V220" s="150">
        <f t="shared" si="34"/>
        <v>0</v>
      </c>
      <c r="W220" s="80">
        <f t="shared" si="35"/>
        <v>11122.795664132016</v>
      </c>
      <c r="Y220" s="53" t="s">
        <v>47</v>
      </c>
    </row>
    <row r="221" spans="1:25">
      <c r="A221" s="132" t="s">
        <v>266</v>
      </c>
      <c r="B221" s="194" t="s">
        <v>56</v>
      </c>
      <c r="C221" s="200">
        <v>165</v>
      </c>
      <c r="D221" s="200">
        <v>36</v>
      </c>
      <c r="E221" s="200">
        <v>7</v>
      </c>
      <c r="F221" s="232">
        <v>15850</v>
      </c>
      <c r="G221" s="201"/>
      <c r="H221" s="201"/>
      <c r="I221" s="201"/>
      <c r="J221" s="201"/>
      <c r="K221" s="202"/>
      <c r="L221" s="202"/>
      <c r="M221" s="202"/>
      <c r="N221" s="202"/>
      <c r="O221" s="222">
        <f t="shared" si="28"/>
        <v>1.4686056000000001</v>
      </c>
      <c r="P221" s="223">
        <f t="shared" si="29"/>
        <v>15850</v>
      </c>
      <c r="Q221" s="226">
        <f t="shared" si="36"/>
        <v>15850</v>
      </c>
      <c r="R221" s="225">
        <f t="shared" si="30"/>
        <v>15850</v>
      </c>
      <c r="S221" s="225">
        <f t="shared" si="31"/>
        <v>15850</v>
      </c>
      <c r="T221" s="135">
        <f t="shared" si="32"/>
        <v>15850</v>
      </c>
      <c r="U221" s="149">
        <f t="shared" si="33"/>
        <v>0</v>
      </c>
      <c r="V221" s="150">
        <f t="shared" si="34"/>
        <v>0</v>
      </c>
      <c r="W221" s="80">
        <f t="shared" si="35"/>
        <v>10792.550430149524</v>
      </c>
      <c r="Y221" s="53" t="s">
        <v>45</v>
      </c>
    </row>
    <row r="222" spans="1:25">
      <c r="A222" s="132" t="s">
        <v>267</v>
      </c>
      <c r="B222" s="194" t="s">
        <v>56</v>
      </c>
      <c r="C222" s="200">
        <v>166</v>
      </c>
      <c r="D222" s="200">
        <v>37</v>
      </c>
      <c r="E222" s="200">
        <v>8</v>
      </c>
      <c r="F222" s="232">
        <v>18770</v>
      </c>
      <c r="G222" s="201"/>
      <c r="H222" s="201"/>
      <c r="I222" s="201"/>
      <c r="J222" s="201"/>
      <c r="K222" s="202"/>
      <c r="L222" s="202"/>
      <c r="M222" s="202"/>
      <c r="N222" s="202"/>
      <c r="O222" s="222">
        <f t="shared" si="28"/>
        <v>1.7354835200000001</v>
      </c>
      <c r="P222" s="223">
        <f t="shared" si="29"/>
        <v>18770</v>
      </c>
      <c r="Q222" s="226">
        <f t="shared" si="36"/>
        <v>18770</v>
      </c>
      <c r="R222" s="225">
        <f t="shared" si="30"/>
        <v>18770</v>
      </c>
      <c r="S222" s="225">
        <f t="shared" si="31"/>
        <v>18770</v>
      </c>
      <c r="T222" s="135">
        <f t="shared" si="32"/>
        <v>18770</v>
      </c>
      <c r="U222" s="149">
        <f t="shared" si="33"/>
        <v>0</v>
      </c>
      <c r="V222" s="150">
        <f t="shared" si="34"/>
        <v>0</v>
      </c>
      <c r="W222" s="80">
        <f t="shared" si="35"/>
        <v>10815.429696503254</v>
      </c>
      <c r="Y222" s="53" t="s">
        <v>45</v>
      </c>
    </row>
    <row r="223" spans="1:25">
      <c r="A223" s="157" t="s">
        <v>268</v>
      </c>
      <c r="B223" s="194" t="s">
        <v>56</v>
      </c>
      <c r="C223" s="200">
        <v>136</v>
      </c>
      <c r="D223" s="200">
        <v>35</v>
      </c>
      <c r="E223" s="200">
        <v>8</v>
      </c>
      <c r="F223" s="231">
        <v>17600</v>
      </c>
      <c r="G223" s="201"/>
      <c r="H223" s="201"/>
      <c r="I223" s="201"/>
      <c r="J223" s="201"/>
      <c r="K223" s="202"/>
      <c r="L223" s="202"/>
      <c r="M223" s="202"/>
      <c r="N223" s="202"/>
      <c r="O223" s="222">
        <f t="shared" si="28"/>
        <v>1.3449856</v>
      </c>
      <c r="P223" s="223">
        <f t="shared" si="29"/>
        <v>17600</v>
      </c>
      <c r="Q223" s="226">
        <f t="shared" si="36"/>
        <v>17600</v>
      </c>
      <c r="R223" s="225">
        <f t="shared" si="30"/>
        <v>17600</v>
      </c>
      <c r="S223" s="225">
        <f t="shared" si="31"/>
        <v>17600</v>
      </c>
      <c r="T223" s="135">
        <f t="shared" si="32"/>
        <v>17600</v>
      </c>
      <c r="U223" s="149">
        <f t="shared" si="33"/>
        <v>0</v>
      </c>
      <c r="V223" s="150">
        <f t="shared" si="34"/>
        <v>0</v>
      </c>
      <c r="W223" s="80">
        <f t="shared" si="35"/>
        <v>13085.641957802374</v>
      </c>
      <c r="Y223" s="53" t="s">
        <v>45</v>
      </c>
    </row>
    <row r="224" spans="1:25">
      <c r="A224" s="132" t="s">
        <v>269</v>
      </c>
      <c r="B224" s="194" t="s">
        <v>56</v>
      </c>
      <c r="C224" s="200">
        <v>154</v>
      </c>
      <c r="D224" s="200">
        <v>37</v>
      </c>
      <c r="E224" s="200">
        <v>6</v>
      </c>
      <c r="F224" s="232">
        <v>10850</v>
      </c>
      <c r="G224" s="201"/>
      <c r="H224" s="201"/>
      <c r="I224" s="201"/>
      <c r="J224" s="201"/>
      <c r="K224" s="202"/>
      <c r="L224" s="202"/>
      <c r="M224" s="202"/>
      <c r="N224" s="202"/>
      <c r="O224" s="222">
        <f t="shared" si="28"/>
        <v>1.2075201600000001</v>
      </c>
      <c r="P224" s="223">
        <f t="shared" si="29"/>
        <v>10850</v>
      </c>
      <c r="Q224" s="226">
        <f t="shared" si="36"/>
        <v>10850</v>
      </c>
      <c r="R224" s="225">
        <f t="shared" si="30"/>
        <v>10850</v>
      </c>
      <c r="S224" s="225">
        <f t="shared" si="31"/>
        <v>10850</v>
      </c>
      <c r="T224" s="135">
        <f t="shared" si="32"/>
        <v>10850</v>
      </c>
      <c r="U224" s="149">
        <f t="shared" si="33"/>
        <v>0</v>
      </c>
      <c r="V224" s="150">
        <f t="shared" si="34"/>
        <v>0</v>
      </c>
      <c r="W224" s="80">
        <f t="shared" si="35"/>
        <v>8985.3572299778407</v>
      </c>
      <c r="Y224" s="53" t="s">
        <v>47</v>
      </c>
    </row>
    <row r="225" spans="1:25">
      <c r="A225" s="132" t="s">
        <v>270</v>
      </c>
      <c r="B225" s="194" t="s">
        <v>56</v>
      </c>
      <c r="C225" s="200">
        <v>135</v>
      </c>
      <c r="D225" s="200">
        <v>36</v>
      </c>
      <c r="E225" s="200">
        <v>7</v>
      </c>
      <c r="F225" s="232">
        <v>8735</v>
      </c>
      <c r="G225" s="201"/>
      <c r="H225" s="201"/>
      <c r="I225" s="201"/>
      <c r="J225" s="201"/>
      <c r="K225" s="202"/>
      <c r="L225" s="202"/>
      <c r="M225" s="202"/>
      <c r="N225" s="202"/>
      <c r="O225" s="222">
        <f t="shared" si="28"/>
        <v>1.2015864000000001</v>
      </c>
      <c r="P225" s="223">
        <f t="shared" si="29"/>
        <v>8735</v>
      </c>
      <c r="Q225" s="226">
        <f t="shared" si="36"/>
        <v>8735</v>
      </c>
      <c r="R225" s="225">
        <f t="shared" si="30"/>
        <v>8735</v>
      </c>
      <c r="S225" s="225">
        <f t="shared" si="31"/>
        <v>8735</v>
      </c>
      <c r="T225" s="135">
        <f t="shared" si="32"/>
        <v>8735</v>
      </c>
      <c r="U225" s="149">
        <f t="shared" si="33"/>
        <v>0</v>
      </c>
      <c r="V225" s="150">
        <f t="shared" si="34"/>
        <v>0</v>
      </c>
      <c r="W225" s="80">
        <f t="shared" si="35"/>
        <v>7269.5563132205889</v>
      </c>
      <c r="Y225" s="53" t="s">
        <v>47</v>
      </c>
    </row>
    <row r="226" spans="1:25">
      <c r="A226" s="132" t="s">
        <v>271</v>
      </c>
      <c r="B226" s="194" t="s">
        <v>56</v>
      </c>
      <c r="C226" s="200">
        <v>135</v>
      </c>
      <c r="D226" s="200">
        <v>36</v>
      </c>
      <c r="E226" s="200">
        <v>7</v>
      </c>
      <c r="F226" s="232">
        <v>10800</v>
      </c>
      <c r="G226" s="201"/>
      <c r="H226" s="201"/>
      <c r="I226" s="201"/>
      <c r="J226" s="201"/>
      <c r="K226" s="202"/>
      <c r="L226" s="202"/>
      <c r="M226" s="202"/>
      <c r="N226" s="202"/>
      <c r="O226" s="222">
        <f t="shared" si="28"/>
        <v>1.2015864000000001</v>
      </c>
      <c r="P226" s="223">
        <f t="shared" si="29"/>
        <v>10800</v>
      </c>
      <c r="Q226" s="226">
        <f t="shared" si="36"/>
        <v>10800</v>
      </c>
      <c r="R226" s="225">
        <f t="shared" si="30"/>
        <v>10800</v>
      </c>
      <c r="S226" s="225">
        <f t="shared" si="31"/>
        <v>10800</v>
      </c>
      <c r="T226" s="135">
        <f t="shared" si="32"/>
        <v>10800</v>
      </c>
      <c r="U226" s="149">
        <f t="shared" si="33"/>
        <v>0</v>
      </c>
      <c r="V226" s="150">
        <f t="shared" si="34"/>
        <v>0</v>
      </c>
      <c r="W226" s="80">
        <f t="shared" si="35"/>
        <v>8988.1177083895091</v>
      </c>
      <c r="Y226" s="53" t="s">
        <v>47</v>
      </c>
    </row>
    <row r="227" spans="1:25">
      <c r="A227" s="132" t="s">
        <v>272</v>
      </c>
      <c r="B227" s="194" t="s">
        <v>56</v>
      </c>
      <c r="C227" s="200">
        <v>126</v>
      </c>
      <c r="D227" s="200">
        <v>29</v>
      </c>
      <c r="E227" s="200">
        <v>6</v>
      </c>
      <c r="F227" s="231">
        <v>7700</v>
      </c>
      <c r="G227" s="201"/>
      <c r="H227" s="201"/>
      <c r="I227" s="201"/>
      <c r="J227" s="201"/>
      <c r="K227" s="202"/>
      <c r="L227" s="202"/>
      <c r="M227" s="202"/>
      <c r="N227" s="202"/>
      <c r="O227" s="222">
        <f t="shared" si="28"/>
        <v>0.77435567999999999</v>
      </c>
      <c r="P227" s="223">
        <f t="shared" si="29"/>
        <v>7700</v>
      </c>
      <c r="Q227" s="226">
        <f t="shared" si="36"/>
        <v>7700</v>
      </c>
      <c r="R227" s="225">
        <f t="shared" si="30"/>
        <v>7700</v>
      </c>
      <c r="S227" s="225">
        <f t="shared" si="31"/>
        <v>7700</v>
      </c>
      <c r="T227" s="135">
        <f t="shared" si="32"/>
        <v>7700</v>
      </c>
      <c r="U227" s="149">
        <f t="shared" si="33"/>
        <v>0</v>
      </c>
      <c r="V227" s="150">
        <f t="shared" si="34"/>
        <v>0</v>
      </c>
      <c r="W227" s="80">
        <f t="shared" si="35"/>
        <v>9943.7509130171293</v>
      </c>
      <c r="Y227" s="53" t="s">
        <v>47</v>
      </c>
    </row>
    <row r="228" spans="1:25" ht="15" customHeight="1">
      <c r="A228" s="131" t="s">
        <v>273</v>
      </c>
      <c r="B228" s="194" t="s">
        <v>56</v>
      </c>
      <c r="C228" s="200">
        <v>100</v>
      </c>
      <c r="D228" s="200">
        <v>30</v>
      </c>
      <c r="E228" s="200">
        <v>8</v>
      </c>
      <c r="F228" s="231">
        <v>20000</v>
      </c>
      <c r="G228" s="201"/>
      <c r="H228" s="201"/>
      <c r="I228" s="201"/>
      <c r="J228" s="201"/>
      <c r="K228" s="202"/>
      <c r="L228" s="202"/>
      <c r="M228" s="202"/>
      <c r="N228" s="202"/>
      <c r="O228" s="222">
        <f t="shared" si="28"/>
        <v>0.84767999999999999</v>
      </c>
      <c r="P228" s="223">
        <f t="shared" si="29"/>
        <v>20000</v>
      </c>
      <c r="Q228" s="226">
        <f t="shared" si="36"/>
        <v>20000</v>
      </c>
      <c r="R228" s="225">
        <f t="shared" si="30"/>
        <v>20000</v>
      </c>
      <c r="S228" s="225">
        <f t="shared" si="31"/>
        <v>20000</v>
      </c>
      <c r="T228" s="135">
        <f t="shared" si="32"/>
        <v>20000</v>
      </c>
      <c r="U228" s="149">
        <f t="shared" si="33"/>
        <v>0</v>
      </c>
      <c r="V228" s="150">
        <f t="shared" si="34"/>
        <v>0</v>
      </c>
      <c r="W228" s="80">
        <f t="shared" si="35"/>
        <v>23593.80898452246</v>
      </c>
      <c r="Y228" s="53" t="s">
        <v>47</v>
      </c>
    </row>
    <row r="229" spans="1:25">
      <c r="A229" s="132" t="s">
        <v>274</v>
      </c>
      <c r="B229" s="194" t="s">
        <v>56</v>
      </c>
      <c r="C229" s="200">
        <v>148</v>
      </c>
      <c r="D229" s="200">
        <v>35</v>
      </c>
      <c r="E229" s="200">
        <v>6</v>
      </c>
      <c r="F229" s="231">
        <v>12800</v>
      </c>
      <c r="G229" s="201"/>
      <c r="H229" s="201"/>
      <c r="I229" s="201"/>
      <c r="J229" s="201"/>
      <c r="K229" s="202"/>
      <c r="L229" s="202"/>
      <c r="M229" s="202"/>
      <c r="N229" s="202"/>
      <c r="O229" s="222">
        <f t="shared" si="28"/>
        <v>1.0977456000000001</v>
      </c>
      <c r="P229" s="223">
        <f t="shared" si="29"/>
        <v>12800</v>
      </c>
      <c r="Q229" s="226">
        <f t="shared" si="36"/>
        <v>12800</v>
      </c>
      <c r="R229" s="225">
        <f t="shared" si="30"/>
        <v>12800</v>
      </c>
      <c r="S229" s="225">
        <f t="shared" si="31"/>
        <v>12800</v>
      </c>
      <c r="T229" s="135">
        <f t="shared" si="32"/>
        <v>12800</v>
      </c>
      <c r="U229" s="149">
        <f t="shared" si="33"/>
        <v>0</v>
      </c>
      <c r="V229" s="150">
        <f t="shared" si="34"/>
        <v>0</v>
      </c>
      <c r="W229" s="80">
        <f t="shared" si="35"/>
        <v>11660.260810883687</v>
      </c>
      <c r="Y229" s="53" t="s">
        <v>47</v>
      </c>
    </row>
    <row r="230" spans="1:25">
      <c r="A230" s="132" t="s">
        <v>275</v>
      </c>
      <c r="B230" s="194" t="s">
        <v>56</v>
      </c>
      <c r="C230" s="200">
        <v>82</v>
      </c>
      <c r="D230" s="200">
        <v>36</v>
      </c>
      <c r="E230" s="200">
        <v>7</v>
      </c>
      <c r="F230" s="231">
        <v>8000</v>
      </c>
      <c r="G230" s="201"/>
      <c r="H230" s="201"/>
      <c r="I230" s="201"/>
      <c r="J230" s="201"/>
      <c r="K230" s="202"/>
      <c r="L230" s="202"/>
      <c r="M230" s="202"/>
      <c r="N230" s="202"/>
      <c r="O230" s="222">
        <f t="shared" si="28"/>
        <v>0.72985247999999991</v>
      </c>
      <c r="P230" s="223">
        <f t="shared" si="29"/>
        <v>8000</v>
      </c>
      <c r="Q230" s="226">
        <f t="shared" si="36"/>
        <v>8000</v>
      </c>
      <c r="R230" s="225">
        <f t="shared" si="30"/>
        <v>8000</v>
      </c>
      <c r="S230" s="225">
        <f t="shared" si="31"/>
        <v>8000</v>
      </c>
      <c r="T230" s="135">
        <f t="shared" si="32"/>
        <v>8000</v>
      </c>
      <c r="U230" s="149">
        <f t="shared" si="33"/>
        <v>0</v>
      </c>
      <c r="V230" s="150">
        <f t="shared" si="34"/>
        <v>0</v>
      </c>
      <c r="W230" s="80">
        <f t="shared" si="35"/>
        <v>10961.119156572573</v>
      </c>
      <c r="Y230" s="53" t="s">
        <v>45</v>
      </c>
    </row>
    <row r="231" spans="1:25">
      <c r="A231" s="132" t="s">
        <v>276</v>
      </c>
      <c r="B231" s="194" t="s">
        <v>44</v>
      </c>
      <c r="C231" s="200">
        <v>188</v>
      </c>
      <c r="D231" s="200">
        <v>48</v>
      </c>
      <c r="E231" s="200">
        <v>9</v>
      </c>
      <c r="F231" s="231">
        <v>37800</v>
      </c>
      <c r="G231" s="201">
        <v>148</v>
      </c>
      <c r="H231" s="201">
        <v>53</v>
      </c>
      <c r="I231" s="201">
        <v>8</v>
      </c>
      <c r="J231" s="201">
        <v>30400</v>
      </c>
      <c r="K231" s="202"/>
      <c r="L231" s="202"/>
      <c r="M231" s="202"/>
      <c r="N231" s="202"/>
      <c r="O231" s="222">
        <f t="shared" si="28"/>
        <v>5.0849497600000007</v>
      </c>
      <c r="P231" s="223">
        <f t="shared" si="29"/>
        <v>68200</v>
      </c>
      <c r="Q231" s="226">
        <f t="shared" si="36"/>
        <v>68200</v>
      </c>
      <c r="R231" s="225">
        <f t="shared" si="30"/>
        <v>68200</v>
      </c>
      <c r="S231" s="225">
        <f t="shared" si="31"/>
        <v>68200</v>
      </c>
      <c r="T231" s="135">
        <f t="shared" si="32"/>
        <v>68200</v>
      </c>
      <c r="U231" s="149">
        <f t="shared" si="33"/>
        <v>0</v>
      </c>
      <c r="V231" s="150">
        <f t="shared" si="34"/>
        <v>0</v>
      </c>
      <c r="W231" s="80">
        <f t="shared" si="35"/>
        <v>13412.128579221202</v>
      </c>
      <c r="Y231" s="53" t="s">
        <v>47</v>
      </c>
    </row>
    <row r="232" spans="1:25">
      <c r="A232" s="132" t="s">
        <v>277</v>
      </c>
      <c r="B232" s="194" t="s">
        <v>56</v>
      </c>
      <c r="C232" s="200">
        <v>158</v>
      </c>
      <c r="D232" s="200">
        <v>45</v>
      </c>
      <c r="E232" s="200">
        <v>13</v>
      </c>
      <c r="F232" s="231">
        <v>42600</v>
      </c>
      <c r="G232" s="201"/>
      <c r="H232" s="201"/>
      <c r="I232" s="201"/>
      <c r="J232" s="201"/>
      <c r="K232" s="202"/>
      <c r="L232" s="202"/>
      <c r="M232" s="202"/>
      <c r="N232" s="202"/>
      <c r="O232" s="222">
        <f t="shared" si="28"/>
        <v>3.2646275999999999</v>
      </c>
      <c r="P232" s="223">
        <f t="shared" si="29"/>
        <v>42600</v>
      </c>
      <c r="Q232" s="226">
        <f t="shared" si="36"/>
        <v>42600</v>
      </c>
      <c r="R232" s="225">
        <f t="shared" si="30"/>
        <v>42600</v>
      </c>
      <c r="S232" s="225">
        <f t="shared" si="31"/>
        <v>42600</v>
      </c>
      <c r="T232" s="135">
        <f t="shared" si="32"/>
        <v>42600</v>
      </c>
      <c r="U232" s="149">
        <f t="shared" si="33"/>
        <v>0</v>
      </c>
      <c r="V232" s="150">
        <f t="shared" si="34"/>
        <v>0</v>
      </c>
      <c r="W232" s="80">
        <f t="shared" si="35"/>
        <v>13048.961541585939</v>
      </c>
      <c r="Y232" s="53" t="s">
        <v>47</v>
      </c>
    </row>
    <row r="233" spans="1:25">
      <c r="A233" s="132" t="s">
        <v>278</v>
      </c>
      <c r="B233" s="194" t="s">
        <v>56</v>
      </c>
      <c r="C233" s="200">
        <v>167</v>
      </c>
      <c r="D233" s="200">
        <v>40</v>
      </c>
      <c r="E233" s="200">
        <v>8</v>
      </c>
      <c r="F233" s="231">
        <v>28560</v>
      </c>
      <c r="G233" s="201"/>
      <c r="H233" s="201"/>
      <c r="I233" s="201"/>
      <c r="J233" s="201"/>
      <c r="K233" s="202"/>
      <c r="L233" s="202"/>
      <c r="M233" s="202"/>
      <c r="N233" s="202"/>
      <c r="O233" s="222">
        <f t="shared" si="28"/>
        <v>1.8875008</v>
      </c>
      <c r="P233" s="223">
        <f t="shared" si="29"/>
        <v>28560</v>
      </c>
      <c r="Q233" s="226">
        <f t="shared" si="36"/>
        <v>28560</v>
      </c>
      <c r="R233" s="225">
        <f t="shared" si="30"/>
        <v>28560</v>
      </c>
      <c r="S233" s="225">
        <f t="shared" si="31"/>
        <v>28560</v>
      </c>
      <c r="T233" s="135">
        <f t="shared" si="32"/>
        <v>28560</v>
      </c>
      <c r="U233" s="149">
        <f t="shared" si="33"/>
        <v>0</v>
      </c>
      <c r="V233" s="150">
        <f t="shared" si="34"/>
        <v>0</v>
      </c>
      <c r="W233" s="80">
        <f t="shared" si="35"/>
        <v>15131.119414624884</v>
      </c>
      <c r="Y233" s="53" t="s">
        <v>47</v>
      </c>
    </row>
    <row r="234" spans="1:25">
      <c r="A234" s="132" t="s">
        <v>279</v>
      </c>
      <c r="B234" s="194" t="s">
        <v>56</v>
      </c>
      <c r="C234" s="200">
        <v>137</v>
      </c>
      <c r="D234" s="200">
        <v>30</v>
      </c>
      <c r="E234" s="200">
        <v>10</v>
      </c>
      <c r="F234" s="231">
        <v>18445</v>
      </c>
      <c r="G234" s="201"/>
      <c r="H234" s="201"/>
      <c r="I234" s="201"/>
      <c r="J234" s="201"/>
      <c r="K234" s="202"/>
      <c r="L234" s="202"/>
      <c r="M234" s="202"/>
      <c r="N234" s="202"/>
      <c r="O234" s="222">
        <f t="shared" si="28"/>
        <v>1.4516519999999999</v>
      </c>
      <c r="P234" s="223">
        <f t="shared" si="29"/>
        <v>18445</v>
      </c>
      <c r="Q234" s="226">
        <f t="shared" si="36"/>
        <v>18445</v>
      </c>
      <c r="R234" s="225">
        <f t="shared" si="30"/>
        <v>18445</v>
      </c>
      <c r="S234" s="225">
        <f t="shared" si="31"/>
        <v>18445</v>
      </c>
      <c r="T234" s="135">
        <f t="shared" si="32"/>
        <v>18445</v>
      </c>
      <c r="U234" s="149">
        <f t="shared" si="33"/>
        <v>0</v>
      </c>
      <c r="V234" s="150">
        <f t="shared" si="34"/>
        <v>0</v>
      </c>
      <c r="W234" s="80">
        <f t="shared" si="35"/>
        <v>12706.213334876404</v>
      </c>
      <c r="Y234" s="53" t="s">
        <v>47</v>
      </c>
    </row>
    <row r="235" spans="1:25">
      <c r="A235" s="157" t="s">
        <v>280</v>
      </c>
      <c r="B235" s="194" t="s">
        <v>56</v>
      </c>
      <c r="C235" s="200">
        <v>153</v>
      </c>
      <c r="D235" s="200">
        <v>43</v>
      </c>
      <c r="E235" s="200">
        <v>9</v>
      </c>
      <c r="F235" s="231">
        <v>27630</v>
      </c>
      <c r="G235" s="201"/>
      <c r="H235" s="201"/>
      <c r="I235" s="201"/>
      <c r="J235" s="201"/>
      <c r="K235" s="202"/>
      <c r="L235" s="202"/>
      <c r="M235" s="202"/>
      <c r="N235" s="202"/>
      <c r="O235" s="222">
        <f t="shared" si="28"/>
        <v>2.0913325199999999</v>
      </c>
      <c r="P235" s="223">
        <f t="shared" si="29"/>
        <v>27630</v>
      </c>
      <c r="Q235" s="226">
        <f t="shared" si="36"/>
        <v>27630</v>
      </c>
      <c r="R235" s="225">
        <f t="shared" si="30"/>
        <v>27630</v>
      </c>
      <c r="S235" s="225">
        <f t="shared" si="31"/>
        <v>27630</v>
      </c>
      <c r="T235" s="135">
        <f t="shared" si="32"/>
        <v>27630</v>
      </c>
      <c r="U235" s="149">
        <f t="shared" si="33"/>
        <v>0</v>
      </c>
      <c r="V235" s="150">
        <f t="shared" si="34"/>
        <v>0</v>
      </c>
      <c r="W235" s="80">
        <f t="shared" si="35"/>
        <v>13211.672336066385</v>
      </c>
      <c r="Y235" s="53" t="s">
        <v>47</v>
      </c>
    </row>
    <row r="236" spans="1:25">
      <c r="A236" s="178" t="s">
        <v>281</v>
      </c>
      <c r="B236" s="194" t="s">
        <v>56</v>
      </c>
      <c r="C236" s="200">
        <v>150</v>
      </c>
      <c r="D236" s="200">
        <v>34</v>
      </c>
      <c r="E236" s="200">
        <v>5</v>
      </c>
      <c r="F236" s="232">
        <v>15500</v>
      </c>
      <c r="G236" s="201"/>
      <c r="H236" s="201"/>
      <c r="I236" s="201"/>
      <c r="J236" s="201"/>
      <c r="K236" s="202"/>
      <c r="L236" s="202"/>
      <c r="M236" s="202"/>
      <c r="N236" s="202"/>
      <c r="O236" s="222">
        <f t="shared" si="28"/>
        <v>0.90065999999999991</v>
      </c>
      <c r="P236" s="223">
        <f t="shared" si="29"/>
        <v>15500</v>
      </c>
      <c r="Q236" s="226">
        <f t="shared" si="36"/>
        <v>15500</v>
      </c>
      <c r="R236" s="225">
        <f t="shared" si="30"/>
        <v>15500</v>
      </c>
      <c r="S236" s="225">
        <f t="shared" si="31"/>
        <v>15500</v>
      </c>
      <c r="T236" s="135">
        <f t="shared" si="32"/>
        <v>15500</v>
      </c>
      <c r="U236" s="149">
        <f t="shared" si="33"/>
        <v>0</v>
      </c>
      <c r="V236" s="150">
        <f t="shared" si="34"/>
        <v>0</v>
      </c>
      <c r="W236" s="80">
        <f t="shared" si="35"/>
        <v>17209.601847534032</v>
      </c>
      <c r="Y236" s="53" t="s">
        <v>45</v>
      </c>
    </row>
    <row r="237" spans="1:25">
      <c r="A237" s="162" t="s">
        <v>282</v>
      </c>
      <c r="B237" s="194" t="s">
        <v>56</v>
      </c>
      <c r="C237" s="200">
        <v>87</v>
      </c>
      <c r="D237" s="200">
        <v>29</v>
      </c>
      <c r="E237" s="200">
        <v>9</v>
      </c>
      <c r="F237" s="231">
        <v>7800</v>
      </c>
      <c r="G237" s="201"/>
      <c r="H237" s="201"/>
      <c r="I237" s="201"/>
      <c r="J237" s="201"/>
      <c r="K237" s="202"/>
      <c r="L237" s="202"/>
      <c r="M237" s="202"/>
      <c r="N237" s="202"/>
      <c r="O237" s="222">
        <f t="shared" si="28"/>
        <v>0.80201124000000001</v>
      </c>
      <c r="P237" s="223">
        <f t="shared" si="29"/>
        <v>7800</v>
      </c>
      <c r="Q237" s="226">
        <f t="shared" si="36"/>
        <v>7800</v>
      </c>
      <c r="R237" s="225">
        <f t="shared" si="30"/>
        <v>7800</v>
      </c>
      <c r="S237" s="225">
        <f t="shared" si="31"/>
        <v>7800</v>
      </c>
      <c r="T237" s="135">
        <f t="shared" si="32"/>
        <v>7800</v>
      </c>
      <c r="U237" s="149">
        <f t="shared" si="33"/>
        <v>0</v>
      </c>
      <c r="V237" s="150">
        <f t="shared" si="34"/>
        <v>0</v>
      </c>
      <c r="W237" s="80">
        <f t="shared" si="35"/>
        <v>9725.5494823239624</v>
      </c>
      <c r="Y237" s="53" t="s">
        <v>47</v>
      </c>
    </row>
    <row r="238" spans="1:25">
      <c r="A238" s="132" t="s">
        <v>283</v>
      </c>
      <c r="B238" s="194" t="s">
        <v>56</v>
      </c>
      <c r="C238" s="200">
        <v>58</v>
      </c>
      <c r="D238" s="200">
        <v>30</v>
      </c>
      <c r="E238" s="200">
        <v>9</v>
      </c>
      <c r="F238" s="231">
        <v>6500</v>
      </c>
      <c r="G238" s="201"/>
      <c r="H238" s="201"/>
      <c r="I238" s="201"/>
      <c r="J238" s="201"/>
      <c r="K238" s="202"/>
      <c r="L238" s="202"/>
      <c r="M238" s="202"/>
      <c r="N238" s="202"/>
      <c r="O238" s="222">
        <f t="shared" si="28"/>
        <v>0.55311120000000003</v>
      </c>
      <c r="P238" s="223">
        <f t="shared" si="29"/>
        <v>6500</v>
      </c>
      <c r="Q238" s="226">
        <f t="shared" si="36"/>
        <v>6500</v>
      </c>
      <c r="R238" s="225">
        <f t="shared" si="30"/>
        <v>6500</v>
      </c>
      <c r="S238" s="225">
        <f t="shared" si="31"/>
        <v>6500</v>
      </c>
      <c r="T238" s="135">
        <f t="shared" si="32"/>
        <v>6500</v>
      </c>
      <c r="U238" s="149">
        <f t="shared" si="33"/>
        <v>0</v>
      </c>
      <c r="V238" s="150">
        <f t="shared" si="34"/>
        <v>0</v>
      </c>
      <c r="W238" s="80">
        <f t="shared" si="35"/>
        <v>11751.705624474789</v>
      </c>
      <c r="Y238" s="53" t="s">
        <v>47</v>
      </c>
    </row>
    <row r="239" spans="1:25">
      <c r="A239" s="132" t="s">
        <v>284</v>
      </c>
      <c r="B239" s="194" t="s">
        <v>56</v>
      </c>
      <c r="C239" s="200">
        <v>45</v>
      </c>
      <c r="D239" s="200">
        <v>24.5</v>
      </c>
      <c r="E239" s="200">
        <v>5</v>
      </c>
      <c r="F239" s="231">
        <v>2000</v>
      </c>
      <c r="G239" s="201"/>
      <c r="H239" s="201"/>
      <c r="I239" s="201"/>
      <c r="J239" s="201"/>
      <c r="K239" s="202"/>
      <c r="L239" s="202"/>
      <c r="M239" s="202"/>
      <c r="N239" s="202"/>
      <c r="O239" s="222">
        <f t="shared" si="28"/>
        <v>0.1947015</v>
      </c>
      <c r="P239" s="223">
        <f t="shared" si="29"/>
        <v>2000</v>
      </c>
      <c r="Q239" s="226">
        <f t="shared" si="36"/>
        <v>2000</v>
      </c>
      <c r="R239" s="225">
        <f t="shared" si="30"/>
        <v>2000</v>
      </c>
      <c r="S239" s="225">
        <f t="shared" si="31"/>
        <v>2000</v>
      </c>
      <c r="T239" s="135">
        <f t="shared" si="32"/>
        <v>2000</v>
      </c>
      <c r="U239" s="149">
        <f t="shared" si="33"/>
        <v>0</v>
      </c>
      <c r="V239" s="150">
        <f t="shared" si="34"/>
        <v>0</v>
      </c>
      <c r="W239" s="80">
        <f t="shared" si="35"/>
        <v>10272.134523873725</v>
      </c>
      <c r="Y239" s="53" t="s">
        <v>45</v>
      </c>
    </row>
    <row r="240" spans="1:25">
      <c r="A240" s="132" t="s">
        <v>285</v>
      </c>
      <c r="B240" s="194" t="s">
        <v>56</v>
      </c>
      <c r="C240" s="200">
        <v>55</v>
      </c>
      <c r="D240" s="200">
        <v>32</v>
      </c>
      <c r="E240" s="200">
        <v>3.5</v>
      </c>
      <c r="F240" s="231">
        <v>2000</v>
      </c>
      <c r="G240" s="201"/>
      <c r="H240" s="201"/>
      <c r="I240" s="201"/>
      <c r="J240" s="201"/>
      <c r="K240" s="202"/>
      <c r="L240" s="202"/>
      <c r="M240" s="202"/>
      <c r="N240" s="202"/>
      <c r="O240" s="222">
        <f t="shared" si="28"/>
        <v>0.21757119999999999</v>
      </c>
      <c r="P240" s="223">
        <f t="shared" si="29"/>
        <v>2000</v>
      </c>
      <c r="Q240" s="226">
        <f t="shared" si="36"/>
        <v>2000</v>
      </c>
      <c r="R240" s="225">
        <f t="shared" si="30"/>
        <v>2000</v>
      </c>
      <c r="S240" s="225">
        <f t="shared" si="31"/>
        <v>2000</v>
      </c>
      <c r="T240" s="135">
        <f t="shared" si="32"/>
        <v>2000</v>
      </c>
      <c r="U240" s="149">
        <f t="shared" si="33"/>
        <v>0</v>
      </c>
      <c r="V240" s="150">
        <f t="shared" si="34"/>
        <v>0</v>
      </c>
      <c r="W240" s="80">
        <f t="shared" si="35"/>
        <v>9192.3931108529068</v>
      </c>
      <c r="Y240" s="53" t="s">
        <v>45</v>
      </c>
    </row>
    <row r="241" spans="1:25">
      <c r="A241" s="132" t="s">
        <v>286</v>
      </c>
      <c r="B241" s="194" t="s">
        <v>56</v>
      </c>
      <c r="C241" s="200">
        <v>41</v>
      </c>
      <c r="D241" s="200">
        <v>25</v>
      </c>
      <c r="E241" s="200">
        <v>4</v>
      </c>
      <c r="F241" s="231">
        <v>1000</v>
      </c>
      <c r="G241" s="201"/>
      <c r="H241" s="201"/>
      <c r="I241" s="201"/>
      <c r="J241" s="201"/>
      <c r="K241" s="202"/>
      <c r="L241" s="202"/>
      <c r="M241" s="202"/>
      <c r="N241" s="202"/>
      <c r="O241" s="222">
        <f t="shared" si="28"/>
        <v>0.14481200000000002</v>
      </c>
      <c r="P241" s="223">
        <f t="shared" si="29"/>
        <v>1000</v>
      </c>
      <c r="Q241" s="226">
        <f t="shared" si="36"/>
        <v>1000</v>
      </c>
      <c r="R241" s="225">
        <f t="shared" si="30"/>
        <v>1000</v>
      </c>
      <c r="S241" s="225">
        <f t="shared" si="31"/>
        <v>1000</v>
      </c>
      <c r="T241" s="135">
        <f t="shared" si="32"/>
        <v>1000</v>
      </c>
      <c r="U241" s="149">
        <f t="shared" si="33"/>
        <v>0</v>
      </c>
      <c r="V241" s="150">
        <f t="shared" si="34"/>
        <v>0</v>
      </c>
      <c r="W241" s="80">
        <f t="shared" si="35"/>
        <v>6905.5050686407194</v>
      </c>
      <c r="Y241" s="53" t="s">
        <v>45</v>
      </c>
    </row>
    <row r="242" spans="1:25">
      <c r="A242" s="132" t="s">
        <v>287</v>
      </c>
      <c r="B242" s="194" t="s">
        <v>56</v>
      </c>
      <c r="C242" s="200">
        <v>120</v>
      </c>
      <c r="D242" s="200">
        <v>36</v>
      </c>
      <c r="E242" s="200">
        <v>7</v>
      </c>
      <c r="F242" s="231">
        <v>10000</v>
      </c>
      <c r="G242" s="201"/>
      <c r="H242" s="201"/>
      <c r="I242" s="201"/>
      <c r="J242" s="201"/>
      <c r="K242" s="202"/>
      <c r="L242" s="202"/>
      <c r="M242" s="202"/>
      <c r="N242" s="202"/>
      <c r="O242" s="222">
        <f t="shared" si="28"/>
        <v>1.0680768</v>
      </c>
      <c r="P242" s="223">
        <f t="shared" si="29"/>
        <v>10000</v>
      </c>
      <c r="Q242" s="226">
        <f t="shared" si="36"/>
        <v>10000</v>
      </c>
      <c r="R242" s="225">
        <f t="shared" si="30"/>
        <v>10000</v>
      </c>
      <c r="S242" s="225">
        <f t="shared" si="31"/>
        <v>10000</v>
      </c>
      <c r="T242" s="135">
        <f t="shared" si="32"/>
        <v>10000</v>
      </c>
      <c r="U242" s="149">
        <f t="shared" si="33"/>
        <v>0</v>
      </c>
      <c r="V242" s="150">
        <f t="shared" si="34"/>
        <v>0</v>
      </c>
      <c r="W242" s="80">
        <f t="shared" si="35"/>
        <v>9362.6226129057377</v>
      </c>
      <c r="Y242" s="53" t="s">
        <v>45</v>
      </c>
    </row>
    <row r="243" spans="1:25">
      <c r="A243" s="178" t="s">
        <v>288</v>
      </c>
      <c r="B243" s="194" t="s">
        <v>56</v>
      </c>
      <c r="C243" s="200">
        <v>196</v>
      </c>
      <c r="D243" s="200">
        <v>43</v>
      </c>
      <c r="E243" s="200">
        <v>8</v>
      </c>
      <c r="F243" s="231">
        <v>31955</v>
      </c>
      <c r="G243" s="201"/>
      <c r="H243" s="201"/>
      <c r="I243" s="201"/>
      <c r="J243" s="201"/>
      <c r="K243" s="202"/>
      <c r="L243" s="202"/>
      <c r="M243" s="202"/>
      <c r="N243" s="202"/>
      <c r="O243" s="222">
        <f t="shared" si="28"/>
        <v>2.3814156799999999</v>
      </c>
      <c r="P243" s="223">
        <f t="shared" si="29"/>
        <v>31955</v>
      </c>
      <c r="Q243" s="226">
        <f t="shared" si="36"/>
        <v>31955</v>
      </c>
      <c r="R243" s="225">
        <f t="shared" si="30"/>
        <v>31955</v>
      </c>
      <c r="S243" s="225">
        <f t="shared" si="31"/>
        <v>31955</v>
      </c>
      <c r="T243" s="135">
        <f t="shared" si="32"/>
        <v>31955</v>
      </c>
      <c r="U243" s="149">
        <f t="shared" si="33"/>
        <v>0</v>
      </c>
      <c r="V243" s="150">
        <f t="shared" si="34"/>
        <v>0</v>
      </c>
      <c r="W243" s="80">
        <f t="shared" si="35"/>
        <v>13418.488955275545</v>
      </c>
      <c r="Y243" s="53" t="s">
        <v>47</v>
      </c>
    </row>
    <row r="244" spans="1:25">
      <c r="A244" s="132" t="s">
        <v>289</v>
      </c>
      <c r="B244" s="194" t="s">
        <v>54</v>
      </c>
      <c r="C244" s="200"/>
      <c r="D244" s="200"/>
      <c r="E244" s="200"/>
      <c r="F244" s="231"/>
      <c r="G244" s="201"/>
      <c r="H244" s="201"/>
      <c r="I244" s="201"/>
      <c r="J244" s="201"/>
      <c r="K244" s="202"/>
      <c r="L244" s="202"/>
      <c r="M244" s="202"/>
      <c r="N244" s="202"/>
      <c r="O244" s="222">
        <f t="shared" si="28"/>
        <v>0</v>
      </c>
      <c r="P244" s="223">
        <f t="shared" si="29"/>
        <v>0</v>
      </c>
      <c r="Q244" s="226">
        <f t="shared" si="36"/>
        <v>0</v>
      </c>
      <c r="R244" s="225">
        <f t="shared" si="30"/>
        <v>0</v>
      </c>
      <c r="S244" s="225">
        <f t="shared" si="31"/>
        <v>0</v>
      </c>
      <c r="T244" s="135">
        <f t="shared" si="32"/>
        <v>0</v>
      </c>
      <c r="U244" s="149">
        <f t="shared" si="33"/>
        <v>0</v>
      </c>
      <c r="V244" s="150" t="e">
        <f t="shared" si="34"/>
        <v>#DIV/0!</v>
      </c>
      <c r="W244" s="80" t="e">
        <f t="shared" si="35"/>
        <v>#DIV/0!</v>
      </c>
      <c r="Y244" s="53" t="s">
        <v>45</v>
      </c>
    </row>
    <row r="245" spans="1:25" ht="13.5" customHeight="1">
      <c r="A245" s="132" t="s">
        <v>290</v>
      </c>
      <c r="B245" s="194" t="s">
        <v>56</v>
      </c>
      <c r="C245" s="200"/>
      <c r="D245" s="200"/>
      <c r="E245" s="200"/>
      <c r="F245" s="231"/>
      <c r="G245" s="201"/>
      <c r="H245" s="201"/>
      <c r="I245" s="201"/>
      <c r="J245" s="201"/>
      <c r="K245" s="202"/>
      <c r="L245" s="202"/>
      <c r="M245" s="202"/>
      <c r="N245" s="202"/>
      <c r="O245" s="222">
        <f t="shared" si="28"/>
        <v>0</v>
      </c>
      <c r="P245" s="223">
        <f t="shared" si="29"/>
        <v>0</v>
      </c>
      <c r="Q245" s="226">
        <f t="shared" si="36"/>
        <v>0</v>
      </c>
      <c r="R245" s="225">
        <f t="shared" si="30"/>
        <v>0</v>
      </c>
      <c r="S245" s="225">
        <f t="shared" si="31"/>
        <v>0</v>
      </c>
      <c r="T245" s="135">
        <f t="shared" si="32"/>
        <v>0</v>
      </c>
      <c r="U245" s="149">
        <f t="shared" si="33"/>
        <v>0</v>
      </c>
      <c r="V245" s="150" t="e">
        <f t="shared" si="34"/>
        <v>#DIV/0!</v>
      </c>
      <c r="W245" s="80" t="e">
        <f t="shared" si="35"/>
        <v>#DIV/0!</v>
      </c>
      <c r="Y245" s="53" t="s">
        <v>45</v>
      </c>
    </row>
    <row r="246" spans="1:25">
      <c r="A246" s="132" t="s">
        <v>291</v>
      </c>
      <c r="B246" s="194" t="s">
        <v>56</v>
      </c>
      <c r="C246" s="200">
        <v>24</v>
      </c>
      <c r="D246" s="200">
        <v>23</v>
      </c>
      <c r="E246" s="200">
        <v>9</v>
      </c>
      <c r="F246" s="231">
        <v>755</v>
      </c>
      <c r="G246" s="201"/>
      <c r="H246" s="201"/>
      <c r="I246" s="201"/>
      <c r="J246" s="201"/>
      <c r="K246" s="202"/>
      <c r="L246" s="202"/>
      <c r="M246" s="202"/>
      <c r="N246" s="202"/>
      <c r="O246" s="222">
        <f t="shared" si="28"/>
        <v>0.17546976</v>
      </c>
      <c r="P246" s="223">
        <f t="shared" si="29"/>
        <v>755</v>
      </c>
      <c r="Q246" s="226">
        <f t="shared" si="36"/>
        <v>755</v>
      </c>
      <c r="R246" s="225">
        <f t="shared" si="30"/>
        <v>755</v>
      </c>
      <c r="S246" s="225">
        <f t="shared" si="31"/>
        <v>755</v>
      </c>
      <c r="T246" s="135">
        <f t="shared" si="32"/>
        <v>755</v>
      </c>
      <c r="U246" s="149">
        <f t="shared" si="33"/>
        <v>0</v>
      </c>
      <c r="V246" s="150">
        <f t="shared" si="34"/>
        <v>0</v>
      </c>
      <c r="W246" s="80">
        <f t="shared" si="35"/>
        <v>4302.735696452768</v>
      </c>
      <c r="Y246" s="53" t="s">
        <v>47</v>
      </c>
    </row>
    <row r="247" spans="1:25" ht="15" customHeight="1">
      <c r="A247" s="157" t="s">
        <v>292</v>
      </c>
      <c r="B247" s="194" t="s">
        <v>56</v>
      </c>
      <c r="C247" s="200">
        <v>185</v>
      </c>
      <c r="D247" s="200">
        <v>50</v>
      </c>
      <c r="E247" s="200">
        <v>9</v>
      </c>
      <c r="F247" s="231">
        <v>45000</v>
      </c>
      <c r="G247" s="201"/>
      <c r="H247" s="201"/>
      <c r="I247" s="201"/>
      <c r="J247" s="201"/>
      <c r="K247" s="202"/>
      <c r="L247" s="202"/>
      <c r="M247" s="202"/>
      <c r="N247" s="202"/>
      <c r="O247" s="222">
        <f t="shared" si="28"/>
        <v>2.9403900000000003</v>
      </c>
      <c r="P247" s="223">
        <f t="shared" si="29"/>
        <v>45000</v>
      </c>
      <c r="Q247" s="226">
        <f t="shared" si="36"/>
        <v>45000</v>
      </c>
      <c r="R247" s="225">
        <f t="shared" si="30"/>
        <v>45000</v>
      </c>
      <c r="S247" s="225">
        <f t="shared" si="31"/>
        <v>45000</v>
      </c>
      <c r="T247" s="135">
        <f t="shared" si="32"/>
        <v>45000</v>
      </c>
      <c r="U247" s="149">
        <f t="shared" si="33"/>
        <v>0</v>
      </c>
      <c r="V247" s="150">
        <f t="shared" si="34"/>
        <v>0</v>
      </c>
      <c r="W247" s="80">
        <f t="shared" si="35"/>
        <v>15304.092314284839</v>
      </c>
      <c r="Y247" s="53" t="s">
        <v>47</v>
      </c>
    </row>
    <row r="248" spans="1:25" ht="15" customHeight="1">
      <c r="A248" s="157" t="s">
        <v>293</v>
      </c>
      <c r="B248" s="194" t="s">
        <v>56</v>
      </c>
      <c r="C248" s="200">
        <v>185</v>
      </c>
      <c r="D248" s="200">
        <v>51</v>
      </c>
      <c r="E248" s="200">
        <v>10</v>
      </c>
      <c r="F248" s="231">
        <v>47900</v>
      </c>
      <c r="G248" s="201"/>
      <c r="H248" s="201"/>
      <c r="I248" s="201"/>
      <c r="J248" s="201"/>
      <c r="K248" s="202"/>
      <c r="L248" s="202"/>
      <c r="M248" s="202"/>
      <c r="N248" s="202"/>
      <c r="O248" s="222">
        <f t="shared" si="28"/>
        <v>3.3324420000000003</v>
      </c>
      <c r="P248" s="223">
        <f t="shared" si="29"/>
        <v>47900</v>
      </c>
      <c r="Q248" s="226">
        <f t="shared" si="36"/>
        <v>47900</v>
      </c>
      <c r="R248" s="225">
        <f t="shared" si="30"/>
        <v>47900</v>
      </c>
      <c r="S248" s="225">
        <f t="shared" si="31"/>
        <v>47900</v>
      </c>
      <c r="T248" s="135">
        <f t="shared" si="32"/>
        <v>47900</v>
      </c>
      <c r="U248" s="149">
        <f t="shared" si="33"/>
        <v>0</v>
      </c>
      <c r="V248" s="150">
        <f t="shared" si="34"/>
        <v>0</v>
      </c>
      <c r="W248" s="80">
        <f t="shared" si="35"/>
        <v>14373.843565769484</v>
      </c>
      <c r="Y248" s="53" t="s">
        <v>47</v>
      </c>
    </row>
    <row r="249" spans="1:25" ht="15" customHeight="1">
      <c r="A249" s="157" t="s">
        <v>294</v>
      </c>
      <c r="B249" s="194" t="s">
        <v>56</v>
      </c>
      <c r="C249" s="200">
        <v>186</v>
      </c>
      <c r="D249" s="200">
        <v>51</v>
      </c>
      <c r="E249" s="200">
        <v>10</v>
      </c>
      <c r="F249" s="231">
        <v>48400</v>
      </c>
      <c r="G249" s="201"/>
      <c r="H249" s="201"/>
      <c r="I249" s="201"/>
      <c r="J249" s="201"/>
      <c r="K249" s="202"/>
      <c r="L249" s="202"/>
      <c r="M249" s="202"/>
      <c r="N249" s="202"/>
      <c r="O249" s="222">
        <f t="shared" si="28"/>
        <v>3.3504551999999999</v>
      </c>
      <c r="P249" s="223">
        <f t="shared" si="29"/>
        <v>48400</v>
      </c>
      <c r="Q249" s="226">
        <f t="shared" si="36"/>
        <v>48400</v>
      </c>
      <c r="R249" s="225">
        <f t="shared" si="30"/>
        <v>48400</v>
      </c>
      <c r="S249" s="225">
        <f t="shared" si="31"/>
        <v>48400</v>
      </c>
      <c r="T249" s="135">
        <f t="shared" si="32"/>
        <v>48400</v>
      </c>
      <c r="U249" s="149">
        <f t="shared" si="33"/>
        <v>0</v>
      </c>
      <c r="V249" s="150">
        <f t="shared" si="34"/>
        <v>0</v>
      </c>
      <c r="W249" s="80">
        <f t="shared" si="35"/>
        <v>14445.798290333803</v>
      </c>
      <c r="Y249" s="53" t="s">
        <v>47</v>
      </c>
    </row>
    <row r="250" spans="1:25" ht="15" customHeight="1">
      <c r="A250" s="132" t="s">
        <v>295</v>
      </c>
      <c r="B250" s="194" t="s">
        <v>44</v>
      </c>
      <c r="C250" s="200">
        <v>123</v>
      </c>
      <c r="D250" s="200">
        <v>53</v>
      </c>
      <c r="E250" s="200">
        <v>11</v>
      </c>
      <c r="F250" s="231">
        <v>33900</v>
      </c>
      <c r="G250" s="201">
        <v>186</v>
      </c>
      <c r="H250" s="201">
        <v>51</v>
      </c>
      <c r="I250" s="201">
        <v>10</v>
      </c>
      <c r="J250" s="201">
        <v>44100</v>
      </c>
      <c r="K250" s="202"/>
      <c r="L250" s="202"/>
      <c r="M250" s="202"/>
      <c r="N250" s="202"/>
      <c r="O250" s="222">
        <f t="shared" si="28"/>
        <v>5.8832170799999997</v>
      </c>
      <c r="P250" s="223">
        <f t="shared" si="29"/>
        <v>78000</v>
      </c>
      <c r="Q250" s="226">
        <f t="shared" si="36"/>
        <v>78000</v>
      </c>
      <c r="R250" s="225">
        <f t="shared" si="30"/>
        <v>78000</v>
      </c>
      <c r="S250" s="225">
        <f t="shared" si="31"/>
        <v>78000</v>
      </c>
      <c r="T250" s="135">
        <f t="shared" si="32"/>
        <v>78000</v>
      </c>
      <c r="U250" s="149">
        <f t="shared" si="33"/>
        <v>0</v>
      </c>
      <c r="V250" s="150">
        <f t="shared" si="34"/>
        <v>0</v>
      </c>
      <c r="W250" s="80">
        <f t="shared" si="35"/>
        <v>13258.052344381622</v>
      </c>
      <c r="Y250" s="53" t="s">
        <v>47</v>
      </c>
    </row>
    <row r="251" spans="1:25" ht="15" customHeight="1">
      <c r="A251" s="132" t="s">
        <v>296</v>
      </c>
      <c r="B251" s="194" t="s">
        <v>44</v>
      </c>
      <c r="C251" s="200">
        <v>123</v>
      </c>
      <c r="D251" s="200">
        <v>53</v>
      </c>
      <c r="E251" s="200">
        <v>11</v>
      </c>
      <c r="F251" s="231">
        <v>33901</v>
      </c>
      <c r="G251" s="201">
        <v>186</v>
      </c>
      <c r="H251" s="201">
        <v>51</v>
      </c>
      <c r="I251" s="201">
        <v>10</v>
      </c>
      <c r="J251" s="201">
        <v>44100</v>
      </c>
      <c r="K251" s="202"/>
      <c r="L251" s="202"/>
      <c r="M251" s="202"/>
      <c r="N251" s="202"/>
      <c r="O251" s="222">
        <f t="shared" si="28"/>
        <v>5.8832170799999997</v>
      </c>
      <c r="P251" s="223">
        <f t="shared" si="29"/>
        <v>78001</v>
      </c>
      <c r="Q251" s="226">
        <f t="shared" si="36"/>
        <v>78001</v>
      </c>
      <c r="R251" s="225">
        <f t="shared" si="30"/>
        <v>78001</v>
      </c>
      <c r="S251" s="225">
        <f t="shared" si="31"/>
        <v>78001</v>
      </c>
      <c r="T251" s="135">
        <f t="shared" si="32"/>
        <v>78001</v>
      </c>
      <c r="U251" s="149">
        <f t="shared" si="33"/>
        <v>0</v>
      </c>
      <c r="V251" s="150">
        <f t="shared" si="34"/>
        <v>0</v>
      </c>
      <c r="W251" s="80">
        <f t="shared" si="35"/>
        <v>13258.22231941168</v>
      </c>
      <c r="Y251" s="53" t="s">
        <v>45</v>
      </c>
    </row>
    <row r="252" spans="1:25" ht="15" customHeight="1">
      <c r="A252" s="132" t="s">
        <v>297</v>
      </c>
      <c r="B252" s="194" t="s">
        <v>44</v>
      </c>
      <c r="C252" s="200">
        <v>130</v>
      </c>
      <c r="D252" s="200">
        <v>54</v>
      </c>
      <c r="E252" s="200">
        <v>9</v>
      </c>
      <c r="F252" s="231">
        <v>29140</v>
      </c>
      <c r="G252" s="201">
        <v>182</v>
      </c>
      <c r="H252" s="201">
        <v>49</v>
      </c>
      <c r="I252" s="201">
        <v>10</v>
      </c>
      <c r="J252" s="201">
        <v>40230</v>
      </c>
      <c r="K252" s="202">
        <v>188</v>
      </c>
      <c r="L252" s="202">
        <v>51</v>
      </c>
      <c r="M252" s="202">
        <v>8</v>
      </c>
      <c r="N252" s="202">
        <v>35650</v>
      </c>
      <c r="O252" s="222">
        <f t="shared" si="28"/>
        <v>8.0905404799999996</v>
      </c>
      <c r="P252" s="223">
        <f t="shared" si="29"/>
        <v>105020</v>
      </c>
      <c r="Q252" s="226">
        <f t="shared" si="36"/>
        <v>105020</v>
      </c>
      <c r="R252" s="225">
        <f t="shared" si="30"/>
        <v>105020</v>
      </c>
      <c r="S252" s="225">
        <f t="shared" si="31"/>
        <v>105020</v>
      </c>
      <c r="T252" s="135">
        <f t="shared" si="32"/>
        <v>105020</v>
      </c>
      <c r="U252" s="149">
        <f t="shared" si="33"/>
        <v>0</v>
      </c>
      <c r="V252" s="150">
        <f t="shared" si="34"/>
        <v>0</v>
      </c>
      <c r="W252" s="80">
        <f t="shared" si="35"/>
        <v>12980.591378241272</v>
      </c>
      <c r="Y252" s="53" t="s">
        <v>47</v>
      </c>
    </row>
    <row r="253" spans="1:25" ht="15" customHeight="1">
      <c r="A253" s="132" t="s">
        <v>298</v>
      </c>
      <c r="B253" s="194" t="s">
        <v>44</v>
      </c>
      <c r="C253" s="200">
        <v>130</v>
      </c>
      <c r="D253" s="200">
        <v>54</v>
      </c>
      <c r="E253" s="200">
        <v>9</v>
      </c>
      <c r="F253" s="231">
        <v>29140</v>
      </c>
      <c r="G253" s="201">
        <v>180</v>
      </c>
      <c r="H253" s="201">
        <v>48</v>
      </c>
      <c r="I253" s="201">
        <v>10</v>
      </c>
      <c r="J253" s="201">
        <v>37000</v>
      </c>
      <c r="K253" s="202">
        <v>188</v>
      </c>
      <c r="L253" s="202">
        <v>51</v>
      </c>
      <c r="M253" s="202">
        <v>8</v>
      </c>
      <c r="N253" s="202">
        <v>35650</v>
      </c>
      <c r="O253" s="222">
        <f t="shared" si="28"/>
        <v>7.9923508800000009</v>
      </c>
      <c r="P253" s="223">
        <f t="shared" si="29"/>
        <v>101790</v>
      </c>
      <c r="Q253" s="226">
        <f t="shared" si="36"/>
        <v>101790</v>
      </c>
      <c r="R253" s="225">
        <f t="shared" si="30"/>
        <v>101790</v>
      </c>
      <c r="S253" s="225">
        <f t="shared" si="31"/>
        <v>101790</v>
      </c>
      <c r="T253" s="135">
        <f t="shared" si="32"/>
        <v>101790</v>
      </c>
      <c r="U253" s="149">
        <f t="shared" si="33"/>
        <v>0</v>
      </c>
      <c r="V253" s="150">
        <f t="shared" si="34"/>
        <v>0</v>
      </c>
      <c r="W253" s="80">
        <f t="shared" si="35"/>
        <v>12735.927329556882</v>
      </c>
      <c r="Y253" s="53" t="s">
        <v>47</v>
      </c>
    </row>
    <row r="254" spans="1:25" ht="15" customHeight="1">
      <c r="A254" s="132" t="s">
        <v>299</v>
      </c>
      <c r="B254" s="194" t="s">
        <v>44</v>
      </c>
      <c r="C254" s="200">
        <v>166</v>
      </c>
      <c r="D254" s="200">
        <v>53</v>
      </c>
      <c r="E254" s="200">
        <v>10</v>
      </c>
      <c r="F254" s="231">
        <v>44650</v>
      </c>
      <c r="G254" s="201">
        <v>180</v>
      </c>
      <c r="H254" s="201">
        <v>47</v>
      </c>
      <c r="I254" s="201">
        <v>10</v>
      </c>
      <c r="J254" s="201">
        <v>47370</v>
      </c>
      <c r="K254" s="202">
        <v>185</v>
      </c>
      <c r="L254" s="202">
        <v>50</v>
      </c>
      <c r="M254" s="202">
        <v>8</v>
      </c>
      <c r="N254" s="202">
        <v>44800</v>
      </c>
      <c r="O254" s="222">
        <f t="shared" si="28"/>
        <v>8.7092056000000007</v>
      </c>
      <c r="P254" s="223">
        <f t="shared" si="29"/>
        <v>136820</v>
      </c>
      <c r="Q254" s="226">
        <f t="shared" si="36"/>
        <v>136820</v>
      </c>
      <c r="R254" s="225">
        <f t="shared" si="30"/>
        <v>136820</v>
      </c>
      <c r="S254" s="225">
        <f t="shared" si="31"/>
        <v>136820</v>
      </c>
      <c r="T254" s="135">
        <f t="shared" si="32"/>
        <v>136820</v>
      </c>
      <c r="U254" s="149">
        <f t="shared" si="33"/>
        <v>0</v>
      </c>
      <c r="V254" s="150">
        <f t="shared" si="34"/>
        <v>0</v>
      </c>
      <c r="W254" s="80">
        <f t="shared" si="35"/>
        <v>15709.813992679194</v>
      </c>
      <c r="Y254" s="53" t="s">
        <v>47</v>
      </c>
    </row>
    <row r="255" spans="1:25" ht="15" customHeight="1">
      <c r="A255" s="132" t="s">
        <v>300</v>
      </c>
      <c r="B255" s="194" t="s">
        <v>44</v>
      </c>
      <c r="C255" s="200">
        <v>166</v>
      </c>
      <c r="D255" s="200">
        <v>53</v>
      </c>
      <c r="E255" s="200">
        <v>10</v>
      </c>
      <c r="F255" s="231">
        <v>44650</v>
      </c>
      <c r="G255" s="201">
        <v>180</v>
      </c>
      <c r="H255" s="201">
        <v>48</v>
      </c>
      <c r="I255" s="201">
        <v>10</v>
      </c>
      <c r="J255" s="201">
        <v>44300</v>
      </c>
      <c r="K255" s="202">
        <v>186</v>
      </c>
      <c r="L255" s="202">
        <v>50</v>
      </c>
      <c r="M255" s="202">
        <v>9</v>
      </c>
      <c r="N255" s="202">
        <v>42900</v>
      </c>
      <c r="O255" s="222">
        <f t="shared" si="28"/>
        <v>9.1153855999999998</v>
      </c>
      <c r="P255" s="223">
        <f t="shared" si="29"/>
        <v>131850</v>
      </c>
      <c r="Q255" s="226">
        <f t="shared" si="36"/>
        <v>131850</v>
      </c>
      <c r="R255" s="225">
        <f t="shared" si="30"/>
        <v>131850</v>
      </c>
      <c r="S255" s="225">
        <f t="shared" si="31"/>
        <v>131850</v>
      </c>
      <c r="T255" s="135">
        <f t="shared" si="32"/>
        <v>131850</v>
      </c>
      <c r="U255" s="149">
        <f t="shared" si="33"/>
        <v>0</v>
      </c>
      <c r="V255" s="150">
        <f t="shared" si="34"/>
        <v>0</v>
      </c>
      <c r="W255" s="80">
        <f t="shared" si="35"/>
        <v>14464.555399609206</v>
      </c>
      <c r="Y255" s="53" t="s">
        <v>47</v>
      </c>
    </row>
    <row r="256" spans="1:25" ht="15" customHeight="1">
      <c r="A256" s="276" t="s">
        <v>301</v>
      </c>
      <c r="B256" s="194" t="s">
        <v>44</v>
      </c>
      <c r="C256" s="200">
        <v>185</v>
      </c>
      <c r="D256" s="200">
        <v>49</v>
      </c>
      <c r="E256" s="200">
        <v>13</v>
      </c>
      <c r="F256" s="231">
        <v>51900</v>
      </c>
      <c r="G256" s="201"/>
      <c r="H256" s="201"/>
      <c r="I256" s="201"/>
      <c r="J256" s="201"/>
      <c r="K256" s="202"/>
      <c r="L256" s="202"/>
      <c r="M256" s="202"/>
      <c r="N256" s="202"/>
      <c r="O256" s="222">
        <f t="shared" si="28"/>
        <v>4.1622854</v>
      </c>
      <c r="P256" s="223">
        <f t="shared" si="29"/>
        <v>51900</v>
      </c>
      <c r="Q256" s="226">
        <f t="shared" si="36"/>
        <v>51900</v>
      </c>
      <c r="R256" s="225">
        <f t="shared" si="30"/>
        <v>51900</v>
      </c>
      <c r="S256" s="225">
        <f t="shared" si="31"/>
        <v>51900</v>
      </c>
      <c r="T256" s="135">
        <f t="shared" si="32"/>
        <v>51900</v>
      </c>
      <c r="U256" s="149">
        <f t="shared" si="33"/>
        <v>0</v>
      </c>
      <c r="V256" s="150">
        <f t="shared" si="34"/>
        <v>0</v>
      </c>
      <c r="W256" s="80">
        <f t="shared" si="35"/>
        <v>12469.111320429878</v>
      </c>
      <c r="Y256" s="53" t="s">
        <v>45</v>
      </c>
    </row>
    <row r="257" spans="1:25" ht="15" customHeight="1">
      <c r="A257" s="276" t="s">
        <v>302</v>
      </c>
      <c r="B257" s="194" t="s">
        <v>44</v>
      </c>
      <c r="C257" s="200">
        <v>192</v>
      </c>
      <c r="D257" s="200">
        <v>46</v>
      </c>
      <c r="E257" s="200">
        <v>12</v>
      </c>
      <c r="F257" s="231">
        <v>48550</v>
      </c>
      <c r="G257" s="201">
        <v>178</v>
      </c>
      <c r="H257" s="201">
        <v>40</v>
      </c>
      <c r="I257" s="201">
        <v>8</v>
      </c>
      <c r="J257" s="201">
        <v>28500</v>
      </c>
      <c r="K257" s="202"/>
      <c r="L257" s="202"/>
      <c r="M257" s="202"/>
      <c r="N257" s="202"/>
      <c r="O257" s="222">
        <f t="shared" si="28"/>
        <v>5.75518208</v>
      </c>
      <c r="P257" s="223">
        <f t="shared" si="29"/>
        <v>77050</v>
      </c>
      <c r="Q257" s="226">
        <f t="shared" si="36"/>
        <v>77050</v>
      </c>
      <c r="R257" s="225">
        <f t="shared" si="30"/>
        <v>77050</v>
      </c>
      <c r="S257" s="225">
        <f t="shared" si="31"/>
        <v>77050</v>
      </c>
      <c r="T257" s="135">
        <f t="shared" si="32"/>
        <v>77050</v>
      </c>
      <c r="U257" s="149">
        <f t="shared" si="33"/>
        <v>0</v>
      </c>
      <c r="V257" s="150">
        <f t="shared" si="34"/>
        <v>0</v>
      </c>
      <c r="W257" s="80">
        <f t="shared" si="35"/>
        <v>13387.9343744412</v>
      </c>
      <c r="Y257" s="53" t="s">
        <v>45</v>
      </c>
    </row>
    <row r="258" spans="1:25" ht="15">
      <c r="A258" s="276" t="s">
        <v>303</v>
      </c>
      <c r="B258" s="194" t="s">
        <v>44</v>
      </c>
      <c r="C258" s="200">
        <v>157</v>
      </c>
      <c r="D258" s="200">
        <v>47</v>
      </c>
      <c r="E258" s="200">
        <v>9</v>
      </c>
      <c r="F258" s="12">
        <v>32000</v>
      </c>
      <c r="G258" s="201">
        <v>179</v>
      </c>
      <c r="H258" s="201">
        <v>41</v>
      </c>
      <c r="I258" s="201">
        <v>10</v>
      </c>
      <c r="J258" s="201">
        <v>39000</v>
      </c>
      <c r="K258" s="202">
        <v>185</v>
      </c>
      <c r="L258" s="202">
        <v>46</v>
      </c>
      <c r="M258" s="202">
        <v>8</v>
      </c>
      <c r="N258" s="202">
        <v>40000</v>
      </c>
      <c r="O258" s="222">
        <f t="shared" si="28"/>
        <v>7.3423569200000003</v>
      </c>
      <c r="P258" s="223">
        <f t="shared" si="29"/>
        <v>111000</v>
      </c>
      <c r="Q258" s="226">
        <f t="shared" si="36"/>
        <v>111000</v>
      </c>
      <c r="R258" s="225">
        <f t="shared" si="30"/>
        <v>111000</v>
      </c>
      <c r="S258" s="225">
        <f t="shared" si="31"/>
        <v>111000</v>
      </c>
      <c r="T258" s="135">
        <f t="shared" si="32"/>
        <v>111000</v>
      </c>
      <c r="U258" s="149">
        <f t="shared" si="33"/>
        <v>0</v>
      </c>
      <c r="V258" s="150">
        <f t="shared" si="34"/>
        <v>0</v>
      </c>
      <c r="W258" s="80">
        <f t="shared" si="35"/>
        <v>15117.76139588703</v>
      </c>
      <c r="Y258" s="53" t="s">
        <v>45</v>
      </c>
    </row>
    <row r="259" spans="1:25" s="235" customFormat="1">
      <c r="A259" s="132" t="s">
        <v>304</v>
      </c>
      <c r="B259" s="268" t="s">
        <v>56</v>
      </c>
      <c r="C259" s="269"/>
      <c r="D259" s="269"/>
      <c r="E259" s="269"/>
      <c r="F259" s="270"/>
      <c r="G259" s="271"/>
      <c r="H259" s="271"/>
      <c r="I259" s="271"/>
      <c r="J259" s="271"/>
      <c r="K259" s="272"/>
      <c r="L259" s="272"/>
      <c r="M259" s="272"/>
      <c r="N259" s="272"/>
      <c r="O259" s="222">
        <f t="shared" si="28"/>
        <v>0</v>
      </c>
      <c r="P259" s="223">
        <f t="shared" si="29"/>
        <v>0</v>
      </c>
      <c r="Q259" s="226">
        <f t="shared" si="36"/>
        <v>0</v>
      </c>
      <c r="R259" s="225">
        <f t="shared" si="30"/>
        <v>0</v>
      </c>
      <c r="S259" s="225">
        <f t="shared" si="31"/>
        <v>0</v>
      </c>
      <c r="T259" s="135">
        <f t="shared" si="32"/>
        <v>0</v>
      </c>
      <c r="U259" s="149">
        <f t="shared" si="33"/>
        <v>0</v>
      </c>
      <c r="V259" s="150" t="e">
        <f t="shared" si="34"/>
        <v>#DIV/0!</v>
      </c>
      <c r="W259" s="80" t="e">
        <f t="shared" si="35"/>
        <v>#DIV/0!</v>
      </c>
      <c r="X259" s="53"/>
      <c r="Y259" s="53" t="s">
        <v>45</v>
      </c>
    </row>
    <row r="260" spans="1:25" s="235" customFormat="1">
      <c r="A260" s="273" t="s">
        <v>305</v>
      </c>
      <c r="B260" s="274" t="s">
        <v>56</v>
      </c>
      <c r="C260" s="238">
        <v>24</v>
      </c>
      <c r="D260" s="238">
        <v>11</v>
      </c>
      <c r="E260" s="238">
        <v>5</v>
      </c>
      <c r="F260" s="238">
        <v>300</v>
      </c>
      <c r="G260" s="271"/>
      <c r="H260" s="271"/>
      <c r="I260" s="271"/>
      <c r="J260" s="271"/>
      <c r="K260" s="272"/>
      <c r="L260" s="272"/>
      <c r="M260" s="272"/>
      <c r="N260" s="272"/>
      <c r="O260" s="222">
        <f t="shared" ref="O260:O262" si="37">((IFERROR((C260*D260*E260),0)+IFERROR((G260*H260*I260),0)+IFERROR((K260*L260*M260),0))/1000000)*35.32</f>
        <v>4.6622400000000001E-2</v>
      </c>
      <c r="P260" s="223">
        <f t="shared" ref="P260:P303" si="38">F260+J260+N260</f>
        <v>300</v>
      </c>
      <c r="Q260" s="226">
        <f t="shared" si="36"/>
        <v>300</v>
      </c>
      <c r="R260" s="225">
        <f t="shared" ref="R260:R303" si="39">MAX(Q260,O260)</f>
        <v>300</v>
      </c>
      <c r="S260" s="225">
        <f t="shared" ref="S260:S303" si="40">MAX(R260,P260)</f>
        <v>300</v>
      </c>
      <c r="T260" s="135">
        <f t="shared" ref="T260:T303" si="41">MAX(S260,Q260)</f>
        <v>300</v>
      </c>
      <c r="U260" s="149">
        <f t="shared" ref="U260:U262" si="42">T260-Q260</f>
        <v>0</v>
      </c>
      <c r="V260" s="150">
        <f t="shared" ref="V260:V262" si="43">U260/T260</f>
        <v>0</v>
      </c>
      <c r="W260" s="80">
        <f t="shared" ref="W260:W262" si="44">R260/O260</f>
        <v>6434.6751775970351</v>
      </c>
      <c r="X260" s="53"/>
      <c r="Y260" s="53"/>
    </row>
    <row r="261" spans="1:25" s="235" customFormat="1">
      <c r="A261" s="273" t="s">
        <v>306</v>
      </c>
      <c r="B261" s="274" t="s">
        <v>56</v>
      </c>
      <c r="C261" s="238">
        <v>25</v>
      </c>
      <c r="D261" s="238">
        <v>25</v>
      </c>
      <c r="E261" s="238">
        <v>6</v>
      </c>
      <c r="F261" s="238">
        <v>700</v>
      </c>
      <c r="G261" s="271"/>
      <c r="H261" s="271"/>
      <c r="I261" s="271"/>
      <c r="J261" s="271"/>
      <c r="K261" s="272"/>
      <c r="L261" s="272"/>
      <c r="M261" s="272"/>
      <c r="N261" s="272"/>
      <c r="O261" s="222">
        <f t="shared" si="37"/>
        <v>0.13244999999999998</v>
      </c>
      <c r="P261" s="223">
        <f t="shared" si="38"/>
        <v>700</v>
      </c>
      <c r="Q261" s="226">
        <f t="shared" si="36"/>
        <v>700</v>
      </c>
      <c r="R261" s="225">
        <f t="shared" si="39"/>
        <v>700</v>
      </c>
      <c r="S261" s="225">
        <f t="shared" si="40"/>
        <v>700</v>
      </c>
      <c r="T261" s="135">
        <f t="shared" si="41"/>
        <v>700</v>
      </c>
      <c r="U261" s="149">
        <f t="shared" si="42"/>
        <v>0</v>
      </c>
      <c r="V261" s="150">
        <f t="shared" si="43"/>
        <v>0</v>
      </c>
      <c r="W261" s="80">
        <f t="shared" si="44"/>
        <v>5285.0132125330319</v>
      </c>
      <c r="X261" s="53"/>
      <c r="Y261" s="53"/>
    </row>
    <row r="262" spans="1:25" s="235" customFormat="1">
      <c r="A262" s="273" t="s">
        <v>307</v>
      </c>
      <c r="B262" s="274" t="s">
        <v>56</v>
      </c>
      <c r="C262" s="238">
        <v>36</v>
      </c>
      <c r="D262" s="238">
        <v>33</v>
      </c>
      <c r="E262" s="238">
        <v>6</v>
      </c>
      <c r="F262" s="238">
        <v>1360</v>
      </c>
      <c r="G262" s="271"/>
      <c r="H262" s="271"/>
      <c r="I262" s="271"/>
      <c r="J262" s="271"/>
      <c r="K262" s="272"/>
      <c r="L262" s="272"/>
      <c r="M262" s="272"/>
      <c r="N262" s="272"/>
      <c r="O262" s="222">
        <f t="shared" si="37"/>
        <v>0.25176095999999998</v>
      </c>
      <c r="P262" s="223">
        <f t="shared" si="38"/>
        <v>1360</v>
      </c>
      <c r="Q262" s="226">
        <f t="shared" si="36"/>
        <v>1360</v>
      </c>
      <c r="R262" s="225">
        <f t="shared" si="39"/>
        <v>1360</v>
      </c>
      <c r="S262" s="225">
        <f t="shared" si="40"/>
        <v>1360</v>
      </c>
      <c r="T262" s="135">
        <f t="shared" si="41"/>
        <v>1360</v>
      </c>
      <c r="U262" s="149">
        <f t="shared" si="42"/>
        <v>0</v>
      </c>
      <c r="V262" s="150">
        <f t="shared" si="43"/>
        <v>0</v>
      </c>
      <c r="W262" s="80">
        <f t="shared" si="44"/>
        <v>5401.949531809857</v>
      </c>
      <c r="X262" s="53"/>
      <c r="Y262" s="53"/>
    </row>
    <row r="263" spans="1:25">
      <c r="A263" s="125" t="s">
        <v>308</v>
      </c>
      <c r="B263" s="274" t="s">
        <v>56</v>
      </c>
      <c r="C263" s="238">
        <v>153</v>
      </c>
      <c r="D263" s="200">
        <v>43</v>
      </c>
      <c r="E263" s="200">
        <v>9</v>
      </c>
      <c r="F263" s="238">
        <v>26000</v>
      </c>
      <c r="G263" s="271"/>
      <c r="H263" s="271"/>
      <c r="I263" s="271"/>
      <c r="J263" s="271"/>
      <c r="K263" s="272"/>
      <c r="L263" s="272"/>
      <c r="M263" s="272"/>
      <c r="N263" s="272"/>
      <c r="O263" s="222">
        <f t="shared" ref="O263:O264" si="45">((IFERROR((C263*D263*E263),0)+IFERROR((G263*H263*I263),0)+IFERROR((K263*L263*M263),0))/1000000)*35.32</f>
        <v>2.0913325199999999</v>
      </c>
      <c r="P263" s="223">
        <f t="shared" si="38"/>
        <v>26000</v>
      </c>
      <c r="Q263" s="226">
        <f t="shared" ref="Q263:Q264" si="46">F263+J263+N263</f>
        <v>26000</v>
      </c>
      <c r="R263" s="225">
        <f t="shared" si="39"/>
        <v>26000</v>
      </c>
      <c r="S263" s="225">
        <f t="shared" si="40"/>
        <v>26000</v>
      </c>
      <c r="T263" s="135">
        <f t="shared" si="41"/>
        <v>26000</v>
      </c>
      <c r="U263" s="149">
        <f t="shared" ref="U263:U264" si="47">T263-Q263</f>
        <v>0</v>
      </c>
      <c r="V263" s="150">
        <f t="shared" ref="V263:V264" si="48">U263/T263</f>
        <v>0</v>
      </c>
      <c r="W263" s="80">
        <f t="shared" ref="W263:W264" si="49">R263/O263</f>
        <v>12432.26495612472</v>
      </c>
    </row>
    <row r="264" spans="1:25">
      <c r="A264" s="125" t="s">
        <v>309</v>
      </c>
      <c r="B264" s="274" t="s">
        <v>56</v>
      </c>
      <c r="C264" s="238">
        <v>153</v>
      </c>
      <c r="D264" s="200">
        <v>43</v>
      </c>
      <c r="E264" s="200">
        <v>9</v>
      </c>
      <c r="F264" s="238">
        <v>23000</v>
      </c>
      <c r="G264" s="271"/>
      <c r="H264" s="271"/>
      <c r="I264" s="271"/>
      <c r="J264" s="271"/>
      <c r="K264" s="272"/>
      <c r="L264" s="272"/>
      <c r="M264" s="272"/>
      <c r="N264" s="272"/>
      <c r="O264" s="222">
        <f t="shared" si="45"/>
        <v>2.0913325199999999</v>
      </c>
      <c r="P264" s="223">
        <f t="shared" si="38"/>
        <v>23000</v>
      </c>
      <c r="Q264" s="226">
        <f t="shared" si="46"/>
        <v>23000</v>
      </c>
      <c r="R264" s="225">
        <f t="shared" si="39"/>
        <v>23000</v>
      </c>
      <c r="S264" s="225">
        <f t="shared" si="40"/>
        <v>23000</v>
      </c>
      <c r="T264" s="135">
        <f t="shared" si="41"/>
        <v>23000</v>
      </c>
      <c r="U264" s="149">
        <f t="shared" si="47"/>
        <v>0</v>
      </c>
      <c r="V264" s="150">
        <f t="shared" si="48"/>
        <v>0</v>
      </c>
      <c r="W264" s="80">
        <f t="shared" si="49"/>
        <v>10997.772845802638</v>
      </c>
    </row>
    <row r="265" spans="1:25" ht="15">
      <c r="A265" s="241" t="s">
        <v>310</v>
      </c>
      <c r="B265" s="194" t="s">
        <v>56</v>
      </c>
      <c r="C265" s="238">
        <v>39</v>
      </c>
      <c r="D265" s="200">
        <v>30</v>
      </c>
      <c r="E265" s="200">
        <v>8</v>
      </c>
      <c r="F265" s="238">
        <v>3000</v>
      </c>
      <c r="G265" s="271"/>
      <c r="H265" s="271"/>
      <c r="I265" s="271"/>
      <c r="J265" s="271"/>
      <c r="K265" s="272"/>
      <c r="L265" s="272"/>
      <c r="M265" s="272"/>
      <c r="N265" s="272"/>
      <c r="O265" s="222">
        <f t="shared" ref="O265:O274" si="50">((IFERROR((C265*D265*E265),0)+IFERROR((G265*H265*I265),0)+IFERROR((K265*L265*M265),0))/1000000)*35.32</f>
        <v>0.33059520000000003</v>
      </c>
      <c r="P265" s="223">
        <f t="shared" si="38"/>
        <v>3000</v>
      </c>
      <c r="Q265" s="226">
        <f t="shared" ref="Q265:Q266" si="51">F265+J265+N265</f>
        <v>3000</v>
      </c>
      <c r="R265" s="225">
        <f t="shared" si="39"/>
        <v>3000</v>
      </c>
      <c r="S265" s="225">
        <f t="shared" si="40"/>
        <v>3000</v>
      </c>
      <c r="T265" s="135">
        <f t="shared" si="41"/>
        <v>3000</v>
      </c>
      <c r="U265" s="149">
        <f t="shared" ref="U265:U274" si="52">T265-Q265</f>
        <v>0</v>
      </c>
      <c r="V265" s="150">
        <f t="shared" ref="V265:V274" si="53">U265/T265</f>
        <v>0</v>
      </c>
      <c r="W265" s="80">
        <f t="shared" ref="W265:W274" si="54">R265/O265</f>
        <v>9074.5419171240228</v>
      </c>
    </row>
    <row r="266" spans="1:25" ht="15">
      <c r="A266" s="241" t="s">
        <v>311</v>
      </c>
      <c r="B266" s="194" t="s">
        <v>56</v>
      </c>
      <c r="C266" s="238">
        <v>65</v>
      </c>
      <c r="D266" s="200">
        <v>35</v>
      </c>
      <c r="E266" s="200">
        <v>8</v>
      </c>
      <c r="F266" s="238">
        <v>5000</v>
      </c>
      <c r="G266" s="271"/>
      <c r="H266" s="271"/>
      <c r="I266" s="271"/>
      <c r="J266" s="271"/>
      <c r="K266" s="272"/>
      <c r="L266" s="272"/>
      <c r="M266" s="272"/>
      <c r="N266" s="272"/>
      <c r="O266" s="222">
        <f t="shared" si="50"/>
        <v>0.64282400000000006</v>
      </c>
      <c r="P266" s="223">
        <f t="shared" si="38"/>
        <v>5000</v>
      </c>
      <c r="Q266" s="226">
        <f t="shared" si="51"/>
        <v>5000</v>
      </c>
      <c r="R266" s="225">
        <f t="shared" si="39"/>
        <v>5000</v>
      </c>
      <c r="S266" s="225">
        <f t="shared" si="40"/>
        <v>5000</v>
      </c>
      <c r="T266" s="135">
        <f t="shared" si="41"/>
        <v>5000</v>
      </c>
      <c r="U266" s="149">
        <f t="shared" si="52"/>
        <v>0</v>
      </c>
      <c r="V266" s="150">
        <f t="shared" si="53"/>
        <v>0</v>
      </c>
      <c r="W266" s="80">
        <f t="shared" si="54"/>
        <v>7778.1787861063049</v>
      </c>
    </row>
    <row r="267" spans="1:25">
      <c r="A267" s="236" t="s">
        <v>312</v>
      </c>
      <c r="B267" s="242" t="s">
        <v>56</v>
      </c>
      <c r="C267" s="238">
        <v>150</v>
      </c>
      <c r="D267" s="200">
        <v>42</v>
      </c>
      <c r="E267" s="200">
        <v>14</v>
      </c>
      <c r="F267" s="238">
        <v>40000</v>
      </c>
      <c r="G267" s="271"/>
      <c r="H267" s="271"/>
      <c r="I267" s="271"/>
      <c r="J267" s="271"/>
      <c r="K267" s="272"/>
      <c r="L267" s="272"/>
      <c r="M267" s="272"/>
      <c r="N267" s="272"/>
      <c r="O267" s="222">
        <f>((IFERROR((C267*D267*E267),0)+IFERROR((G267*H267*I267),0)+IFERROR((K267*L267*M267),0))/1000000)*35.32</f>
        <v>3.115224</v>
      </c>
      <c r="P267" s="223">
        <f t="shared" si="38"/>
        <v>40000</v>
      </c>
      <c r="Q267" s="226">
        <f t="shared" ref="Q267" si="55">F267+J267+N267</f>
        <v>40000</v>
      </c>
      <c r="R267" s="225">
        <f t="shared" si="39"/>
        <v>40000</v>
      </c>
      <c r="S267" s="225">
        <f t="shared" si="40"/>
        <v>40000</v>
      </c>
      <c r="T267" s="135">
        <f t="shared" si="41"/>
        <v>40000</v>
      </c>
      <c r="U267" s="149">
        <f t="shared" si="52"/>
        <v>0</v>
      </c>
      <c r="V267" s="150">
        <f t="shared" si="53"/>
        <v>0</v>
      </c>
      <c r="W267" s="80">
        <f t="shared" si="54"/>
        <v>12840.168154842157</v>
      </c>
    </row>
    <row r="268" spans="1:25">
      <c r="A268" s="236" t="s">
        <v>313</v>
      </c>
      <c r="B268" s="242" t="s">
        <v>56</v>
      </c>
      <c r="C268" s="238">
        <v>112</v>
      </c>
      <c r="D268" s="200">
        <v>28</v>
      </c>
      <c r="E268" s="200">
        <v>4</v>
      </c>
      <c r="F268" s="238">
        <v>4000</v>
      </c>
      <c r="G268" s="271"/>
      <c r="H268" s="271"/>
      <c r="I268" s="271"/>
      <c r="J268" s="271"/>
      <c r="K268" s="272"/>
      <c r="L268" s="272"/>
      <c r="M268" s="272"/>
      <c r="N268" s="272"/>
      <c r="O268" s="222">
        <f t="shared" si="50"/>
        <v>0.44305408000000002</v>
      </c>
      <c r="P268" s="223">
        <f t="shared" si="38"/>
        <v>4000</v>
      </c>
      <c r="Q268" s="226">
        <f>F268+J268+N268</f>
        <v>4000</v>
      </c>
      <c r="R268" s="225">
        <f t="shared" si="39"/>
        <v>4000</v>
      </c>
      <c r="S268" s="225">
        <f t="shared" si="40"/>
        <v>4000</v>
      </c>
      <c r="T268" s="135">
        <f t="shared" si="41"/>
        <v>4000</v>
      </c>
      <c r="U268" s="149">
        <f t="shared" si="52"/>
        <v>0</v>
      </c>
      <c r="V268" s="150">
        <f t="shared" si="53"/>
        <v>0</v>
      </c>
      <c r="W268" s="80">
        <f t="shared" si="54"/>
        <v>9028.2432338733906</v>
      </c>
    </row>
    <row r="269" spans="1:25">
      <c r="A269" s="236" t="s">
        <v>314</v>
      </c>
      <c r="B269" s="242" t="s">
        <v>56</v>
      </c>
      <c r="C269" s="238">
        <v>36</v>
      </c>
      <c r="D269" s="200">
        <v>25</v>
      </c>
      <c r="E269" s="200">
        <v>5</v>
      </c>
      <c r="F269" s="238">
        <v>3800</v>
      </c>
      <c r="G269" s="271"/>
      <c r="H269" s="271"/>
      <c r="I269" s="271"/>
      <c r="J269" s="271"/>
      <c r="K269" s="272"/>
      <c r="L269" s="272"/>
      <c r="M269" s="272"/>
      <c r="N269" s="272"/>
      <c r="O269" s="222">
        <f t="shared" si="50"/>
        <v>0.15894</v>
      </c>
      <c r="P269" s="223">
        <f t="shared" si="38"/>
        <v>3800</v>
      </c>
      <c r="Q269" s="226">
        <f>F269+J269+N269</f>
        <v>3800</v>
      </c>
      <c r="R269" s="225">
        <f t="shared" si="39"/>
        <v>3800</v>
      </c>
      <c r="S269" s="225">
        <f t="shared" si="40"/>
        <v>3800</v>
      </c>
      <c r="T269" s="135">
        <f t="shared" si="41"/>
        <v>3800</v>
      </c>
      <c r="U269" s="149">
        <f t="shared" si="52"/>
        <v>0</v>
      </c>
      <c r="V269" s="150">
        <f t="shared" si="53"/>
        <v>0</v>
      </c>
      <c r="W269" s="80">
        <f t="shared" si="54"/>
        <v>23908.393104316096</v>
      </c>
    </row>
    <row r="270" spans="1:25">
      <c r="A270" s="236" t="s">
        <v>315</v>
      </c>
      <c r="B270" s="242" t="s">
        <v>56</v>
      </c>
      <c r="C270" s="238">
        <v>70</v>
      </c>
      <c r="D270" s="200">
        <v>25</v>
      </c>
      <c r="E270" s="200">
        <v>5</v>
      </c>
      <c r="F270" s="238">
        <v>2500</v>
      </c>
      <c r="G270" s="271"/>
      <c r="H270" s="271"/>
      <c r="I270" s="271"/>
      <c r="J270" s="271"/>
      <c r="K270" s="272"/>
      <c r="L270" s="272"/>
      <c r="M270" s="272"/>
      <c r="N270" s="272"/>
      <c r="O270" s="222">
        <f t="shared" si="50"/>
        <v>0.30905000000000005</v>
      </c>
      <c r="P270" s="223">
        <f t="shared" si="38"/>
        <v>2500</v>
      </c>
      <c r="Q270" s="226">
        <f t="shared" ref="Q270:Q274" si="56">F270+J270+N270</f>
        <v>2500</v>
      </c>
      <c r="R270" s="225">
        <f t="shared" si="39"/>
        <v>2500</v>
      </c>
      <c r="S270" s="225">
        <f t="shared" si="40"/>
        <v>2500</v>
      </c>
      <c r="T270" s="135">
        <f t="shared" si="41"/>
        <v>2500</v>
      </c>
      <c r="U270" s="149">
        <f t="shared" si="52"/>
        <v>0</v>
      </c>
      <c r="V270" s="150">
        <f t="shared" si="53"/>
        <v>0</v>
      </c>
      <c r="W270" s="80">
        <f t="shared" si="54"/>
        <v>8089.3059375505572</v>
      </c>
    </row>
    <row r="271" spans="1:25">
      <c r="A271" s="236" t="s">
        <v>316</v>
      </c>
      <c r="B271" s="242" t="s">
        <v>56</v>
      </c>
      <c r="C271" s="238">
        <v>78</v>
      </c>
      <c r="D271" s="200">
        <v>23</v>
      </c>
      <c r="E271" s="200">
        <v>6</v>
      </c>
      <c r="F271" s="238">
        <v>2200</v>
      </c>
      <c r="G271" s="271"/>
      <c r="H271" s="271"/>
      <c r="I271" s="271"/>
      <c r="J271" s="271"/>
      <c r="K271" s="272"/>
      <c r="L271" s="272"/>
      <c r="M271" s="272"/>
      <c r="N271" s="272"/>
      <c r="O271" s="222">
        <f t="shared" si="50"/>
        <v>0.38018447999999999</v>
      </c>
      <c r="P271" s="223">
        <f t="shared" si="38"/>
        <v>2200</v>
      </c>
      <c r="Q271" s="226">
        <f t="shared" si="56"/>
        <v>2200</v>
      </c>
      <c r="R271" s="225">
        <f t="shared" si="39"/>
        <v>2200</v>
      </c>
      <c r="S271" s="225">
        <f t="shared" si="40"/>
        <v>2200</v>
      </c>
      <c r="T271" s="135">
        <f t="shared" si="41"/>
        <v>2200</v>
      </c>
      <c r="U271" s="149">
        <f t="shared" si="52"/>
        <v>0</v>
      </c>
      <c r="V271" s="150">
        <f t="shared" si="53"/>
        <v>0</v>
      </c>
      <c r="W271" s="80">
        <f t="shared" si="54"/>
        <v>5786.6644109196677</v>
      </c>
    </row>
    <row r="272" spans="1:25">
      <c r="A272" s="236" t="s">
        <v>317</v>
      </c>
      <c r="B272" s="242" t="s">
        <v>56</v>
      </c>
      <c r="C272" s="238">
        <v>55</v>
      </c>
      <c r="D272" s="200">
        <v>17</v>
      </c>
      <c r="E272" s="200">
        <v>8</v>
      </c>
      <c r="F272" s="238">
        <v>2500</v>
      </c>
      <c r="G272" s="271"/>
      <c r="H272" s="271"/>
      <c r="I272" s="271"/>
      <c r="J272" s="271"/>
      <c r="K272" s="272"/>
      <c r="L272" s="272"/>
      <c r="M272" s="272"/>
      <c r="N272" s="272"/>
      <c r="O272" s="222">
        <f t="shared" si="50"/>
        <v>0.26419359999999997</v>
      </c>
      <c r="P272" s="223">
        <f t="shared" si="38"/>
        <v>2500</v>
      </c>
      <c r="Q272" s="226">
        <f t="shared" si="56"/>
        <v>2500</v>
      </c>
      <c r="R272" s="225">
        <f t="shared" si="39"/>
        <v>2500</v>
      </c>
      <c r="S272" s="225">
        <f t="shared" si="40"/>
        <v>2500</v>
      </c>
      <c r="T272" s="135">
        <f t="shared" si="41"/>
        <v>2500</v>
      </c>
      <c r="U272" s="149">
        <f t="shared" si="52"/>
        <v>0</v>
      </c>
      <c r="V272" s="150">
        <f t="shared" si="53"/>
        <v>0</v>
      </c>
      <c r="W272" s="80">
        <f t="shared" si="54"/>
        <v>9462.7576141132868</v>
      </c>
    </row>
    <row r="273" spans="1:23">
      <c r="A273" s="236" t="s">
        <v>318</v>
      </c>
      <c r="B273" s="242" t="s">
        <v>56</v>
      </c>
      <c r="C273" s="238">
        <v>40</v>
      </c>
      <c r="D273" s="200">
        <v>20</v>
      </c>
      <c r="E273" s="200">
        <v>5</v>
      </c>
      <c r="F273" s="238">
        <v>1700</v>
      </c>
      <c r="G273" s="271"/>
      <c r="H273" s="271"/>
      <c r="I273" s="271"/>
      <c r="J273" s="271"/>
      <c r="K273" s="272"/>
      <c r="L273" s="272"/>
      <c r="M273" s="272"/>
      <c r="N273" s="272"/>
      <c r="O273" s="222">
        <f t="shared" si="50"/>
        <v>0.14128000000000002</v>
      </c>
      <c r="P273" s="223">
        <f t="shared" si="38"/>
        <v>1700</v>
      </c>
      <c r="Q273" s="226">
        <f t="shared" si="56"/>
        <v>1700</v>
      </c>
      <c r="R273" s="225">
        <f t="shared" si="39"/>
        <v>1700</v>
      </c>
      <c r="S273" s="225">
        <f t="shared" si="40"/>
        <v>1700</v>
      </c>
      <c r="T273" s="135">
        <f t="shared" si="41"/>
        <v>1700</v>
      </c>
      <c r="U273" s="149">
        <f t="shared" si="52"/>
        <v>0</v>
      </c>
      <c r="V273" s="150">
        <f t="shared" si="53"/>
        <v>0</v>
      </c>
      <c r="W273" s="80">
        <f t="shared" si="54"/>
        <v>12032.842582106454</v>
      </c>
    </row>
    <row r="274" spans="1:23">
      <c r="A274" s="236" t="s">
        <v>319</v>
      </c>
      <c r="B274" s="242" t="s">
        <v>56</v>
      </c>
      <c r="C274" s="238">
        <v>152</v>
      </c>
      <c r="D274" s="200">
        <v>58</v>
      </c>
      <c r="E274" s="200">
        <v>9</v>
      </c>
      <c r="F274" s="238">
        <v>25000</v>
      </c>
      <c r="G274" s="271"/>
      <c r="H274" s="271"/>
      <c r="I274" s="271"/>
      <c r="J274" s="271"/>
      <c r="K274" s="272"/>
      <c r="L274" s="272"/>
      <c r="M274" s="272"/>
      <c r="N274" s="272"/>
      <c r="O274" s="222">
        <f t="shared" si="50"/>
        <v>2.8024300800000002</v>
      </c>
      <c r="P274" s="223">
        <f t="shared" si="38"/>
        <v>25000</v>
      </c>
      <c r="Q274" s="226">
        <f t="shared" si="56"/>
        <v>25000</v>
      </c>
      <c r="R274" s="225">
        <f t="shared" si="39"/>
        <v>25000</v>
      </c>
      <c r="S274" s="225">
        <f t="shared" si="40"/>
        <v>25000</v>
      </c>
      <c r="T274" s="135">
        <f t="shared" si="41"/>
        <v>25000</v>
      </c>
      <c r="U274" s="149">
        <f t="shared" si="52"/>
        <v>0</v>
      </c>
      <c r="V274" s="150">
        <f t="shared" si="53"/>
        <v>0</v>
      </c>
      <c r="W274" s="80">
        <f t="shared" si="54"/>
        <v>8920.8291683766111</v>
      </c>
    </row>
    <row r="275" spans="1:23" ht="15">
      <c r="A275" s="263" t="s">
        <v>320</v>
      </c>
      <c r="B275" s="242" t="s">
        <v>56</v>
      </c>
      <c r="C275" s="238">
        <v>56</v>
      </c>
      <c r="D275" s="239">
        <v>30</v>
      </c>
      <c r="E275" s="239">
        <v>11</v>
      </c>
      <c r="F275" s="238">
        <v>7100</v>
      </c>
      <c r="G275" s="271"/>
      <c r="H275" s="271"/>
      <c r="I275" s="271"/>
      <c r="J275" s="271"/>
      <c r="K275" s="272"/>
      <c r="L275" s="272"/>
      <c r="M275" s="272"/>
      <c r="N275" s="272"/>
      <c r="O275" s="222">
        <f t="shared" ref="O275:O286" si="57">((IFERROR((C275*D275*E275),0)+IFERROR((G275*H275*I275),0)+IFERROR((K275*L275*M275),0))/1000000)*35.32</f>
        <v>0.6527136</v>
      </c>
      <c r="P275" s="223">
        <f t="shared" si="38"/>
        <v>7100</v>
      </c>
      <c r="Q275" s="226">
        <f t="shared" ref="Q275:Q286" si="58">F275+J275+N275</f>
        <v>7100</v>
      </c>
      <c r="R275" s="225">
        <f t="shared" si="39"/>
        <v>7100</v>
      </c>
      <c r="S275" s="225">
        <f t="shared" si="40"/>
        <v>7100</v>
      </c>
      <c r="T275" s="135">
        <f t="shared" si="41"/>
        <v>7100</v>
      </c>
      <c r="U275" s="149">
        <f t="shared" ref="U275:U286" si="59">T275-Q275</f>
        <v>0</v>
      </c>
      <c r="V275" s="150">
        <f t="shared" ref="V275:V286" si="60">U275/T275</f>
        <v>0</v>
      </c>
      <c r="W275" s="80">
        <f t="shared" ref="W275:W286" si="61">R275/O275</f>
        <v>10877.66518117594</v>
      </c>
    </row>
    <row r="276" spans="1:23" ht="15">
      <c r="A276" s="263" t="s">
        <v>321</v>
      </c>
      <c r="B276" s="242" t="s">
        <v>56</v>
      </c>
      <c r="C276" s="238">
        <v>78</v>
      </c>
      <c r="D276" s="239">
        <v>36</v>
      </c>
      <c r="E276" s="239">
        <v>15</v>
      </c>
      <c r="F276" s="238">
        <v>16100</v>
      </c>
      <c r="G276" s="271"/>
      <c r="H276" s="271"/>
      <c r="I276" s="271"/>
      <c r="J276" s="271"/>
      <c r="K276" s="272"/>
      <c r="L276" s="272"/>
      <c r="M276" s="272"/>
      <c r="N276" s="272"/>
      <c r="O276" s="222">
        <f t="shared" si="57"/>
        <v>1.4876783999999998</v>
      </c>
      <c r="P276" s="223">
        <f t="shared" si="38"/>
        <v>16100</v>
      </c>
      <c r="Q276" s="226">
        <f t="shared" si="58"/>
        <v>16100</v>
      </c>
      <c r="R276" s="225">
        <f t="shared" si="39"/>
        <v>16100</v>
      </c>
      <c r="S276" s="225">
        <f t="shared" si="40"/>
        <v>16100</v>
      </c>
      <c r="T276" s="135">
        <f t="shared" si="41"/>
        <v>16100</v>
      </c>
      <c r="U276" s="149">
        <f t="shared" si="59"/>
        <v>0</v>
      </c>
      <c r="V276" s="150">
        <f t="shared" si="60"/>
        <v>0</v>
      </c>
      <c r="W276" s="80">
        <f t="shared" si="61"/>
        <v>10822.231471533096</v>
      </c>
    </row>
    <row r="277" spans="1:23" ht="15">
      <c r="A277" s="263" t="s">
        <v>322</v>
      </c>
      <c r="B277" s="242" t="s">
        <v>56</v>
      </c>
      <c r="C277" s="238">
        <v>86</v>
      </c>
      <c r="D277" s="239">
        <v>36</v>
      </c>
      <c r="E277" s="239">
        <v>15</v>
      </c>
      <c r="F277" s="238">
        <v>18000</v>
      </c>
      <c r="G277" s="271"/>
      <c r="H277" s="271"/>
      <c r="I277" s="271"/>
      <c r="J277" s="271"/>
      <c r="K277" s="272"/>
      <c r="L277" s="272"/>
      <c r="M277" s="272"/>
      <c r="N277" s="272"/>
      <c r="O277" s="222">
        <f t="shared" si="57"/>
        <v>1.6402608000000001</v>
      </c>
      <c r="P277" s="223">
        <f t="shared" si="38"/>
        <v>18000</v>
      </c>
      <c r="Q277" s="226">
        <f t="shared" si="58"/>
        <v>18000</v>
      </c>
      <c r="R277" s="225">
        <f t="shared" si="39"/>
        <v>18000</v>
      </c>
      <c r="S277" s="225">
        <f t="shared" si="40"/>
        <v>18000</v>
      </c>
      <c r="T277" s="135">
        <f t="shared" si="41"/>
        <v>18000</v>
      </c>
      <c r="U277" s="149">
        <f t="shared" si="59"/>
        <v>0</v>
      </c>
      <c r="V277" s="150">
        <f t="shared" si="60"/>
        <v>0</v>
      </c>
      <c r="W277" s="80">
        <f t="shared" si="61"/>
        <v>10973.864643963934</v>
      </c>
    </row>
    <row r="278" spans="1:23" ht="15">
      <c r="A278" s="263" t="s">
        <v>323</v>
      </c>
      <c r="B278" s="242" t="s">
        <v>56</v>
      </c>
      <c r="C278" s="238">
        <v>136</v>
      </c>
      <c r="D278" s="239">
        <v>44</v>
      </c>
      <c r="E278" s="239">
        <v>14</v>
      </c>
      <c r="F278" s="238">
        <v>40000</v>
      </c>
      <c r="G278" s="271"/>
      <c r="H278" s="271"/>
      <c r="I278" s="271"/>
      <c r="J278" s="271"/>
      <c r="K278" s="272"/>
      <c r="L278" s="272"/>
      <c r="M278" s="272"/>
      <c r="N278" s="272"/>
      <c r="O278" s="222">
        <f t="shared" si="57"/>
        <v>2.9589683200000003</v>
      </c>
      <c r="P278" s="223">
        <f t="shared" si="38"/>
        <v>40000</v>
      </c>
      <c r="Q278" s="226">
        <f t="shared" si="58"/>
        <v>40000</v>
      </c>
      <c r="R278" s="225">
        <f t="shared" si="39"/>
        <v>40000</v>
      </c>
      <c r="S278" s="225">
        <f t="shared" si="40"/>
        <v>40000</v>
      </c>
      <c r="T278" s="135">
        <f t="shared" si="41"/>
        <v>40000</v>
      </c>
      <c r="U278" s="149">
        <f t="shared" si="59"/>
        <v>0</v>
      </c>
      <c r="V278" s="150">
        <f t="shared" si="60"/>
        <v>0</v>
      </c>
      <c r="W278" s="80">
        <f t="shared" si="61"/>
        <v>13518.22516301898</v>
      </c>
    </row>
    <row r="279" spans="1:23" ht="15">
      <c r="A279" s="263" t="s">
        <v>324</v>
      </c>
      <c r="B279" s="242" t="s">
        <v>56</v>
      </c>
      <c r="C279" s="238">
        <v>187</v>
      </c>
      <c r="D279" s="239">
        <v>43</v>
      </c>
      <c r="E279" s="239">
        <v>14</v>
      </c>
      <c r="F279" s="238">
        <v>59900</v>
      </c>
      <c r="G279" s="271"/>
      <c r="H279" s="271"/>
      <c r="I279" s="271"/>
      <c r="J279" s="271"/>
      <c r="K279" s="272"/>
      <c r="L279" s="272"/>
      <c r="M279" s="272"/>
      <c r="N279" s="272"/>
      <c r="O279" s="222">
        <f t="shared" si="57"/>
        <v>3.9761136799999997</v>
      </c>
      <c r="P279" s="223">
        <f t="shared" si="38"/>
        <v>59900</v>
      </c>
      <c r="Q279" s="226">
        <f t="shared" si="58"/>
        <v>59900</v>
      </c>
      <c r="R279" s="225">
        <f t="shared" si="39"/>
        <v>59900</v>
      </c>
      <c r="S279" s="225">
        <f t="shared" si="40"/>
        <v>59900</v>
      </c>
      <c r="T279" s="135">
        <f t="shared" si="41"/>
        <v>59900</v>
      </c>
      <c r="U279" s="149">
        <f t="shared" si="59"/>
        <v>0</v>
      </c>
      <c r="V279" s="150">
        <f t="shared" si="60"/>
        <v>0</v>
      </c>
      <c r="W279" s="80">
        <f t="shared" si="61"/>
        <v>15064.961623531852</v>
      </c>
    </row>
    <row r="280" spans="1:23" ht="15">
      <c r="A280" s="263" t="s">
        <v>325</v>
      </c>
      <c r="B280" s="242" t="s">
        <v>56</v>
      </c>
      <c r="C280" s="238">
        <v>146</v>
      </c>
      <c r="D280" s="239">
        <v>48</v>
      </c>
      <c r="E280" s="239">
        <v>10</v>
      </c>
      <c r="F280" s="238">
        <v>29000</v>
      </c>
      <c r="G280" s="271">
        <v>104</v>
      </c>
      <c r="H280" s="271">
        <v>42</v>
      </c>
      <c r="I280" s="271">
        <v>16</v>
      </c>
      <c r="J280" s="271">
        <v>23000</v>
      </c>
      <c r="K280" s="272"/>
      <c r="L280" s="272"/>
      <c r="M280" s="272"/>
      <c r="N280" s="272"/>
      <c r="O280" s="222">
        <f t="shared" si="57"/>
        <v>4.9436697600000006</v>
      </c>
      <c r="P280" s="223">
        <f t="shared" si="38"/>
        <v>52000</v>
      </c>
      <c r="Q280" s="226">
        <f t="shared" si="58"/>
        <v>52000</v>
      </c>
      <c r="R280" s="225">
        <f t="shared" si="39"/>
        <v>52000</v>
      </c>
      <c r="S280" s="225">
        <f t="shared" si="40"/>
        <v>52000</v>
      </c>
      <c r="T280" s="135">
        <f t="shared" si="41"/>
        <v>52000</v>
      </c>
      <c r="U280" s="149">
        <f t="shared" si="59"/>
        <v>0</v>
      </c>
      <c r="V280" s="150">
        <f t="shared" si="60"/>
        <v>0</v>
      </c>
      <c r="W280" s="80">
        <f t="shared" si="61"/>
        <v>10518.501947832372</v>
      </c>
    </row>
    <row r="281" spans="1:23" ht="15">
      <c r="A281" s="263" t="s">
        <v>326</v>
      </c>
      <c r="B281" s="242" t="s">
        <v>56</v>
      </c>
      <c r="C281" s="238">
        <v>154</v>
      </c>
      <c r="D281" s="239">
        <v>49</v>
      </c>
      <c r="E281" s="239">
        <v>13</v>
      </c>
      <c r="F281" s="238">
        <v>39000</v>
      </c>
      <c r="G281" s="271"/>
      <c r="H281" s="271"/>
      <c r="I281" s="271"/>
      <c r="J281" s="271"/>
      <c r="K281" s="272"/>
      <c r="L281" s="272"/>
      <c r="M281" s="272"/>
      <c r="N281" s="272"/>
      <c r="O281" s="222">
        <f t="shared" si="57"/>
        <v>3.4648213600000002</v>
      </c>
      <c r="P281" s="223">
        <f t="shared" si="38"/>
        <v>39000</v>
      </c>
      <c r="Q281" s="226">
        <f t="shared" si="58"/>
        <v>39000</v>
      </c>
      <c r="R281" s="225">
        <f t="shared" si="39"/>
        <v>39000</v>
      </c>
      <c r="S281" s="225">
        <f t="shared" si="40"/>
        <v>39000</v>
      </c>
      <c r="T281" s="135">
        <f t="shared" si="41"/>
        <v>39000</v>
      </c>
      <c r="U281" s="149">
        <f t="shared" si="59"/>
        <v>0</v>
      </c>
      <c r="V281" s="150">
        <f t="shared" si="60"/>
        <v>0</v>
      </c>
      <c r="W281" s="80">
        <f t="shared" si="61"/>
        <v>11255.991564309681</v>
      </c>
    </row>
    <row r="282" spans="1:23" ht="15">
      <c r="A282" s="263" t="s">
        <v>327</v>
      </c>
      <c r="B282" s="242" t="s">
        <v>56</v>
      </c>
      <c r="C282" s="238">
        <v>106</v>
      </c>
      <c r="D282" s="239">
        <v>44</v>
      </c>
      <c r="E282" s="239">
        <v>10</v>
      </c>
      <c r="F282" s="238">
        <v>19000</v>
      </c>
      <c r="G282" s="271">
        <v>145</v>
      </c>
      <c r="H282" s="271">
        <v>44</v>
      </c>
      <c r="I282" s="271">
        <v>9</v>
      </c>
      <c r="J282" s="271">
        <v>25800</v>
      </c>
      <c r="K282" s="272">
        <v>169</v>
      </c>
      <c r="L282" s="272">
        <v>36</v>
      </c>
      <c r="M282" s="272">
        <v>9</v>
      </c>
      <c r="N282" s="272">
        <v>28000</v>
      </c>
      <c r="O282" s="222">
        <f t="shared" si="57"/>
        <v>5.6093811200000001</v>
      </c>
      <c r="P282" s="223">
        <f t="shared" si="38"/>
        <v>72800</v>
      </c>
      <c r="Q282" s="226">
        <f t="shared" si="58"/>
        <v>72800</v>
      </c>
      <c r="R282" s="225">
        <f t="shared" si="39"/>
        <v>72800</v>
      </c>
      <c r="S282" s="225">
        <f t="shared" si="40"/>
        <v>72800</v>
      </c>
      <c r="T282" s="135">
        <f t="shared" si="41"/>
        <v>72800</v>
      </c>
      <c r="U282" s="149">
        <f t="shared" si="59"/>
        <v>0</v>
      </c>
      <c r="V282" s="150">
        <f t="shared" si="60"/>
        <v>0</v>
      </c>
      <c r="W282" s="80">
        <f t="shared" si="61"/>
        <v>12978.258820823356</v>
      </c>
    </row>
    <row r="283" spans="1:23" ht="15">
      <c r="A283" s="263" t="s">
        <v>328</v>
      </c>
      <c r="B283" s="242" t="s">
        <v>56</v>
      </c>
      <c r="C283" s="238">
        <v>106</v>
      </c>
      <c r="D283" s="239">
        <v>44</v>
      </c>
      <c r="E283" s="239">
        <v>10</v>
      </c>
      <c r="F283" s="238">
        <v>19000</v>
      </c>
      <c r="G283" s="271"/>
      <c r="H283" s="271"/>
      <c r="I283" s="271"/>
      <c r="J283" s="271"/>
      <c r="K283" s="272"/>
      <c r="L283" s="272"/>
      <c r="M283" s="272"/>
      <c r="N283" s="272"/>
      <c r="O283" s="222">
        <f t="shared" si="57"/>
        <v>1.6473248</v>
      </c>
      <c r="P283" s="223">
        <f t="shared" si="38"/>
        <v>19000</v>
      </c>
      <c r="Q283" s="226">
        <f t="shared" si="58"/>
        <v>19000</v>
      </c>
      <c r="R283" s="225">
        <f t="shared" si="39"/>
        <v>19000</v>
      </c>
      <c r="S283" s="225">
        <f t="shared" si="40"/>
        <v>19000</v>
      </c>
      <c r="T283" s="135">
        <f t="shared" si="41"/>
        <v>19000</v>
      </c>
      <c r="U283" s="149">
        <f t="shared" si="59"/>
        <v>0</v>
      </c>
      <c r="V283" s="150">
        <f t="shared" si="60"/>
        <v>0</v>
      </c>
      <c r="W283" s="80">
        <f t="shared" si="61"/>
        <v>11533.851733428648</v>
      </c>
    </row>
    <row r="284" spans="1:23">
      <c r="A284" s="125" t="s">
        <v>329</v>
      </c>
      <c r="B284" s="242" t="s">
        <v>56</v>
      </c>
      <c r="C284" s="238">
        <v>145</v>
      </c>
      <c r="D284" s="239">
        <v>44</v>
      </c>
      <c r="E284" s="239">
        <v>9</v>
      </c>
      <c r="F284" s="238">
        <v>25800</v>
      </c>
      <c r="G284" s="271"/>
      <c r="H284" s="271"/>
      <c r="I284" s="271"/>
      <c r="J284" s="271"/>
      <c r="K284" s="272"/>
      <c r="L284" s="272"/>
      <c r="M284" s="272"/>
      <c r="N284" s="272"/>
      <c r="O284" s="222">
        <f t="shared" si="57"/>
        <v>2.0280743999999999</v>
      </c>
      <c r="P284" s="223">
        <f t="shared" si="38"/>
        <v>25800</v>
      </c>
      <c r="Q284" s="226">
        <f t="shared" si="58"/>
        <v>25800</v>
      </c>
      <c r="R284" s="225">
        <f t="shared" si="39"/>
        <v>25800</v>
      </c>
      <c r="S284" s="225">
        <f t="shared" si="40"/>
        <v>25800</v>
      </c>
      <c r="T284" s="135">
        <f t="shared" si="41"/>
        <v>25800</v>
      </c>
      <c r="U284" s="149">
        <f t="shared" si="59"/>
        <v>0</v>
      </c>
      <c r="V284" s="150">
        <f t="shared" si="60"/>
        <v>0</v>
      </c>
      <c r="W284" s="80">
        <f t="shared" si="61"/>
        <v>12721.42678789299</v>
      </c>
    </row>
    <row r="285" spans="1:23">
      <c r="A285" s="125" t="s">
        <v>330</v>
      </c>
      <c r="B285" s="242" t="s">
        <v>56</v>
      </c>
      <c r="C285" s="238">
        <v>169</v>
      </c>
      <c r="D285" s="239">
        <v>36</v>
      </c>
      <c r="E285" s="239">
        <v>9</v>
      </c>
      <c r="F285" s="238">
        <v>28000</v>
      </c>
      <c r="G285" s="271"/>
      <c r="H285" s="271"/>
      <c r="I285" s="271"/>
      <c r="J285" s="271"/>
      <c r="K285" s="272"/>
      <c r="L285" s="272"/>
      <c r="M285" s="272"/>
      <c r="N285" s="272"/>
      <c r="O285" s="222">
        <f t="shared" si="57"/>
        <v>1.9339819199999999</v>
      </c>
      <c r="P285" s="223">
        <f t="shared" si="38"/>
        <v>28000</v>
      </c>
      <c r="Q285" s="226">
        <f t="shared" si="58"/>
        <v>28000</v>
      </c>
      <c r="R285" s="225">
        <f t="shared" si="39"/>
        <v>28000</v>
      </c>
      <c r="S285" s="225">
        <f t="shared" si="40"/>
        <v>28000</v>
      </c>
      <c r="T285" s="135">
        <f t="shared" si="41"/>
        <v>28000</v>
      </c>
      <c r="U285" s="149">
        <f t="shared" si="59"/>
        <v>0</v>
      </c>
      <c r="V285" s="150">
        <f t="shared" si="60"/>
        <v>0</v>
      </c>
      <c r="W285" s="80">
        <f t="shared" si="61"/>
        <v>14477.901634157986</v>
      </c>
    </row>
    <row r="286" spans="1:23">
      <c r="A286" s="125" t="s">
        <v>331</v>
      </c>
      <c r="B286" s="242" t="s">
        <v>56</v>
      </c>
      <c r="C286" s="238">
        <v>185</v>
      </c>
      <c r="D286" s="239">
        <v>46</v>
      </c>
      <c r="E286" s="239">
        <v>12</v>
      </c>
      <c r="F286" s="238">
        <v>50000</v>
      </c>
      <c r="G286" s="271"/>
      <c r="H286" s="271"/>
      <c r="I286" s="271"/>
      <c r="J286" s="271"/>
      <c r="K286" s="272"/>
      <c r="L286" s="272"/>
      <c r="M286" s="272"/>
      <c r="N286" s="272"/>
      <c r="O286" s="222">
        <f t="shared" si="57"/>
        <v>3.6068784000000003</v>
      </c>
      <c r="P286" s="223">
        <f t="shared" si="38"/>
        <v>50000</v>
      </c>
      <c r="Q286" s="226">
        <f t="shared" si="58"/>
        <v>50000</v>
      </c>
      <c r="R286" s="225">
        <f t="shared" si="39"/>
        <v>50000</v>
      </c>
      <c r="S286" s="225">
        <f t="shared" si="40"/>
        <v>50000</v>
      </c>
      <c r="T286" s="135">
        <f t="shared" si="41"/>
        <v>50000</v>
      </c>
      <c r="U286" s="149">
        <f t="shared" si="59"/>
        <v>0</v>
      </c>
      <c r="V286" s="150">
        <f t="shared" si="60"/>
        <v>0</v>
      </c>
      <c r="W286" s="80">
        <f t="shared" si="61"/>
        <v>13862.402458591339</v>
      </c>
    </row>
    <row r="287" spans="1:23">
      <c r="A287" s="125" t="s">
        <v>332</v>
      </c>
      <c r="B287" s="242" t="s">
        <v>56</v>
      </c>
      <c r="C287" s="238">
        <v>78</v>
      </c>
      <c r="D287" s="239">
        <v>36</v>
      </c>
      <c r="E287" s="239">
        <v>15</v>
      </c>
      <c r="F287" s="238">
        <v>16100</v>
      </c>
      <c r="G287" s="271">
        <v>78</v>
      </c>
      <c r="H287" s="271">
        <v>36</v>
      </c>
      <c r="I287" s="271">
        <v>15</v>
      </c>
      <c r="J287" s="271">
        <v>16100</v>
      </c>
      <c r="K287" s="272"/>
      <c r="L287" s="272"/>
      <c r="M287" s="272"/>
      <c r="N287" s="272"/>
      <c r="O287" s="222">
        <f t="shared" ref="O287:O290" si="62">((IFERROR((C287*D287*E287),0)+IFERROR((G287*H287*I287),0)+IFERROR((K287*L287*M287),0))/1000000)*35.32</f>
        <v>2.9753567999999997</v>
      </c>
      <c r="P287" s="223">
        <f t="shared" si="38"/>
        <v>32200</v>
      </c>
      <c r="Q287" s="226">
        <f t="shared" ref="Q287:Q290" si="63">F287+J287+N287</f>
        <v>32200</v>
      </c>
      <c r="R287" s="265">
        <f t="shared" si="39"/>
        <v>32200</v>
      </c>
      <c r="S287" s="225">
        <f t="shared" si="40"/>
        <v>32200</v>
      </c>
      <c r="T287" s="135">
        <f t="shared" si="41"/>
        <v>32200</v>
      </c>
      <c r="U287" s="149">
        <f t="shared" ref="U287:U288" si="64">T287-Q287</f>
        <v>0</v>
      </c>
      <c r="V287" s="150">
        <f t="shared" ref="V287:V288" si="65">U287/T287</f>
        <v>0</v>
      </c>
      <c r="W287" s="80">
        <f t="shared" ref="W287:W288" si="66">R287/O287</f>
        <v>10822.231471533096</v>
      </c>
    </row>
    <row r="288" spans="1:23">
      <c r="A288" s="125" t="s">
        <v>333</v>
      </c>
      <c r="B288" s="242" t="s">
        <v>56</v>
      </c>
      <c r="C288" s="238">
        <v>86</v>
      </c>
      <c r="D288" s="239">
        <v>36</v>
      </c>
      <c r="E288" s="239">
        <v>15</v>
      </c>
      <c r="F288" s="238">
        <v>18000</v>
      </c>
      <c r="G288" s="271">
        <v>86</v>
      </c>
      <c r="H288" s="271">
        <v>36</v>
      </c>
      <c r="I288" s="271">
        <v>15</v>
      </c>
      <c r="J288" s="271">
        <v>18000</v>
      </c>
      <c r="K288" s="272"/>
      <c r="L288" s="272"/>
      <c r="M288" s="272"/>
      <c r="N288" s="272"/>
      <c r="O288" s="222">
        <f t="shared" si="62"/>
        <v>3.2805216000000001</v>
      </c>
      <c r="P288" s="223">
        <f t="shared" si="38"/>
        <v>36000</v>
      </c>
      <c r="Q288" s="226">
        <f t="shared" si="63"/>
        <v>36000</v>
      </c>
      <c r="R288" s="265">
        <f t="shared" si="39"/>
        <v>36000</v>
      </c>
      <c r="S288" s="225">
        <f t="shared" si="40"/>
        <v>36000</v>
      </c>
      <c r="T288" s="135">
        <f t="shared" si="41"/>
        <v>36000</v>
      </c>
      <c r="U288" s="149">
        <f t="shared" si="64"/>
        <v>0</v>
      </c>
      <c r="V288" s="150">
        <f t="shared" si="65"/>
        <v>0</v>
      </c>
      <c r="W288" s="80">
        <f t="shared" si="66"/>
        <v>10973.864643963934</v>
      </c>
    </row>
    <row r="289" spans="1:23">
      <c r="A289" s="125" t="s">
        <v>334</v>
      </c>
      <c r="B289" s="242" t="s">
        <v>56</v>
      </c>
      <c r="C289" s="238">
        <v>104</v>
      </c>
      <c r="D289" s="239">
        <v>42</v>
      </c>
      <c r="E289" s="239">
        <v>16</v>
      </c>
      <c r="F289" s="238">
        <v>20000</v>
      </c>
      <c r="G289" s="271"/>
      <c r="H289" s="271"/>
      <c r="I289" s="271"/>
      <c r="J289" s="271"/>
      <c r="K289" s="272"/>
      <c r="L289" s="272"/>
      <c r="M289" s="272"/>
      <c r="N289" s="272"/>
      <c r="O289" s="222">
        <f t="shared" si="62"/>
        <v>2.4684441600000002</v>
      </c>
      <c r="P289" s="223">
        <f t="shared" si="38"/>
        <v>20000</v>
      </c>
      <c r="Q289" s="226">
        <f t="shared" si="63"/>
        <v>20000</v>
      </c>
      <c r="R289" s="265">
        <f t="shared" si="39"/>
        <v>20000</v>
      </c>
      <c r="S289" s="225">
        <f t="shared" si="40"/>
        <v>20000</v>
      </c>
      <c r="T289" s="135">
        <f t="shared" si="41"/>
        <v>20000</v>
      </c>
      <c r="U289" s="149">
        <f t="shared" ref="U289:U290" si="67">T289-Q289</f>
        <v>0</v>
      </c>
      <c r="V289" s="150">
        <f t="shared" ref="V289:V290" si="68">U289/T289</f>
        <v>0</v>
      </c>
      <c r="W289" s="80">
        <f t="shared" ref="W289:W290" si="69">R289/O289</f>
        <v>8102.2695688607346</v>
      </c>
    </row>
    <row r="290" spans="1:23">
      <c r="A290" s="125" t="s">
        <v>335</v>
      </c>
      <c r="B290" s="242" t="s">
        <v>56</v>
      </c>
      <c r="C290" s="238">
        <v>146</v>
      </c>
      <c r="D290" s="239">
        <v>48</v>
      </c>
      <c r="E290" s="239">
        <v>10</v>
      </c>
      <c r="F290" s="238">
        <v>29000</v>
      </c>
      <c r="G290" s="271"/>
      <c r="H290" s="271"/>
      <c r="I290" s="271"/>
      <c r="J290" s="271"/>
      <c r="K290" s="272"/>
      <c r="L290" s="272"/>
      <c r="M290" s="272"/>
      <c r="N290" s="272"/>
      <c r="O290" s="222">
        <f t="shared" si="62"/>
        <v>2.4752256000000004</v>
      </c>
      <c r="P290" s="223">
        <f t="shared" si="38"/>
        <v>29000</v>
      </c>
      <c r="Q290" s="226">
        <f t="shared" si="63"/>
        <v>29000</v>
      </c>
      <c r="R290" s="266">
        <f t="shared" si="39"/>
        <v>29000</v>
      </c>
      <c r="S290" s="267">
        <f t="shared" si="40"/>
        <v>29000</v>
      </c>
      <c r="T290" s="135">
        <f t="shared" si="41"/>
        <v>29000</v>
      </c>
      <c r="U290" s="149">
        <f t="shared" si="67"/>
        <v>0</v>
      </c>
      <c r="V290" s="150">
        <f t="shared" si="68"/>
        <v>0</v>
      </c>
      <c r="W290" s="80">
        <f t="shared" si="69"/>
        <v>11716.103776560809</v>
      </c>
    </row>
    <row r="291" spans="1:23">
      <c r="A291" s="292" t="s">
        <v>336</v>
      </c>
      <c r="B291" s="242" t="s">
        <v>56</v>
      </c>
      <c r="C291" s="238">
        <v>190</v>
      </c>
      <c r="D291" s="239">
        <v>43</v>
      </c>
      <c r="E291" s="239">
        <v>9</v>
      </c>
      <c r="F291" s="294">
        <v>25000</v>
      </c>
      <c r="G291" s="271"/>
      <c r="H291" s="271"/>
      <c r="I291" s="271"/>
      <c r="J291" s="271"/>
      <c r="K291" s="272"/>
      <c r="L291" s="272"/>
      <c r="M291" s="272"/>
      <c r="N291" s="272"/>
      <c r="O291" s="222">
        <f t="shared" ref="O291:O298" si="70">((IFERROR((C291*D291*E291),0)+IFERROR((G291*H291*I291),0)+IFERROR((K291*L291*M291),0))/1000000)*35.32</f>
        <v>2.5970795999999998</v>
      </c>
      <c r="P291" s="223">
        <f t="shared" si="38"/>
        <v>25000</v>
      </c>
      <c r="Q291" s="226">
        <f t="shared" ref="Q291:Q298" si="71">F291+J291+N291</f>
        <v>25000</v>
      </c>
      <c r="R291" s="266">
        <f t="shared" si="39"/>
        <v>25000</v>
      </c>
      <c r="S291" s="267">
        <f t="shared" si="40"/>
        <v>25000</v>
      </c>
      <c r="T291" s="135">
        <f t="shared" si="41"/>
        <v>25000</v>
      </c>
      <c r="U291" s="149">
        <f t="shared" ref="U291:U298" si="72">T291-Q291</f>
        <v>0</v>
      </c>
      <c r="V291" s="150">
        <f t="shared" ref="V291:V298" si="73">U291/T291</f>
        <v>0</v>
      </c>
      <c r="W291" s="80">
        <f t="shared" ref="W291:W298" si="74">R291/O291</f>
        <v>9626.1970561087164</v>
      </c>
    </row>
    <row r="292" spans="1:23">
      <c r="A292" s="293" t="s">
        <v>337</v>
      </c>
      <c r="B292" s="242" t="s">
        <v>56</v>
      </c>
      <c r="C292" s="238">
        <v>85</v>
      </c>
      <c r="D292" s="239">
        <v>50</v>
      </c>
      <c r="E292" s="239">
        <v>23</v>
      </c>
      <c r="F292" s="295">
        <v>28200</v>
      </c>
      <c r="G292" s="271"/>
      <c r="H292" s="271"/>
      <c r="I292" s="271"/>
      <c r="J292" s="271"/>
      <c r="K292" s="272"/>
      <c r="L292" s="272"/>
      <c r="M292" s="272"/>
      <c r="N292" s="272"/>
      <c r="O292" s="222">
        <f t="shared" si="70"/>
        <v>3.4525300000000003</v>
      </c>
      <c r="P292" s="223">
        <f t="shared" si="38"/>
        <v>28200</v>
      </c>
      <c r="Q292" s="226">
        <f t="shared" si="71"/>
        <v>28200</v>
      </c>
      <c r="R292" s="266">
        <f t="shared" si="39"/>
        <v>28200</v>
      </c>
      <c r="S292" s="267">
        <f t="shared" si="40"/>
        <v>28200</v>
      </c>
      <c r="T292" s="135">
        <f t="shared" si="41"/>
        <v>28200</v>
      </c>
      <c r="U292" s="149">
        <f t="shared" si="72"/>
        <v>0</v>
      </c>
      <c r="V292" s="150">
        <f t="shared" si="73"/>
        <v>0</v>
      </c>
      <c r="W292" s="80">
        <f t="shared" si="74"/>
        <v>8167.9232331073144</v>
      </c>
    </row>
    <row r="293" spans="1:23">
      <c r="A293" s="293" t="s">
        <v>338</v>
      </c>
      <c r="B293" s="242" t="s">
        <v>56</v>
      </c>
      <c r="C293" s="238">
        <v>85</v>
      </c>
      <c r="D293" s="239">
        <v>37</v>
      </c>
      <c r="E293" s="239">
        <v>15</v>
      </c>
      <c r="F293" s="295">
        <v>16000</v>
      </c>
      <c r="G293" s="271"/>
      <c r="H293" s="271"/>
      <c r="I293" s="271"/>
      <c r="J293" s="271"/>
      <c r="K293" s="272"/>
      <c r="L293" s="272"/>
      <c r="M293" s="272"/>
      <c r="N293" s="272"/>
      <c r="O293" s="222">
        <f t="shared" si="70"/>
        <v>1.6662210000000002</v>
      </c>
      <c r="P293" s="223">
        <f t="shared" si="38"/>
        <v>16000</v>
      </c>
      <c r="Q293" s="226">
        <f t="shared" si="71"/>
        <v>16000</v>
      </c>
      <c r="R293" s="266">
        <f t="shared" si="39"/>
        <v>16000</v>
      </c>
      <c r="S293" s="267">
        <f t="shared" si="40"/>
        <v>16000</v>
      </c>
      <c r="T293" s="135">
        <f t="shared" si="41"/>
        <v>16000</v>
      </c>
      <c r="U293" s="149">
        <f t="shared" si="72"/>
        <v>0</v>
      </c>
      <c r="V293" s="150">
        <f t="shared" si="73"/>
        <v>0</v>
      </c>
      <c r="W293" s="80">
        <f t="shared" si="74"/>
        <v>9602.5677266100938</v>
      </c>
    </row>
    <row r="294" spans="1:23">
      <c r="A294" s="292" t="s">
        <v>339</v>
      </c>
      <c r="B294" s="242" t="s">
        <v>56</v>
      </c>
      <c r="C294" s="238">
        <v>120</v>
      </c>
      <c r="D294" s="239">
        <v>50</v>
      </c>
      <c r="E294" s="239">
        <v>18</v>
      </c>
      <c r="F294" s="294">
        <v>47000</v>
      </c>
      <c r="G294" s="271"/>
      <c r="H294" s="271"/>
      <c r="I294" s="271"/>
      <c r="J294" s="271"/>
      <c r="K294" s="272"/>
      <c r="L294" s="272"/>
      <c r="M294" s="272"/>
      <c r="N294" s="272"/>
      <c r="O294" s="222">
        <f t="shared" si="70"/>
        <v>3.8145600000000002</v>
      </c>
      <c r="P294" s="223">
        <f t="shared" si="38"/>
        <v>47000</v>
      </c>
      <c r="Q294" s="226">
        <f t="shared" si="71"/>
        <v>47000</v>
      </c>
      <c r="R294" s="266">
        <f t="shared" si="39"/>
        <v>47000</v>
      </c>
      <c r="S294" s="267">
        <f t="shared" si="40"/>
        <v>47000</v>
      </c>
      <c r="T294" s="135">
        <f t="shared" si="41"/>
        <v>47000</v>
      </c>
      <c r="U294" s="149">
        <f t="shared" si="72"/>
        <v>0</v>
      </c>
      <c r="V294" s="150">
        <f t="shared" si="73"/>
        <v>0</v>
      </c>
      <c r="W294" s="80">
        <f t="shared" si="74"/>
        <v>12321.211358583951</v>
      </c>
    </row>
    <row r="295" spans="1:23">
      <c r="A295" s="293" t="s">
        <v>340</v>
      </c>
      <c r="B295" s="242" t="s">
        <v>56</v>
      </c>
      <c r="C295" s="238">
        <v>158</v>
      </c>
      <c r="D295" s="239">
        <v>38</v>
      </c>
      <c r="E295" s="239">
        <v>9</v>
      </c>
      <c r="F295" s="295">
        <v>22900</v>
      </c>
      <c r="G295" s="271"/>
      <c r="H295" s="271"/>
      <c r="I295" s="271"/>
      <c r="J295" s="271"/>
      <c r="K295" s="272"/>
      <c r="L295" s="272"/>
      <c r="M295" s="272"/>
      <c r="N295" s="272"/>
      <c r="O295" s="222">
        <f t="shared" si="70"/>
        <v>1.9085515200000001</v>
      </c>
      <c r="P295" s="223">
        <f t="shared" si="38"/>
        <v>22900</v>
      </c>
      <c r="Q295" s="226">
        <f t="shared" si="71"/>
        <v>22900</v>
      </c>
      <c r="R295" s="266">
        <f t="shared" si="39"/>
        <v>22900</v>
      </c>
      <c r="S295" s="267">
        <f t="shared" si="40"/>
        <v>22900</v>
      </c>
      <c r="T295" s="135">
        <f t="shared" si="41"/>
        <v>22900</v>
      </c>
      <c r="U295" s="149">
        <f t="shared" si="72"/>
        <v>0</v>
      </c>
      <c r="V295" s="150">
        <f t="shared" si="73"/>
        <v>0</v>
      </c>
      <c r="W295" s="80">
        <f t="shared" si="74"/>
        <v>11998.62815335475</v>
      </c>
    </row>
    <row r="296" spans="1:23">
      <c r="A296" s="296" t="s">
        <v>341</v>
      </c>
      <c r="B296" s="242" t="s">
        <v>56</v>
      </c>
      <c r="C296" s="238">
        <v>90</v>
      </c>
      <c r="D296" s="239">
        <v>36</v>
      </c>
      <c r="E296" s="239">
        <v>14</v>
      </c>
      <c r="F296" s="297">
        <v>18000</v>
      </c>
      <c r="G296" s="271"/>
      <c r="H296" s="271"/>
      <c r="I296" s="271"/>
      <c r="J296" s="271"/>
      <c r="K296" s="272"/>
      <c r="L296" s="272"/>
      <c r="M296" s="272"/>
      <c r="N296" s="272"/>
      <c r="O296" s="222">
        <f t="shared" si="70"/>
        <v>1.6021151999999999</v>
      </c>
      <c r="P296" s="223">
        <f t="shared" si="38"/>
        <v>18000</v>
      </c>
      <c r="Q296" s="226">
        <f t="shared" si="71"/>
        <v>18000</v>
      </c>
      <c r="R296" s="266">
        <f t="shared" si="39"/>
        <v>18000</v>
      </c>
      <c r="S296" s="267">
        <f t="shared" si="40"/>
        <v>18000</v>
      </c>
      <c r="T296" s="135">
        <f t="shared" si="41"/>
        <v>18000</v>
      </c>
      <c r="U296" s="149">
        <f t="shared" si="72"/>
        <v>0</v>
      </c>
      <c r="V296" s="150">
        <f t="shared" si="73"/>
        <v>0</v>
      </c>
      <c r="W296" s="80">
        <f t="shared" si="74"/>
        <v>11235.147135486888</v>
      </c>
    </row>
    <row r="297" spans="1:23">
      <c r="A297" s="125" t="s">
        <v>342</v>
      </c>
      <c r="B297" s="242" t="s">
        <v>56</v>
      </c>
      <c r="C297" s="238">
        <v>1</v>
      </c>
      <c r="D297" s="239">
        <v>1</v>
      </c>
      <c r="E297" s="239">
        <v>1</v>
      </c>
      <c r="F297" s="297">
        <v>56000</v>
      </c>
      <c r="G297" s="271"/>
      <c r="H297" s="271"/>
      <c r="I297" s="271"/>
      <c r="J297" s="271"/>
      <c r="K297" s="272"/>
      <c r="L297" s="272"/>
      <c r="M297" s="272"/>
      <c r="N297" s="272"/>
      <c r="O297" s="222">
        <f t="shared" si="70"/>
        <v>3.5320000000000001E-5</v>
      </c>
      <c r="P297" s="223">
        <f t="shared" si="38"/>
        <v>56000</v>
      </c>
      <c r="Q297" s="226">
        <f t="shared" si="71"/>
        <v>56000</v>
      </c>
      <c r="R297" s="266">
        <f t="shared" si="39"/>
        <v>56000</v>
      </c>
      <c r="S297" s="267">
        <f t="shared" si="40"/>
        <v>56000</v>
      </c>
      <c r="T297" s="135">
        <f t="shared" si="41"/>
        <v>56000</v>
      </c>
      <c r="U297" s="149">
        <f t="shared" si="72"/>
        <v>0</v>
      </c>
      <c r="V297" s="150">
        <f t="shared" si="73"/>
        <v>0</v>
      </c>
      <c r="W297" s="80">
        <f t="shared" si="74"/>
        <v>1585503963.7599094</v>
      </c>
    </row>
    <row r="298" spans="1:23">
      <c r="A298" s="303" t="s">
        <v>343</v>
      </c>
      <c r="B298" s="242" t="s">
        <v>56</v>
      </c>
      <c r="C298" s="238">
        <v>52</v>
      </c>
      <c r="D298" s="239">
        <v>32</v>
      </c>
      <c r="E298" s="239">
        <v>10</v>
      </c>
      <c r="F298" s="297">
        <v>3650</v>
      </c>
      <c r="G298" s="271"/>
      <c r="H298" s="271"/>
      <c r="I298" s="271"/>
      <c r="J298" s="271"/>
      <c r="K298" s="272"/>
      <c r="L298" s="272"/>
      <c r="M298" s="272"/>
      <c r="N298" s="272"/>
      <c r="O298" s="222">
        <f t="shared" si="70"/>
        <v>0.58772479999999994</v>
      </c>
      <c r="P298" s="304">
        <f t="shared" si="38"/>
        <v>3650</v>
      </c>
      <c r="Q298" s="226">
        <f t="shared" si="71"/>
        <v>3650</v>
      </c>
      <c r="R298" s="266">
        <f t="shared" si="39"/>
        <v>3650</v>
      </c>
      <c r="S298" s="267">
        <f t="shared" si="40"/>
        <v>3650</v>
      </c>
      <c r="T298" s="305">
        <f t="shared" si="41"/>
        <v>3650</v>
      </c>
      <c r="U298" s="149">
        <f t="shared" si="72"/>
        <v>0</v>
      </c>
      <c r="V298" s="150">
        <f t="shared" si="73"/>
        <v>0</v>
      </c>
      <c r="W298" s="80">
        <f t="shared" si="74"/>
        <v>6210.3896245317546</v>
      </c>
    </row>
    <row r="299" spans="1:23">
      <c r="A299" s="125" t="s">
        <v>344</v>
      </c>
      <c r="B299" s="242" t="s">
        <v>56</v>
      </c>
      <c r="C299" s="238">
        <v>87</v>
      </c>
      <c r="D299" s="239">
        <v>42</v>
      </c>
      <c r="E299" s="239">
        <v>1</v>
      </c>
      <c r="F299" s="297">
        <v>25300</v>
      </c>
      <c r="G299" s="271"/>
      <c r="H299" s="271"/>
      <c r="I299" s="271"/>
      <c r="J299" s="271"/>
      <c r="K299" s="272"/>
      <c r="L299" s="272"/>
      <c r="M299" s="272"/>
      <c r="N299" s="272"/>
      <c r="O299" s="222">
        <f t="shared" ref="O299:O300" si="75">((IFERROR((C299*D299*E299),0)+IFERROR((G299*H299*I299),0)+IFERROR((K299*L299*M299),0))/1000000)*35.32</f>
        <v>0.12905928</v>
      </c>
      <c r="P299" s="304">
        <f t="shared" si="38"/>
        <v>25300</v>
      </c>
      <c r="Q299" s="226">
        <f t="shared" ref="Q299:Q300" si="76">F299+J299+N299</f>
        <v>25300</v>
      </c>
      <c r="R299" s="266">
        <f t="shared" si="39"/>
        <v>25300</v>
      </c>
      <c r="S299" s="267">
        <f t="shared" si="40"/>
        <v>25300</v>
      </c>
      <c r="T299" s="305">
        <f t="shared" si="41"/>
        <v>25300</v>
      </c>
      <c r="U299" s="149">
        <f t="shared" ref="U299:U300" si="77">T299-Q299</f>
        <v>0</v>
      </c>
      <c r="V299" s="150">
        <f t="shared" ref="V299:V300" si="78">U299/T299</f>
        <v>0</v>
      </c>
      <c r="W299" s="80">
        <f t="shared" ref="W299:W300" si="79">R299/O299</f>
        <v>196033.94657090912</v>
      </c>
    </row>
    <row r="300" spans="1:23">
      <c r="A300" s="125" t="s">
        <v>345</v>
      </c>
      <c r="B300" s="242" t="s">
        <v>56</v>
      </c>
      <c r="C300" s="238">
        <v>129</v>
      </c>
      <c r="D300" s="239">
        <v>43</v>
      </c>
      <c r="E300" s="239">
        <v>13</v>
      </c>
      <c r="F300" s="297">
        <v>26500</v>
      </c>
      <c r="G300" s="271"/>
      <c r="H300" s="271"/>
      <c r="I300" s="271"/>
      <c r="J300" s="271"/>
      <c r="K300" s="272"/>
      <c r="L300" s="272"/>
      <c r="M300" s="272"/>
      <c r="N300" s="272"/>
      <c r="O300" s="222">
        <f t="shared" si="75"/>
        <v>2.5469605199999998</v>
      </c>
      <c r="P300" s="304">
        <f t="shared" si="38"/>
        <v>26500</v>
      </c>
      <c r="Q300" s="226">
        <f t="shared" si="76"/>
        <v>26500</v>
      </c>
      <c r="R300" s="266">
        <f t="shared" si="39"/>
        <v>26500</v>
      </c>
      <c r="S300" s="267">
        <f t="shared" si="40"/>
        <v>26500</v>
      </c>
      <c r="T300" s="305">
        <f t="shared" si="41"/>
        <v>26500</v>
      </c>
      <c r="U300" s="149">
        <f t="shared" si="77"/>
        <v>0</v>
      </c>
      <c r="V300" s="150">
        <f t="shared" si="78"/>
        <v>0</v>
      </c>
      <c r="W300" s="80">
        <f t="shared" si="79"/>
        <v>10404.558606978329</v>
      </c>
    </row>
    <row r="301" spans="1:23">
      <c r="A301" s="326" t="s">
        <v>346</v>
      </c>
      <c r="B301" s="242" t="s">
        <v>56</v>
      </c>
      <c r="C301" s="238">
        <v>87</v>
      </c>
      <c r="D301" s="239">
        <v>45</v>
      </c>
      <c r="E301" s="239">
        <v>8</v>
      </c>
      <c r="F301" s="297">
        <v>14700</v>
      </c>
      <c r="G301" s="271"/>
      <c r="H301" s="271"/>
      <c r="I301" s="271"/>
      <c r="J301" s="271"/>
      <c r="K301" s="272"/>
      <c r="L301" s="272"/>
      <c r="M301" s="272"/>
      <c r="N301" s="272"/>
      <c r="O301" s="222">
        <f t="shared" ref="O301:O303" si="80">((IFERROR((C301*D301*E301),0)+IFERROR((G301*H301*I301),0)+IFERROR((K301*L301*M301),0))/1000000)*35.32</f>
        <v>1.1062224000000001</v>
      </c>
      <c r="P301" s="304">
        <f t="shared" si="38"/>
        <v>14700</v>
      </c>
      <c r="Q301" s="226">
        <f t="shared" ref="Q301:Q303" si="81">F301+J301+N301</f>
        <v>14700</v>
      </c>
      <c r="R301" s="266">
        <f t="shared" si="39"/>
        <v>14700</v>
      </c>
      <c r="S301" s="267">
        <f t="shared" si="40"/>
        <v>14700</v>
      </c>
      <c r="T301" s="305">
        <f t="shared" si="41"/>
        <v>14700</v>
      </c>
      <c r="U301" s="149">
        <f t="shared" ref="U301" si="82">T301-Q301</f>
        <v>0</v>
      </c>
      <c r="V301" s="150">
        <f t="shared" ref="V301" si="83">U301/T301</f>
        <v>0</v>
      </c>
      <c r="W301" s="80">
        <f t="shared" ref="W301" si="84">R301/O301</f>
        <v>13288.467129213799</v>
      </c>
    </row>
    <row r="302" spans="1:23">
      <c r="A302" s="326" t="s">
        <v>347</v>
      </c>
      <c r="B302" s="328" t="s">
        <v>56</v>
      </c>
      <c r="C302" s="238">
        <v>82</v>
      </c>
      <c r="D302" s="239">
        <v>42</v>
      </c>
      <c r="E302" s="239">
        <v>11</v>
      </c>
      <c r="F302" s="297">
        <v>13200</v>
      </c>
      <c r="G302" s="271"/>
      <c r="H302" s="271"/>
      <c r="I302" s="271"/>
      <c r="J302" s="271"/>
      <c r="K302" s="272"/>
      <c r="L302" s="272"/>
      <c r="M302" s="272"/>
      <c r="N302" s="272"/>
      <c r="O302" s="222">
        <f t="shared" si="80"/>
        <v>1.3380628800000001</v>
      </c>
      <c r="P302" s="304">
        <f t="shared" si="38"/>
        <v>13200</v>
      </c>
      <c r="Q302" s="226">
        <f t="shared" si="81"/>
        <v>13200</v>
      </c>
      <c r="R302" s="266">
        <f t="shared" si="39"/>
        <v>13200</v>
      </c>
      <c r="S302" s="267">
        <f t="shared" si="40"/>
        <v>13200</v>
      </c>
      <c r="T302" s="329">
        <f t="shared" si="41"/>
        <v>13200</v>
      </c>
      <c r="U302" s="330">
        <f t="shared" ref="U302:W303" si="85">MAX(T302,R302)</f>
        <v>13200</v>
      </c>
      <c r="V302" s="330">
        <f t="shared" si="85"/>
        <v>13200</v>
      </c>
      <c r="W302" s="331">
        <f t="shared" si="85"/>
        <v>13200</v>
      </c>
    </row>
    <row r="303" spans="1:23">
      <c r="A303" s="326" t="s">
        <v>348</v>
      </c>
      <c r="B303" s="328" t="s">
        <v>56</v>
      </c>
      <c r="C303" s="238">
        <v>48</v>
      </c>
      <c r="D303" s="239">
        <v>30</v>
      </c>
      <c r="E303" s="239">
        <v>8</v>
      </c>
      <c r="F303" s="297">
        <v>4800</v>
      </c>
      <c r="G303" s="271"/>
      <c r="H303" s="271"/>
      <c r="I303" s="271"/>
      <c r="J303" s="271"/>
      <c r="K303" s="272"/>
      <c r="L303" s="272"/>
      <c r="M303" s="272"/>
      <c r="N303" s="272"/>
      <c r="O303" s="222">
        <f t="shared" si="80"/>
        <v>0.40688640000000004</v>
      </c>
      <c r="P303" s="304">
        <f t="shared" si="38"/>
        <v>4800</v>
      </c>
      <c r="Q303" s="226">
        <f t="shared" si="81"/>
        <v>4800</v>
      </c>
      <c r="R303" s="266">
        <f t="shared" si="39"/>
        <v>4800</v>
      </c>
      <c r="S303" s="267">
        <f t="shared" si="40"/>
        <v>4800</v>
      </c>
      <c r="T303" s="329">
        <f t="shared" si="41"/>
        <v>4800</v>
      </c>
      <c r="U303" s="330">
        <f t="shared" si="85"/>
        <v>4800</v>
      </c>
      <c r="V303" s="330">
        <f t="shared" si="85"/>
        <v>4800</v>
      </c>
      <c r="W303" s="331">
        <f t="shared" si="85"/>
        <v>4800</v>
      </c>
    </row>
    <row r="304" spans="1:23" ht="15">
      <c r="A304" s="325" t="s">
        <v>349</v>
      </c>
      <c r="B304" s="328" t="s">
        <v>56</v>
      </c>
      <c r="C304" s="238">
        <v>37</v>
      </c>
      <c r="D304" s="239">
        <v>10</v>
      </c>
      <c r="E304" s="239">
        <v>6</v>
      </c>
      <c r="F304" s="297">
        <v>600</v>
      </c>
      <c r="G304" s="271"/>
      <c r="H304" s="271"/>
      <c r="I304" s="271"/>
      <c r="J304" s="271"/>
      <c r="K304" s="272"/>
      <c r="L304" s="272"/>
      <c r="M304" s="272"/>
      <c r="N304" s="272"/>
      <c r="O304" s="222">
        <f t="shared" ref="O304" si="86">((IFERROR((C304*D304*E304),0)+IFERROR((G304*H304*I304),0)+IFERROR((K304*L304*M304),0))/1000000)*35.32</f>
        <v>7.8410400000000005E-2</v>
      </c>
      <c r="P304" s="304">
        <f t="shared" ref="P304" si="87">F304+J304+N304</f>
        <v>600</v>
      </c>
      <c r="Q304" s="226">
        <f t="shared" ref="Q304" si="88">F304+J304+N304</f>
        <v>600</v>
      </c>
      <c r="R304" s="266">
        <f t="shared" ref="R304" si="89">MAX(Q304,O304)</f>
        <v>600</v>
      </c>
      <c r="S304" s="267">
        <f t="shared" ref="S304" si="90">MAX(R304,P304)</f>
        <v>600</v>
      </c>
      <c r="T304" s="329">
        <f t="shared" ref="T304" si="91">MAX(S304,Q304)</f>
        <v>600</v>
      </c>
      <c r="U304" s="330">
        <f t="shared" ref="U304" si="92">MAX(T304,R304)</f>
        <v>600</v>
      </c>
      <c r="V304" s="330">
        <f t="shared" ref="V304" si="93">MAX(U304,S304)</f>
        <v>600</v>
      </c>
      <c r="W304" s="331">
        <f t="shared" ref="W304" si="94">MAX(V304,T304)</f>
        <v>600</v>
      </c>
    </row>
    <row r="305" spans="6:20">
      <c r="F305" s="335"/>
      <c r="G305" s="336"/>
      <c r="H305" s="336"/>
      <c r="I305" s="336"/>
      <c r="J305" s="336"/>
      <c r="K305" s="337"/>
      <c r="L305" s="337"/>
      <c r="M305" s="337"/>
      <c r="N305" s="337"/>
      <c r="O305" s="338"/>
      <c r="P305" s="304">
        <f>F305+J305+N305</f>
        <v>0</v>
      </c>
      <c r="Q305" s="339"/>
      <c r="R305" s="266">
        <f>MAX(Q305,O305)</f>
        <v>0</v>
      </c>
      <c r="S305" s="267">
        <f>MAX(R305,P305)</f>
        <v>0</v>
      </c>
      <c r="T305" s="305">
        <f>MAX(S305,Q305)</f>
        <v>0</v>
      </c>
    </row>
  </sheetData>
  <mergeCells count="5">
    <mergeCell ref="C1:F1"/>
    <mergeCell ref="G1:J1"/>
    <mergeCell ref="K1:N1"/>
    <mergeCell ref="Q1:R1"/>
    <mergeCell ref="T1:V1"/>
  </mergeCells>
  <conditionalFormatting sqref="A207">
    <cfRule type="duplicateValues" dxfId="248" priority="91"/>
  </conditionalFormatting>
  <conditionalFormatting sqref="A208">
    <cfRule type="duplicateValues" dxfId="247" priority="92"/>
    <cfRule type="duplicateValues" dxfId="246" priority="93"/>
    <cfRule type="duplicateValues" dxfId="245" priority="94"/>
    <cfRule type="duplicateValues" dxfId="244" priority="95"/>
  </conditionalFormatting>
  <conditionalFormatting sqref="A209">
    <cfRule type="duplicateValues" dxfId="243" priority="96"/>
    <cfRule type="duplicateValues" dxfId="242" priority="97"/>
    <cfRule type="duplicateValues" dxfId="241" priority="98"/>
  </conditionalFormatting>
  <conditionalFormatting sqref="A210:A212">
    <cfRule type="duplicateValues" dxfId="240" priority="99"/>
  </conditionalFormatting>
  <conditionalFormatting sqref="A213">
    <cfRule type="duplicateValues" dxfId="239" priority="102"/>
    <cfRule type="duplicateValues" dxfId="238" priority="100"/>
    <cfRule type="duplicateValues" dxfId="237" priority="101"/>
  </conditionalFormatting>
  <conditionalFormatting sqref="A214">
    <cfRule type="duplicateValues" dxfId="236" priority="103"/>
  </conditionalFormatting>
  <conditionalFormatting sqref="A221">
    <cfRule type="duplicateValues" dxfId="235" priority="104"/>
  </conditionalFormatting>
  <conditionalFormatting sqref="A222">
    <cfRule type="duplicateValues" dxfId="234" priority="106"/>
  </conditionalFormatting>
  <conditionalFormatting sqref="A223">
    <cfRule type="duplicateValues" dxfId="233" priority="107"/>
  </conditionalFormatting>
  <conditionalFormatting sqref="A223:A225 A207 A209:A221">
    <cfRule type="duplicateValues" dxfId="232" priority="127"/>
  </conditionalFormatting>
  <conditionalFormatting sqref="A225">
    <cfRule type="duplicateValues" dxfId="231" priority="111"/>
    <cfRule type="duplicateValues" dxfId="230" priority="112"/>
  </conditionalFormatting>
  <conditionalFormatting sqref="A226">
    <cfRule type="duplicateValues" dxfId="229" priority="113"/>
    <cfRule type="duplicateValues" dxfId="228" priority="114"/>
    <cfRule type="duplicateValues" dxfId="227" priority="115"/>
  </conditionalFormatting>
  <conditionalFormatting sqref="A227">
    <cfRule type="duplicateValues" dxfId="226" priority="116"/>
    <cfRule type="duplicateValues" dxfId="225" priority="117"/>
    <cfRule type="duplicateValues" dxfId="224" priority="118"/>
  </conditionalFormatting>
  <conditionalFormatting sqref="A237">
    <cfRule type="duplicateValues" dxfId="223" priority="119"/>
    <cfRule type="duplicateValues" dxfId="222" priority="120"/>
  </conditionalFormatting>
  <conditionalFormatting sqref="A238:A244">
    <cfRule type="duplicateValues" dxfId="221" priority="121"/>
  </conditionalFormatting>
  <conditionalFormatting sqref="A246">
    <cfRule type="duplicateValues" dxfId="220" priority="122"/>
  </conditionalFormatting>
  <conditionalFormatting sqref="A267:A274">
    <cfRule type="duplicateValues" dxfId="219" priority="4"/>
    <cfRule type="duplicateValues" dxfId="218" priority="3"/>
  </conditionalFormatting>
  <conditionalFormatting sqref="A305:A1048576 A299:A300 A1:A255 A263:A264 A287:A290 A259">
    <cfRule type="duplicateValues" dxfId="217" priority="7"/>
  </conditionalFormatting>
  <conditionalFormatting sqref="A305:A1048576 A299:A300 A263:A264 A1:A12 A138:A206 A14:A136 A287:A290">
    <cfRule type="duplicateValues" dxfId="216" priority="123"/>
  </conditionalFormatting>
  <conditionalFormatting sqref="S4:S9994">
    <cfRule type="expression" dxfId="215" priority="8">
      <formula>$P4&gt;$R4</formula>
    </cfRule>
  </conditionalFormatting>
  <conditionalFormatting sqref="W1:W301 W305:W1048576">
    <cfRule type="cellIs" dxfId="214" priority="11" operator="lessThan">
      <formula>6</formula>
    </cfRule>
  </conditionalFormatting>
  <hyperlinks>
    <hyperlink ref="A223" r:id="rId1" display="https://sellercentral.amazon.in/skucentral?mSku=TU-PMP-SWF&amp;ref=myi_skuc" xr:uid="{912017DF-D984-4C68-B331-236E490E004C}"/>
  </hyperlinks>
  <pageMargins left="0.7" right="0.7" top="0.75" bottom="0.75" header="0.3" footer="0.3"/>
  <pageSetup orientation="portrait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8"/>
  <sheetViews>
    <sheetView workbookViewId="0">
      <pane ySplit="3" topLeftCell="A270" activePane="bottomLeft" state="frozen"/>
      <selection pane="bottomLeft" activeCell="A288" sqref="A288"/>
    </sheetView>
  </sheetViews>
  <sheetFormatPr defaultColWidth="8.85546875" defaultRowHeight="12.75" customHeight="1"/>
  <cols>
    <col min="1" max="1" width="13.85546875" style="125" customWidth="1"/>
    <col min="2" max="2" width="6.28515625" style="59" bestFit="1" customWidth="1"/>
    <col min="3" max="5" width="6.28515625" style="61" customWidth="1"/>
    <col min="6" max="6" width="6.28515625" style="127" customWidth="1"/>
    <col min="7" max="10" width="6.28515625" style="86" customWidth="1"/>
    <col min="11" max="14" width="6.28515625" style="88" customWidth="1"/>
    <col min="15" max="15" width="12.28515625" style="192" customWidth="1"/>
    <col min="16" max="16" width="10.7109375" style="89" bestFit="1" customWidth="1"/>
    <col min="17" max="17" width="9.5703125" style="89" bestFit="1" customWidth="1"/>
    <col min="18" max="18" width="11" style="89" bestFit="1" customWidth="1"/>
    <col min="19" max="19" width="8.5703125" style="90" bestFit="1" customWidth="1"/>
    <col min="20" max="20" width="9.28515625" style="91" bestFit="1" customWidth="1"/>
    <col min="21" max="21" width="8.140625" style="91" bestFit="1" customWidth="1"/>
    <col min="22" max="22" width="7.7109375" style="92" bestFit="1" customWidth="1"/>
    <col min="23" max="23" width="8.5703125" style="93" customWidth="1"/>
    <col min="24" max="24" width="20.7109375" style="53" customWidth="1"/>
    <col min="25" max="25" width="11" style="53" bestFit="1" customWidth="1"/>
    <col min="26" max="16384" width="8.85546875" style="53"/>
  </cols>
  <sheetData>
    <row r="1" spans="1:25" ht="12.75" customHeight="1">
      <c r="A1" s="183"/>
      <c r="B1" s="52"/>
      <c r="C1" s="345" t="s">
        <v>1</v>
      </c>
      <c r="D1" s="345"/>
      <c r="E1" s="345"/>
      <c r="F1" s="345"/>
      <c r="G1" s="346" t="s">
        <v>2</v>
      </c>
      <c r="H1" s="346"/>
      <c r="I1" s="346"/>
      <c r="J1" s="346"/>
      <c r="K1" s="347" t="s">
        <v>3</v>
      </c>
      <c r="L1" s="347"/>
      <c r="M1" s="347"/>
      <c r="N1" s="347"/>
      <c r="O1" s="188" t="s">
        <v>4</v>
      </c>
      <c r="P1" s="348" t="s">
        <v>5</v>
      </c>
      <c r="Q1" s="348"/>
      <c r="R1" s="134" t="s">
        <v>6</v>
      </c>
      <c r="S1" s="349" t="s">
        <v>7</v>
      </c>
      <c r="T1" s="349"/>
      <c r="U1" s="349"/>
      <c r="V1" s="63"/>
      <c r="W1" s="64"/>
    </row>
    <row r="2" spans="1:25">
      <c r="A2" s="124"/>
      <c r="B2" s="52"/>
      <c r="C2" s="60" t="s">
        <v>8</v>
      </c>
      <c r="D2" s="60" t="s">
        <v>9</v>
      </c>
      <c r="E2" s="60" t="s">
        <v>10</v>
      </c>
      <c r="F2" s="126" t="s">
        <v>350</v>
      </c>
      <c r="G2" s="66" t="s">
        <v>8</v>
      </c>
      <c r="H2" s="66" t="s">
        <v>9</v>
      </c>
      <c r="I2" s="66" t="s">
        <v>10</v>
      </c>
      <c r="J2" s="66" t="s">
        <v>350</v>
      </c>
      <c r="K2" s="68" t="s">
        <v>8</v>
      </c>
      <c r="L2" s="68" t="s">
        <v>9</v>
      </c>
      <c r="M2" s="68" t="s">
        <v>10</v>
      </c>
      <c r="N2" s="68" t="s">
        <v>11</v>
      </c>
      <c r="O2" s="190">
        <v>6</v>
      </c>
      <c r="P2" s="123" t="s">
        <v>11</v>
      </c>
      <c r="Q2" s="123" t="s">
        <v>351</v>
      </c>
      <c r="R2" s="187"/>
      <c r="S2" s="62"/>
      <c r="T2" s="69" t="s">
        <v>15</v>
      </c>
      <c r="U2" s="69" t="s">
        <v>16</v>
      </c>
      <c r="V2" s="70" t="s">
        <v>12</v>
      </c>
      <c r="W2" s="71" t="s">
        <v>17</v>
      </c>
      <c r="X2" s="53" t="s">
        <v>18</v>
      </c>
    </row>
    <row r="3" spans="1:25">
      <c r="A3" s="124" t="s">
        <v>19</v>
      </c>
      <c r="B3" s="52" t="s">
        <v>20</v>
      </c>
      <c r="C3" s="60" t="s">
        <v>21</v>
      </c>
      <c r="D3" s="60" t="s">
        <v>22</v>
      </c>
      <c r="E3" s="60" t="s">
        <v>23</v>
      </c>
      <c r="F3" s="126" t="s">
        <v>24</v>
      </c>
      <c r="G3" s="72" t="s">
        <v>21</v>
      </c>
      <c r="H3" s="72" t="s">
        <v>22</v>
      </c>
      <c r="I3" s="72" t="s">
        <v>23</v>
      </c>
      <c r="J3" s="66" t="s">
        <v>24</v>
      </c>
      <c r="K3" s="73" t="s">
        <v>21</v>
      </c>
      <c r="L3" s="73" t="s">
        <v>22</v>
      </c>
      <c r="M3" s="73" t="s">
        <v>23</v>
      </c>
      <c r="N3" s="68" t="s">
        <v>24</v>
      </c>
      <c r="O3" s="186" t="s">
        <v>34</v>
      </c>
      <c r="P3" s="123" t="s">
        <v>35</v>
      </c>
      <c r="Q3" s="123" t="s">
        <v>34</v>
      </c>
      <c r="R3" s="182"/>
      <c r="S3" s="62"/>
      <c r="T3" s="69"/>
      <c r="U3" s="69"/>
      <c r="V3" s="70"/>
      <c r="W3" s="71"/>
    </row>
    <row r="4" spans="1:25" s="261" customFormat="1" ht="12.4" customHeight="1">
      <c r="A4" s="249" t="s">
        <v>43</v>
      </c>
      <c r="B4" s="250" t="s">
        <v>44</v>
      </c>
      <c r="C4" s="251">
        <v>203</v>
      </c>
      <c r="D4" s="251">
        <v>39</v>
      </c>
      <c r="E4" s="251">
        <v>7</v>
      </c>
      <c r="F4" s="251">
        <v>26950</v>
      </c>
      <c r="G4" s="251">
        <v>194</v>
      </c>
      <c r="H4" s="251">
        <v>80</v>
      </c>
      <c r="I4" s="251">
        <v>5</v>
      </c>
      <c r="J4" s="251">
        <v>33000</v>
      </c>
      <c r="K4" s="251">
        <v>102</v>
      </c>
      <c r="L4" s="251">
        <v>93</v>
      </c>
      <c r="M4" s="251">
        <v>6</v>
      </c>
      <c r="N4" s="251">
        <v>38750</v>
      </c>
      <c r="O4" s="252">
        <f t="shared" ref="O4:O67" si="0">V4*$O$2</f>
        <v>2270.3553307200004</v>
      </c>
      <c r="P4" s="253">
        <f t="shared" ref="P4:P67" si="1">F4+J4+N4</f>
        <v>98700</v>
      </c>
      <c r="Q4" s="254">
        <f t="shared" ref="Q4:Q67" si="2">P4/1000</f>
        <v>98.7</v>
      </c>
      <c r="R4" s="255">
        <f t="shared" ref="R4:R67" si="3">MAX(Q4,O4)</f>
        <v>2270.3553307200004</v>
      </c>
      <c r="S4" s="256">
        <f>VLOOKUP(A4,[1]Index!$E:$M,8,)</f>
        <v>88614.980250199995</v>
      </c>
      <c r="T4" s="257">
        <f t="shared" ref="T4:T67" si="4">S4-P4</f>
        <v>-10085.019749800005</v>
      </c>
      <c r="U4" s="258">
        <f t="shared" ref="U4:U67" si="5">T4/S4</f>
        <v>-0.11380716580114844</v>
      </c>
      <c r="V4" s="259">
        <f>(((N4*D4*E4)+(G4*H4*I4)+(K4*L4*M4))/1000000)*35.32</f>
        <v>378.39255512000005</v>
      </c>
      <c r="W4" s="260">
        <f t="shared" ref="W4:W67" si="6">Q4/V4</f>
        <v>0.26084022707238297</v>
      </c>
      <c r="X4" s="261" t="s">
        <v>45</v>
      </c>
    </row>
    <row r="5" spans="1:25" s="261" customFormat="1" ht="12.4" customHeight="1">
      <c r="A5" s="249" t="s">
        <v>46</v>
      </c>
      <c r="B5" s="262" t="s">
        <v>44</v>
      </c>
      <c r="C5" s="251">
        <v>205</v>
      </c>
      <c r="D5" s="251">
        <v>40</v>
      </c>
      <c r="E5" s="251">
        <v>7</v>
      </c>
      <c r="F5" s="251">
        <v>27250</v>
      </c>
      <c r="G5" s="251">
        <v>164</v>
      </c>
      <c r="H5" s="251">
        <v>63</v>
      </c>
      <c r="I5" s="251">
        <v>4</v>
      </c>
      <c r="J5" s="251">
        <v>23300</v>
      </c>
      <c r="K5" s="251">
        <v>102</v>
      </c>
      <c r="L5" s="251">
        <v>79</v>
      </c>
      <c r="M5" s="251">
        <v>6</v>
      </c>
      <c r="N5" s="251">
        <v>37750</v>
      </c>
      <c r="O5" s="252">
        <f t="shared" si="0"/>
        <v>31.168345920000004</v>
      </c>
      <c r="P5" s="253">
        <f t="shared" si="1"/>
        <v>88300</v>
      </c>
      <c r="Q5" s="254">
        <f t="shared" si="2"/>
        <v>88.3</v>
      </c>
      <c r="R5" s="255">
        <f t="shared" si="3"/>
        <v>88.3</v>
      </c>
      <c r="S5" s="256">
        <f>VLOOKUP(A5,[1]Index!$E:$M,8,)</f>
        <v>83135.098534551988</v>
      </c>
      <c r="T5" s="257">
        <f t="shared" si="4"/>
        <v>-5164.9014654480125</v>
      </c>
      <c r="U5" s="258">
        <f t="shared" si="5"/>
        <v>-6.2126605446933041E-2</v>
      </c>
      <c r="V5" s="259">
        <f t="shared" ref="V5:V68" si="7">(((C5*D5*E5)+(G5*H5*I5)+(K5*L5*M5))/1000000)*35.32</f>
        <v>5.1947243200000006</v>
      </c>
      <c r="W5" s="260">
        <f t="shared" si="6"/>
        <v>16.998014631890992</v>
      </c>
      <c r="X5" s="261" t="s">
        <v>352</v>
      </c>
    </row>
    <row r="6" spans="1:25">
      <c r="A6" s="124" t="s">
        <v>48</v>
      </c>
      <c r="B6" s="208" t="s">
        <v>44</v>
      </c>
      <c r="C6" s="205"/>
      <c r="D6" s="205"/>
      <c r="E6" s="205"/>
      <c r="F6" s="205"/>
      <c r="G6" s="206"/>
      <c r="H6" s="206"/>
      <c r="I6" s="206"/>
      <c r="J6" s="206"/>
      <c r="K6" s="207"/>
      <c r="L6" s="207"/>
      <c r="M6" s="207"/>
      <c r="N6" s="207"/>
      <c r="O6" s="191">
        <f t="shared" si="0"/>
        <v>0</v>
      </c>
      <c r="P6" s="75">
        <f t="shared" si="1"/>
        <v>0</v>
      </c>
      <c r="Q6" s="76">
        <f t="shared" si="2"/>
        <v>0</v>
      </c>
      <c r="R6" s="185">
        <f t="shared" si="3"/>
        <v>0</v>
      </c>
      <c r="S6" s="62">
        <f>VLOOKUP(A6,[1]Index!$E:$M,8,)</f>
        <v>70721.918431760001</v>
      </c>
      <c r="T6" s="77">
        <f t="shared" si="4"/>
        <v>70721.918431760001</v>
      </c>
      <c r="U6" s="78">
        <f t="shared" si="5"/>
        <v>1</v>
      </c>
      <c r="V6" s="79">
        <f t="shared" si="7"/>
        <v>0</v>
      </c>
      <c r="W6" s="80" t="e">
        <f t="shared" si="6"/>
        <v>#DIV/0!</v>
      </c>
      <c r="X6" s="53" t="s">
        <v>45</v>
      </c>
    </row>
    <row r="7" spans="1:25">
      <c r="A7" s="124" t="s">
        <v>49</v>
      </c>
      <c r="B7" s="208" t="s">
        <v>44</v>
      </c>
      <c r="C7" s="205">
        <v>206</v>
      </c>
      <c r="D7" s="205">
        <v>40</v>
      </c>
      <c r="E7" s="205">
        <v>7</v>
      </c>
      <c r="F7" s="205">
        <v>36100</v>
      </c>
      <c r="G7" s="206">
        <v>149</v>
      </c>
      <c r="H7" s="206">
        <v>40</v>
      </c>
      <c r="I7" s="206">
        <v>6</v>
      </c>
      <c r="J7" s="206">
        <v>23600</v>
      </c>
      <c r="K7" s="207">
        <v>104</v>
      </c>
      <c r="L7" s="207">
        <v>79</v>
      </c>
      <c r="M7" s="207">
        <v>7</v>
      </c>
      <c r="N7" s="207">
        <v>37460</v>
      </c>
      <c r="O7" s="191">
        <f t="shared" si="0"/>
        <v>31.98974784</v>
      </c>
      <c r="P7" s="75">
        <f t="shared" si="1"/>
        <v>97160</v>
      </c>
      <c r="Q7" s="76">
        <f t="shared" si="2"/>
        <v>97.16</v>
      </c>
      <c r="R7" s="185">
        <f t="shared" si="3"/>
        <v>97.16</v>
      </c>
      <c r="S7" s="62">
        <f>VLOOKUP(A7,[1]Index!$E:$M,8,)</f>
        <v>94601.157959616001</v>
      </c>
      <c r="T7" s="77">
        <f t="shared" si="4"/>
        <v>-2558.8420403839991</v>
      </c>
      <c r="U7" s="78">
        <f t="shared" si="5"/>
        <v>-2.7048739101865279E-2</v>
      </c>
      <c r="V7" s="79">
        <f t="shared" si="7"/>
        <v>5.3316246400000002</v>
      </c>
      <c r="W7" s="80">
        <f t="shared" si="6"/>
        <v>18.223338393154396</v>
      </c>
      <c r="X7" s="56" t="s">
        <v>47</v>
      </c>
    </row>
    <row r="8" spans="1:25">
      <c r="A8" s="124" t="s">
        <v>50</v>
      </c>
      <c r="B8" s="208" t="s">
        <v>44</v>
      </c>
      <c r="C8" s="205"/>
      <c r="D8" s="205"/>
      <c r="E8" s="205"/>
      <c r="F8" s="205"/>
      <c r="G8" s="206"/>
      <c r="H8" s="206"/>
      <c r="I8" s="206"/>
      <c r="J8" s="206"/>
      <c r="K8" s="207"/>
      <c r="L8" s="207"/>
      <c r="M8" s="207"/>
      <c r="N8" s="207"/>
      <c r="O8" s="191">
        <f t="shared" si="0"/>
        <v>0</v>
      </c>
      <c r="P8" s="75">
        <f t="shared" si="1"/>
        <v>0</v>
      </c>
      <c r="Q8" s="76">
        <f t="shared" si="2"/>
        <v>0</v>
      </c>
      <c r="R8" s="185">
        <f t="shared" si="3"/>
        <v>0</v>
      </c>
      <c r="S8" s="62">
        <f>VLOOKUP(A8,[1]Index!$E:$M,8,)</f>
        <v>60043.683832540002</v>
      </c>
      <c r="T8" s="77">
        <f t="shared" si="4"/>
        <v>60043.683832540002</v>
      </c>
      <c r="U8" s="78">
        <f t="shared" si="5"/>
        <v>1</v>
      </c>
      <c r="V8" s="79">
        <f t="shared" si="7"/>
        <v>0</v>
      </c>
      <c r="W8" s="80" t="e">
        <f t="shared" si="6"/>
        <v>#DIV/0!</v>
      </c>
      <c r="X8" s="53" t="s">
        <v>45</v>
      </c>
    </row>
    <row r="9" spans="1:25">
      <c r="A9" s="124" t="s">
        <v>51</v>
      </c>
      <c r="B9" s="208" t="s">
        <v>44</v>
      </c>
      <c r="C9" s="205">
        <v>208</v>
      </c>
      <c r="D9" s="205">
        <v>49</v>
      </c>
      <c r="E9" s="205">
        <v>7</v>
      </c>
      <c r="F9" s="205">
        <v>33800</v>
      </c>
      <c r="G9" s="206">
        <v>163</v>
      </c>
      <c r="H9" s="206">
        <v>40</v>
      </c>
      <c r="I9" s="206">
        <v>6</v>
      </c>
      <c r="J9" s="206">
        <v>20600</v>
      </c>
      <c r="K9" s="207">
        <v>101</v>
      </c>
      <c r="L9" s="207">
        <v>80</v>
      </c>
      <c r="M9" s="207">
        <v>6</v>
      </c>
      <c r="N9" s="207">
        <v>37000</v>
      </c>
      <c r="O9" s="191">
        <f t="shared" si="0"/>
        <v>33.683412480000001</v>
      </c>
      <c r="P9" s="75">
        <f t="shared" si="1"/>
        <v>91400</v>
      </c>
      <c r="Q9" s="76">
        <f t="shared" si="2"/>
        <v>91.4</v>
      </c>
      <c r="R9" s="185">
        <f t="shared" si="3"/>
        <v>91.4</v>
      </c>
      <c r="S9" s="62">
        <f>VLOOKUP(A9,[1]Index!$E:$M,8,)</f>
        <v>75619.774062335986</v>
      </c>
      <c r="T9" s="77">
        <f t="shared" si="4"/>
        <v>-15780.225937664014</v>
      </c>
      <c r="U9" s="78">
        <f t="shared" si="5"/>
        <v>-0.20867856500940918</v>
      </c>
      <c r="V9" s="79">
        <f t="shared" si="7"/>
        <v>5.6139020799999999</v>
      </c>
      <c r="W9" s="80">
        <f t="shared" si="6"/>
        <v>16.28101072970621</v>
      </c>
      <c r="X9" s="53" t="s">
        <v>47</v>
      </c>
    </row>
    <row r="10" spans="1:25">
      <c r="A10" s="124" t="s">
        <v>52</v>
      </c>
      <c r="B10" s="208" t="s">
        <v>44</v>
      </c>
      <c r="C10" s="205">
        <v>206</v>
      </c>
      <c r="D10" s="205">
        <v>48</v>
      </c>
      <c r="E10" s="205">
        <v>6</v>
      </c>
      <c r="F10" s="205">
        <v>33550</v>
      </c>
      <c r="G10" s="206">
        <v>105</v>
      </c>
      <c r="H10" s="206">
        <v>97</v>
      </c>
      <c r="I10" s="206">
        <v>3</v>
      </c>
      <c r="J10" s="206">
        <v>14800</v>
      </c>
      <c r="K10" s="207"/>
      <c r="L10" s="207"/>
      <c r="M10" s="207"/>
      <c r="N10" s="207"/>
      <c r="O10" s="191">
        <f t="shared" si="0"/>
        <v>19.048005360000001</v>
      </c>
      <c r="P10" s="85">
        <f t="shared" si="1"/>
        <v>48350</v>
      </c>
      <c r="Q10" s="76">
        <f t="shared" si="2"/>
        <v>48.35</v>
      </c>
      <c r="R10" s="185">
        <f t="shared" si="3"/>
        <v>48.35</v>
      </c>
      <c r="S10" s="62">
        <f>VLOOKUP(A10,[1]Index!$E:$M,8,)</f>
        <v>40998.311804560013</v>
      </c>
      <c r="T10" s="77">
        <f t="shared" si="4"/>
        <v>-7351.6881954399869</v>
      </c>
      <c r="U10" s="78">
        <f t="shared" si="5"/>
        <v>-0.17931685164222541</v>
      </c>
      <c r="V10" s="79">
        <f t="shared" si="7"/>
        <v>3.1746675600000001</v>
      </c>
      <c r="W10" s="80">
        <f t="shared" si="6"/>
        <v>15.229941115472261</v>
      </c>
      <c r="X10" s="57" t="s">
        <v>353</v>
      </c>
      <c r="Y10" s="58"/>
    </row>
    <row r="11" spans="1:25" ht="12.4" customHeight="1">
      <c r="A11" s="124" t="s">
        <v>57</v>
      </c>
      <c r="B11" s="208" t="s">
        <v>44</v>
      </c>
      <c r="C11" s="205">
        <v>207</v>
      </c>
      <c r="D11" s="205">
        <v>50</v>
      </c>
      <c r="E11" s="205">
        <v>8</v>
      </c>
      <c r="F11" s="205">
        <v>46400</v>
      </c>
      <c r="G11" s="206">
        <v>106</v>
      </c>
      <c r="H11" s="206">
        <v>98</v>
      </c>
      <c r="I11" s="206">
        <v>5</v>
      </c>
      <c r="J11" s="206">
        <v>29850</v>
      </c>
      <c r="K11" s="207"/>
      <c r="L11" s="207"/>
      <c r="M11" s="207"/>
      <c r="N11" s="207"/>
      <c r="O11" s="191">
        <f t="shared" si="0"/>
        <v>28.554100800000001</v>
      </c>
      <c r="P11" s="75">
        <f t="shared" si="1"/>
        <v>76250</v>
      </c>
      <c r="Q11" s="76">
        <f t="shared" si="2"/>
        <v>76.25</v>
      </c>
      <c r="R11" s="185">
        <f t="shared" si="3"/>
        <v>76.25</v>
      </c>
      <c r="S11" s="62">
        <f>VLOOKUP(A11,[1]Index!$E:$M,8,)</f>
        <v>56053.896042839995</v>
      </c>
      <c r="T11" s="77">
        <f t="shared" si="4"/>
        <v>-20196.103957160005</v>
      </c>
      <c r="U11" s="78">
        <f t="shared" si="5"/>
        <v>-0.36029795220166039</v>
      </c>
      <c r="V11" s="79">
        <f t="shared" si="7"/>
        <v>4.7590168000000004</v>
      </c>
      <c r="W11" s="80">
        <f t="shared" si="6"/>
        <v>16.022217026004192</v>
      </c>
      <c r="X11" s="53" t="s">
        <v>47</v>
      </c>
    </row>
    <row r="12" spans="1:25" ht="12.4" customHeight="1">
      <c r="A12" s="124" t="s">
        <v>58</v>
      </c>
      <c r="B12" s="208" t="s">
        <v>44</v>
      </c>
      <c r="C12" s="205">
        <v>207</v>
      </c>
      <c r="D12" s="205">
        <v>51</v>
      </c>
      <c r="E12" s="205">
        <v>8</v>
      </c>
      <c r="F12" s="205">
        <v>42600</v>
      </c>
      <c r="G12" s="206">
        <v>107</v>
      </c>
      <c r="H12" s="206">
        <v>80</v>
      </c>
      <c r="I12" s="206">
        <v>5</v>
      </c>
      <c r="J12" s="206">
        <v>54000</v>
      </c>
      <c r="K12" s="207"/>
      <c r="L12" s="207"/>
      <c r="M12" s="207"/>
      <c r="N12" s="207"/>
      <c r="O12" s="191">
        <f t="shared" si="0"/>
        <v>26.968091520000002</v>
      </c>
      <c r="P12" s="75">
        <f t="shared" si="1"/>
        <v>96600</v>
      </c>
      <c r="Q12" s="76">
        <f t="shared" si="2"/>
        <v>96.6</v>
      </c>
      <c r="R12" s="185">
        <f t="shared" si="3"/>
        <v>96.6</v>
      </c>
      <c r="S12" s="62">
        <f>VLOOKUP(A12,[1]Index!$E:$M,8,)</f>
        <v>61659.101129619987</v>
      </c>
      <c r="T12" s="77">
        <f t="shared" si="4"/>
        <v>-34940.898870380013</v>
      </c>
      <c r="U12" s="78">
        <f t="shared" si="5"/>
        <v>-0.56667869349777134</v>
      </c>
      <c r="V12" s="79">
        <f t="shared" si="7"/>
        <v>4.4946819200000006</v>
      </c>
      <c r="W12" s="80">
        <f t="shared" si="6"/>
        <v>21.492065894620634</v>
      </c>
      <c r="X12" s="53" t="s">
        <v>47</v>
      </c>
    </row>
    <row r="13" spans="1:25">
      <c r="A13" s="124" t="s">
        <v>59</v>
      </c>
      <c r="B13" s="208" t="s">
        <v>44</v>
      </c>
      <c r="C13" s="205">
        <v>120</v>
      </c>
      <c r="D13" s="205">
        <v>39</v>
      </c>
      <c r="E13" s="205">
        <v>8</v>
      </c>
      <c r="F13" s="205">
        <v>33000</v>
      </c>
      <c r="G13" s="206">
        <v>97</v>
      </c>
      <c r="H13" s="206">
        <v>56</v>
      </c>
      <c r="I13" s="206">
        <v>5</v>
      </c>
      <c r="J13" s="206">
        <v>14900</v>
      </c>
      <c r="K13" s="207"/>
      <c r="L13" s="207"/>
      <c r="M13" s="207"/>
      <c r="N13" s="207"/>
      <c r="O13" s="191">
        <f t="shared" si="0"/>
        <v>13.690032000000002</v>
      </c>
      <c r="P13" s="75">
        <f t="shared" si="1"/>
        <v>47900</v>
      </c>
      <c r="Q13" s="76">
        <f t="shared" si="2"/>
        <v>47.9</v>
      </c>
      <c r="R13" s="185">
        <f t="shared" si="3"/>
        <v>47.9</v>
      </c>
      <c r="S13" s="62">
        <f>VLOOKUP(A13,[1]Index!$E:$M,8,)</f>
        <v>41738.718569060002</v>
      </c>
      <c r="T13" s="77">
        <f t="shared" si="4"/>
        <v>-6161.2814309399982</v>
      </c>
      <c r="U13" s="78">
        <f t="shared" si="5"/>
        <v>-0.14761549089595724</v>
      </c>
      <c r="V13" s="79">
        <f t="shared" si="7"/>
        <v>2.2816720000000004</v>
      </c>
      <c r="W13" s="80">
        <f t="shared" si="6"/>
        <v>20.993376786847534</v>
      </c>
      <c r="X13" s="53" t="s">
        <v>47</v>
      </c>
    </row>
    <row r="14" spans="1:25">
      <c r="A14" s="124" t="s">
        <v>55</v>
      </c>
      <c r="B14" s="208" t="s">
        <v>56</v>
      </c>
      <c r="C14" s="205">
        <v>188</v>
      </c>
      <c r="D14" s="205">
        <v>44</v>
      </c>
      <c r="E14" s="205">
        <v>9</v>
      </c>
      <c r="F14" s="205">
        <v>37300</v>
      </c>
      <c r="G14" s="206"/>
      <c r="H14" s="206"/>
      <c r="I14" s="206"/>
      <c r="J14" s="206"/>
      <c r="K14" s="207"/>
      <c r="L14" s="207"/>
      <c r="M14" s="207"/>
      <c r="N14" s="207"/>
      <c r="O14" s="191">
        <f t="shared" si="0"/>
        <v>15.777020160000001</v>
      </c>
      <c r="P14" s="75">
        <f t="shared" si="1"/>
        <v>37300</v>
      </c>
      <c r="Q14" s="76">
        <f t="shared" si="2"/>
        <v>37.299999999999997</v>
      </c>
      <c r="R14" s="185">
        <f t="shared" si="3"/>
        <v>37.299999999999997</v>
      </c>
      <c r="S14" s="62">
        <f>VLOOKUP(A14,[1]Index!$E:$M,8,)</f>
        <v>34586.525244060009</v>
      </c>
      <c r="T14" s="77">
        <f t="shared" si="4"/>
        <v>-2713.4747559399912</v>
      </c>
      <c r="U14" s="78">
        <f t="shared" si="5"/>
        <v>-7.8454679583807321E-2</v>
      </c>
      <c r="V14" s="79">
        <f t="shared" si="7"/>
        <v>2.6295033600000002</v>
      </c>
      <c r="W14" s="80">
        <f t="shared" si="6"/>
        <v>14.185188187019467</v>
      </c>
      <c r="X14" s="53" t="s">
        <v>47</v>
      </c>
    </row>
    <row r="15" spans="1:25">
      <c r="A15" s="124" t="s">
        <v>60</v>
      </c>
      <c r="B15" s="208" t="s">
        <v>56</v>
      </c>
      <c r="C15" s="205">
        <v>74</v>
      </c>
      <c r="D15" s="205">
        <v>40</v>
      </c>
      <c r="E15" s="205">
        <v>6</v>
      </c>
      <c r="F15" s="205">
        <v>6600</v>
      </c>
      <c r="G15" s="206"/>
      <c r="H15" s="206"/>
      <c r="I15" s="206"/>
      <c r="J15" s="206"/>
      <c r="K15" s="207"/>
      <c r="L15" s="207"/>
      <c r="M15" s="207"/>
      <c r="N15" s="207"/>
      <c r="O15" s="191">
        <f t="shared" si="0"/>
        <v>3.7636992000000005</v>
      </c>
      <c r="P15" s="75">
        <f t="shared" si="1"/>
        <v>6600</v>
      </c>
      <c r="Q15" s="76">
        <f t="shared" si="2"/>
        <v>6.6</v>
      </c>
      <c r="R15" s="185">
        <f t="shared" si="3"/>
        <v>6.6</v>
      </c>
      <c r="S15" s="62">
        <f>VLOOKUP(A15,[1]Index!$E:$M,8,)</f>
        <v>6060.5377855999996</v>
      </c>
      <c r="T15" s="77">
        <f t="shared" si="4"/>
        <v>-539.46221440000045</v>
      </c>
      <c r="U15" s="78">
        <f t="shared" si="5"/>
        <v>-8.9012268132669214E-2</v>
      </c>
      <c r="V15" s="79">
        <f t="shared" si="7"/>
        <v>0.62728320000000004</v>
      </c>
      <c r="W15" s="80">
        <f t="shared" si="6"/>
        <v>10.521563466070827</v>
      </c>
      <c r="X15" s="53" t="s">
        <v>47</v>
      </c>
    </row>
    <row r="16" spans="1:25">
      <c r="A16" s="124" t="s">
        <v>61</v>
      </c>
      <c r="B16" s="208" t="s">
        <v>56</v>
      </c>
      <c r="C16" s="205">
        <v>42</v>
      </c>
      <c r="D16" s="205">
        <v>41</v>
      </c>
      <c r="E16" s="205">
        <v>6</v>
      </c>
      <c r="F16" s="205">
        <v>4780</v>
      </c>
      <c r="G16" s="206"/>
      <c r="H16" s="206"/>
      <c r="I16" s="206"/>
      <c r="J16" s="206"/>
      <c r="K16" s="207"/>
      <c r="L16" s="207"/>
      <c r="M16" s="207"/>
      <c r="N16" s="207"/>
      <c r="O16" s="191">
        <f t="shared" si="0"/>
        <v>2.1895574399999997</v>
      </c>
      <c r="P16" s="75">
        <f t="shared" si="1"/>
        <v>4780</v>
      </c>
      <c r="Q16" s="76">
        <f t="shared" si="2"/>
        <v>4.78</v>
      </c>
      <c r="R16" s="185">
        <f t="shared" si="3"/>
        <v>4.78</v>
      </c>
      <c r="S16" s="62">
        <f>VLOOKUP(A16,[1]Index!$E:$M,8,)</f>
        <v>4702.7014006487798</v>
      </c>
      <c r="T16" s="77">
        <f t="shared" si="4"/>
        <v>-77.298599351220219</v>
      </c>
      <c r="U16" s="78">
        <f t="shared" si="5"/>
        <v>-1.6437063033718488E-2</v>
      </c>
      <c r="V16" s="79">
        <f t="shared" si="7"/>
        <v>0.36492623999999996</v>
      </c>
      <c r="W16" s="80">
        <f t="shared" si="6"/>
        <v>13.098537392104225</v>
      </c>
      <c r="X16" s="53" t="s">
        <v>47</v>
      </c>
    </row>
    <row r="17" spans="1:24">
      <c r="A17" s="124" t="s">
        <v>62</v>
      </c>
      <c r="B17" s="208" t="s">
        <v>56</v>
      </c>
      <c r="C17" s="205">
        <v>64</v>
      </c>
      <c r="D17" s="205">
        <v>58</v>
      </c>
      <c r="E17" s="205">
        <v>12</v>
      </c>
      <c r="F17" s="205">
        <v>15000</v>
      </c>
      <c r="G17" s="206"/>
      <c r="H17" s="206"/>
      <c r="I17" s="206"/>
      <c r="J17" s="206"/>
      <c r="K17" s="207"/>
      <c r="L17" s="207"/>
      <c r="M17" s="207"/>
      <c r="N17" s="207"/>
      <c r="O17" s="191">
        <f t="shared" si="0"/>
        <v>9.4397644799999991</v>
      </c>
      <c r="P17" s="75">
        <f t="shared" si="1"/>
        <v>15000</v>
      </c>
      <c r="Q17" s="76">
        <f t="shared" si="2"/>
        <v>15</v>
      </c>
      <c r="R17" s="185">
        <f t="shared" si="3"/>
        <v>15</v>
      </c>
      <c r="S17" s="62">
        <f>VLOOKUP(A17,[1]Index!$E:$M,8,)</f>
        <v>8821.9178117100982</v>
      </c>
      <c r="T17" s="77">
        <f t="shared" si="4"/>
        <v>-6178.0821882899018</v>
      </c>
      <c r="U17" s="78">
        <f t="shared" si="5"/>
        <v>-0.70031055833338152</v>
      </c>
      <c r="V17" s="79">
        <f t="shared" si="7"/>
        <v>1.5732940799999999</v>
      </c>
      <c r="W17" s="80">
        <f t="shared" si="6"/>
        <v>9.5341361737025032</v>
      </c>
      <c r="X17" s="53" t="s">
        <v>45</v>
      </c>
    </row>
    <row r="18" spans="1:24">
      <c r="A18" s="124" t="s">
        <v>65</v>
      </c>
      <c r="B18" s="208" t="s">
        <v>56</v>
      </c>
      <c r="C18" s="205">
        <v>50</v>
      </c>
      <c r="D18" s="205">
        <v>45</v>
      </c>
      <c r="E18" s="205">
        <v>8</v>
      </c>
      <c r="F18" s="205">
        <v>8250</v>
      </c>
      <c r="G18" s="206"/>
      <c r="H18" s="206"/>
      <c r="I18" s="206"/>
      <c r="J18" s="206"/>
      <c r="K18" s="207"/>
      <c r="L18" s="207"/>
      <c r="M18" s="207"/>
      <c r="N18" s="207"/>
      <c r="O18" s="191">
        <f t="shared" si="0"/>
        <v>3.8145600000000002</v>
      </c>
      <c r="P18" s="75">
        <f t="shared" si="1"/>
        <v>8250</v>
      </c>
      <c r="Q18" s="76">
        <f t="shared" si="2"/>
        <v>8.25</v>
      </c>
      <c r="R18" s="185">
        <f t="shared" si="3"/>
        <v>8.25</v>
      </c>
      <c r="S18" s="62">
        <f>VLOOKUP(A18,[1]Index!$E:$M,8,)</f>
        <v>8112</v>
      </c>
      <c r="T18" s="77">
        <f t="shared" si="4"/>
        <v>-138</v>
      </c>
      <c r="U18" s="78">
        <f t="shared" si="5"/>
        <v>-1.7011834319526627E-2</v>
      </c>
      <c r="V18" s="79">
        <f t="shared" si="7"/>
        <v>0.63575999999999999</v>
      </c>
      <c r="W18" s="80">
        <f t="shared" si="6"/>
        <v>12.976594941487354</v>
      </c>
      <c r="X18" s="53" t="s">
        <v>47</v>
      </c>
    </row>
    <row r="19" spans="1:24">
      <c r="A19" s="124" t="s">
        <v>66</v>
      </c>
      <c r="B19" s="208" t="s">
        <v>56</v>
      </c>
      <c r="C19" s="205">
        <v>49</v>
      </c>
      <c r="D19" s="205">
        <v>43</v>
      </c>
      <c r="E19" s="205">
        <v>12</v>
      </c>
      <c r="F19" s="205">
        <v>10900</v>
      </c>
      <c r="G19" s="206"/>
      <c r="H19" s="206"/>
      <c r="I19" s="206"/>
      <c r="J19" s="206"/>
      <c r="K19" s="207"/>
      <c r="L19" s="207"/>
      <c r="M19" s="207"/>
      <c r="N19" s="207"/>
      <c r="O19" s="191">
        <f t="shared" si="0"/>
        <v>5.3581852800000007</v>
      </c>
      <c r="P19" s="75">
        <f t="shared" si="1"/>
        <v>10900</v>
      </c>
      <c r="Q19" s="76">
        <f t="shared" si="2"/>
        <v>10.9</v>
      </c>
      <c r="R19" s="185">
        <f t="shared" si="3"/>
        <v>10.9</v>
      </c>
      <c r="S19" s="62">
        <f>VLOOKUP(A19,[1]Index!$E:$M,8,)</f>
        <v>10252.115625886776</v>
      </c>
      <c r="T19" s="77">
        <f t="shared" si="4"/>
        <v>-647.88437411322411</v>
      </c>
      <c r="U19" s="78">
        <f t="shared" si="5"/>
        <v>-6.3195187974402517E-2</v>
      </c>
      <c r="V19" s="79">
        <f t="shared" si="7"/>
        <v>0.89303088000000008</v>
      </c>
      <c r="W19" s="80">
        <f t="shared" si="6"/>
        <v>12.20562496114356</v>
      </c>
      <c r="X19" s="53" t="s">
        <v>47</v>
      </c>
    </row>
    <row r="20" spans="1:24">
      <c r="A20" s="124" t="s">
        <v>68</v>
      </c>
      <c r="B20" s="208" t="s">
        <v>56</v>
      </c>
      <c r="C20" s="205">
        <v>123</v>
      </c>
      <c r="D20" s="205">
        <v>56</v>
      </c>
      <c r="E20" s="205">
        <v>5</v>
      </c>
      <c r="F20" s="205">
        <v>24490</v>
      </c>
      <c r="G20" s="206"/>
      <c r="H20" s="206"/>
      <c r="I20" s="206"/>
      <c r="J20" s="206"/>
      <c r="K20" s="207"/>
      <c r="L20" s="207"/>
      <c r="M20" s="207"/>
      <c r="N20" s="207"/>
      <c r="O20" s="191">
        <f t="shared" si="0"/>
        <v>7.2985247999999991</v>
      </c>
      <c r="P20" s="75">
        <f t="shared" si="1"/>
        <v>24490</v>
      </c>
      <c r="Q20" s="76">
        <f t="shared" si="2"/>
        <v>24.49</v>
      </c>
      <c r="R20" s="185">
        <f t="shared" si="3"/>
        <v>24.49</v>
      </c>
      <c r="S20" s="62">
        <f>VLOOKUP(A20,[1]Index!$E:$M,8,)</f>
        <v>23784.663572799996</v>
      </c>
      <c r="T20" s="77">
        <f t="shared" si="4"/>
        <v>-705.33642720000353</v>
      </c>
      <c r="U20" s="78">
        <f t="shared" si="5"/>
        <v>-2.9655093713691294E-2</v>
      </c>
      <c r="V20" s="79">
        <f t="shared" si="7"/>
        <v>1.2164207999999999</v>
      </c>
      <c r="W20" s="80">
        <f t="shared" si="6"/>
        <v>20.132835610834672</v>
      </c>
      <c r="X20" s="53" t="s">
        <v>45</v>
      </c>
    </row>
    <row r="21" spans="1:24" ht="12.4" customHeight="1">
      <c r="A21" s="124" t="s">
        <v>70</v>
      </c>
      <c r="B21" s="208" t="s">
        <v>56</v>
      </c>
      <c r="C21" s="205">
        <v>96</v>
      </c>
      <c r="D21" s="205">
        <v>44</v>
      </c>
      <c r="E21" s="205">
        <v>8</v>
      </c>
      <c r="F21" s="205">
        <v>11100</v>
      </c>
      <c r="G21" s="206"/>
      <c r="H21" s="206"/>
      <c r="I21" s="206"/>
      <c r="J21" s="206"/>
      <c r="K21" s="207"/>
      <c r="L21" s="207"/>
      <c r="M21" s="207"/>
      <c r="N21" s="207"/>
      <c r="O21" s="191">
        <f t="shared" si="0"/>
        <v>7.1612006400000006</v>
      </c>
      <c r="P21" s="75">
        <f t="shared" si="1"/>
        <v>11100</v>
      </c>
      <c r="Q21" s="76">
        <f t="shared" si="2"/>
        <v>11.1</v>
      </c>
      <c r="R21" s="185">
        <f t="shared" si="3"/>
        <v>11.1</v>
      </c>
      <c r="S21" s="62">
        <f>VLOOKUP(A21,[1]Index!$E:$M,8,)</f>
        <v>13438.901661199998</v>
      </c>
      <c r="T21" s="77">
        <f t="shared" si="4"/>
        <v>2338.9016611999978</v>
      </c>
      <c r="U21" s="78">
        <f t="shared" si="5"/>
        <v>0.17403964402483399</v>
      </c>
      <c r="V21" s="79">
        <f t="shared" si="7"/>
        <v>1.1935334400000002</v>
      </c>
      <c r="W21" s="80">
        <f t="shared" si="6"/>
        <v>9.3001164676207129</v>
      </c>
      <c r="X21" s="53" t="s">
        <v>47</v>
      </c>
    </row>
    <row r="22" spans="1:24">
      <c r="A22" s="124" t="s">
        <v>71</v>
      </c>
      <c r="B22" s="208" t="s">
        <v>56</v>
      </c>
      <c r="C22" s="205">
        <v>111</v>
      </c>
      <c r="D22" s="205">
        <v>54</v>
      </c>
      <c r="E22" s="205">
        <v>8</v>
      </c>
      <c r="F22" s="205">
        <v>23800</v>
      </c>
      <c r="G22" s="206"/>
      <c r="H22" s="206"/>
      <c r="I22" s="206"/>
      <c r="J22" s="206"/>
      <c r="K22" s="207"/>
      <c r="L22" s="207"/>
      <c r="M22" s="207"/>
      <c r="N22" s="207"/>
      <c r="O22" s="191">
        <f t="shared" si="0"/>
        <v>10.161987840000002</v>
      </c>
      <c r="P22" s="75">
        <f t="shared" si="1"/>
        <v>23800</v>
      </c>
      <c r="Q22" s="76">
        <f t="shared" si="2"/>
        <v>23.8</v>
      </c>
      <c r="R22" s="185">
        <f t="shared" si="3"/>
        <v>23.8</v>
      </c>
      <c r="S22" s="62">
        <f>VLOOKUP(A22,[1]Index!$E:$M,8,)</f>
        <v>21457</v>
      </c>
      <c r="T22" s="77">
        <f t="shared" si="4"/>
        <v>-2343</v>
      </c>
      <c r="U22" s="78">
        <f t="shared" si="5"/>
        <v>-0.10919513445495642</v>
      </c>
      <c r="V22" s="79">
        <f t="shared" si="7"/>
        <v>1.6936646400000002</v>
      </c>
      <c r="W22" s="80">
        <f t="shared" si="6"/>
        <v>14.052368714505368</v>
      </c>
      <c r="X22" s="53" t="s">
        <v>47</v>
      </c>
    </row>
    <row r="23" spans="1:24" ht="12.4" customHeight="1">
      <c r="A23" s="124" t="s">
        <v>73</v>
      </c>
      <c r="B23" s="208" t="s">
        <v>56</v>
      </c>
      <c r="C23" s="205">
        <v>100</v>
      </c>
      <c r="D23" s="205">
        <v>50</v>
      </c>
      <c r="E23" s="205">
        <v>4</v>
      </c>
      <c r="F23" s="205">
        <v>7100</v>
      </c>
      <c r="G23" s="206"/>
      <c r="H23" s="206"/>
      <c r="I23" s="206"/>
      <c r="J23" s="206"/>
      <c r="K23" s="207"/>
      <c r="L23" s="207"/>
      <c r="M23" s="207"/>
      <c r="N23" s="207"/>
      <c r="O23" s="191">
        <f t="shared" si="0"/>
        <v>4.2384000000000004</v>
      </c>
      <c r="P23" s="75">
        <f t="shared" si="1"/>
        <v>7100</v>
      </c>
      <c r="Q23" s="76">
        <f t="shared" si="2"/>
        <v>7.1</v>
      </c>
      <c r="R23" s="185">
        <f t="shared" si="3"/>
        <v>7.1</v>
      </c>
      <c r="S23" s="62">
        <f>VLOOKUP(A23,[1]Index!$E:$M,8,)</f>
        <v>5381.720965999999</v>
      </c>
      <c r="T23" s="77">
        <f t="shared" si="4"/>
        <v>-1718.279034000001</v>
      </c>
      <c r="U23" s="78">
        <f t="shared" si="5"/>
        <v>-0.3192805879114769</v>
      </c>
      <c r="V23" s="79">
        <f t="shared" si="7"/>
        <v>0.70640000000000003</v>
      </c>
      <c r="W23" s="80">
        <f t="shared" si="6"/>
        <v>10.050962627406568</v>
      </c>
      <c r="X23" s="53" t="s">
        <v>47</v>
      </c>
    </row>
    <row r="24" spans="1:24">
      <c r="A24" s="124" t="s">
        <v>74</v>
      </c>
      <c r="B24" s="208" t="s">
        <v>56</v>
      </c>
      <c r="C24" s="205">
        <v>100</v>
      </c>
      <c r="D24" s="205">
        <v>50</v>
      </c>
      <c r="E24" s="205">
        <v>4</v>
      </c>
      <c r="F24" s="205">
        <v>11550</v>
      </c>
      <c r="G24" s="206"/>
      <c r="H24" s="206"/>
      <c r="I24" s="206"/>
      <c r="J24" s="206"/>
      <c r="K24" s="207"/>
      <c r="L24" s="207"/>
      <c r="M24" s="207"/>
      <c r="N24" s="207"/>
      <c r="O24" s="191">
        <f t="shared" si="0"/>
        <v>4.2384000000000004</v>
      </c>
      <c r="P24" s="75">
        <f t="shared" si="1"/>
        <v>11550</v>
      </c>
      <c r="Q24" s="76">
        <f t="shared" si="2"/>
        <v>11.55</v>
      </c>
      <c r="R24" s="185">
        <f t="shared" si="3"/>
        <v>11.55</v>
      </c>
      <c r="S24" s="62">
        <f>VLOOKUP(A24,[1]Index!$E:$M,8,)</f>
        <v>9982.9279925279989</v>
      </c>
      <c r="T24" s="77">
        <f t="shared" si="4"/>
        <v>-1567.0720074720011</v>
      </c>
      <c r="U24" s="78">
        <f t="shared" si="5"/>
        <v>-0.15697518890699402</v>
      </c>
      <c r="V24" s="79">
        <f t="shared" si="7"/>
        <v>0.70640000000000003</v>
      </c>
      <c r="W24" s="80">
        <f t="shared" si="6"/>
        <v>16.350509626274064</v>
      </c>
      <c r="X24" s="53" t="s">
        <v>47</v>
      </c>
    </row>
    <row r="25" spans="1:24" ht="12.4" customHeight="1">
      <c r="A25" s="124" t="s">
        <v>75</v>
      </c>
      <c r="B25" s="208" t="s">
        <v>56</v>
      </c>
      <c r="C25" s="205">
        <v>77</v>
      </c>
      <c r="D25" s="205">
        <v>77</v>
      </c>
      <c r="E25" s="205">
        <v>4</v>
      </c>
      <c r="F25" s="205">
        <v>8050</v>
      </c>
      <c r="G25" s="206"/>
      <c r="H25" s="206"/>
      <c r="I25" s="206"/>
      <c r="J25" s="206"/>
      <c r="K25" s="207"/>
      <c r="L25" s="207"/>
      <c r="M25" s="207"/>
      <c r="N25" s="207"/>
      <c r="O25" s="191">
        <f t="shared" si="0"/>
        <v>5.0258947200000001</v>
      </c>
      <c r="P25" s="75">
        <f t="shared" si="1"/>
        <v>8050</v>
      </c>
      <c r="Q25" s="76">
        <f t="shared" si="2"/>
        <v>8.0500000000000007</v>
      </c>
      <c r="R25" s="185">
        <f t="shared" si="3"/>
        <v>8.0500000000000007</v>
      </c>
      <c r="S25" s="62">
        <f>VLOOKUP(A25,[1]Index!$E:$M,8,)</f>
        <v>6253.3720399999993</v>
      </c>
      <c r="T25" s="77">
        <f t="shared" si="4"/>
        <v>-1796.6279600000007</v>
      </c>
      <c r="U25" s="78">
        <f t="shared" si="5"/>
        <v>-0.28730546471692109</v>
      </c>
      <c r="V25" s="79">
        <f t="shared" si="7"/>
        <v>0.83764912000000002</v>
      </c>
      <c r="W25" s="80">
        <f t="shared" si="6"/>
        <v>9.6102291613462221</v>
      </c>
      <c r="X25" s="53" t="s">
        <v>47</v>
      </c>
    </row>
    <row r="26" spans="1:24">
      <c r="A26" s="124" t="s">
        <v>76</v>
      </c>
      <c r="B26" s="208" t="s">
        <v>56</v>
      </c>
      <c r="C26" s="205">
        <v>79</v>
      </c>
      <c r="D26" s="205">
        <v>78</v>
      </c>
      <c r="E26" s="205">
        <v>4</v>
      </c>
      <c r="F26" s="205">
        <v>8100</v>
      </c>
      <c r="G26" s="206"/>
      <c r="H26" s="206"/>
      <c r="I26" s="206"/>
      <c r="J26" s="206"/>
      <c r="K26" s="207"/>
      <c r="L26" s="207"/>
      <c r="M26" s="207"/>
      <c r="N26" s="207"/>
      <c r="O26" s="191">
        <f t="shared" si="0"/>
        <v>5.2234041600000003</v>
      </c>
      <c r="P26" s="75">
        <f t="shared" si="1"/>
        <v>8100</v>
      </c>
      <c r="Q26" s="76">
        <f t="shared" si="2"/>
        <v>8.1</v>
      </c>
      <c r="R26" s="185">
        <f t="shared" si="3"/>
        <v>8.1</v>
      </c>
      <c r="S26" s="62">
        <f>VLOOKUP(A26,[1]Index!$E:$M,8,)</f>
        <v>11175.414393220339</v>
      </c>
      <c r="T26" s="77">
        <f t="shared" si="4"/>
        <v>3075.4143932203388</v>
      </c>
      <c r="U26" s="78">
        <f t="shared" si="5"/>
        <v>0.27519466258773057</v>
      </c>
      <c r="V26" s="79">
        <f t="shared" si="7"/>
        <v>0.87056736000000001</v>
      </c>
      <c r="W26" s="80">
        <f t="shared" si="6"/>
        <v>9.3042771555322261</v>
      </c>
      <c r="X26" s="53" t="s">
        <v>45</v>
      </c>
    </row>
    <row r="27" spans="1:24" ht="12.4" customHeight="1">
      <c r="A27" s="124" t="s">
        <v>77</v>
      </c>
      <c r="B27" s="208" t="s">
        <v>56</v>
      </c>
      <c r="C27" s="205">
        <v>95</v>
      </c>
      <c r="D27" s="205">
        <v>45</v>
      </c>
      <c r="E27" s="205">
        <v>8</v>
      </c>
      <c r="F27" s="205">
        <v>14500</v>
      </c>
      <c r="G27" s="206"/>
      <c r="H27" s="206"/>
      <c r="I27" s="206"/>
      <c r="J27" s="206"/>
      <c r="K27" s="207"/>
      <c r="L27" s="207"/>
      <c r="M27" s="207"/>
      <c r="N27" s="207"/>
      <c r="O27" s="191">
        <f t="shared" si="0"/>
        <v>7.2476640000000003</v>
      </c>
      <c r="P27" s="75">
        <f t="shared" si="1"/>
        <v>14500</v>
      </c>
      <c r="Q27" s="76">
        <f t="shared" si="2"/>
        <v>14.5</v>
      </c>
      <c r="R27" s="185">
        <f t="shared" si="3"/>
        <v>14.5</v>
      </c>
      <c r="S27" s="62">
        <f>VLOOKUP(A27,[1]Index!$E:$M,8,)</f>
        <v>523.71019282237501</v>
      </c>
      <c r="T27" s="77">
        <f t="shared" si="4"/>
        <v>-13976.289807177625</v>
      </c>
      <c r="U27" s="78">
        <f t="shared" si="5"/>
        <v>-26.687068532801913</v>
      </c>
      <c r="V27" s="79">
        <f t="shared" si="7"/>
        <v>1.2079440000000001</v>
      </c>
      <c r="W27" s="80">
        <f t="shared" si="6"/>
        <v>12.003867728967567</v>
      </c>
      <c r="X27" s="53" t="s">
        <v>45</v>
      </c>
    </row>
    <row r="28" spans="1:24">
      <c r="A28" s="124" t="s">
        <v>78</v>
      </c>
      <c r="B28" s="208" t="s">
        <v>56</v>
      </c>
      <c r="C28" s="205">
        <v>81</v>
      </c>
      <c r="D28" s="205">
        <v>81</v>
      </c>
      <c r="E28" s="205">
        <v>8</v>
      </c>
      <c r="F28" s="205">
        <v>21508</v>
      </c>
      <c r="G28" s="206"/>
      <c r="H28" s="206"/>
      <c r="I28" s="206"/>
      <c r="J28" s="206"/>
      <c r="K28" s="207"/>
      <c r="L28" s="207"/>
      <c r="M28" s="207"/>
      <c r="N28" s="207"/>
      <c r="O28" s="191">
        <f t="shared" si="0"/>
        <v>11.123256959999999</v>
      </c>
      <c r="P28" s="75">
        <f t="shared" si="1"/>
        <v>21508</v>
      </c>
      <c r="Q28" s="76">
        <f t="shared" si="2"/>
        <v>21.507999999999999</v>
      </c>
      <c r="R28" s="185">
        <f t="shared" si="3"/>
        <v>21.507999999999999</v>
      </c>
      <c r="S28" s="62">
        <f>VLOOKUP(A28,[1]Index!$E:$M,8,)</f>
        <v>19715.41320382609</v>
      </c>
      <c r="T28" s="77">
        <f t="shared" si="4"/>
        <v>-1792.5867961739095</v>
      </c>
      <c r="U28" s="78">
        <f t="shared" si="5"/>
        <v>-9.0923115718722525E-2</v>
      </c>
      <c r="V28" s="79">
        <f t="shared" si="7"/>
        <v>1.85387616</v>
      </c>
      <c r="W28" s="80">
        <f t="shared" si="6"/>
        <v>11.601637943280958</v>
      </c>
      <c r="X28" s="53" t="s">
        <v>47</v>
      </c>
    </row>
    <row r="29" spans="1:24" ht="12.4" customHeight="1">
      <c r="A29" s="124" t="s">
        <v>79</v>
      </c>
      <c r="B29" s="208" t="s">
        <v>56</v>
      </c>
      <c r="C29" s="205">
        <v>97</v>
      </c>
      <c r="D29" s="205">
        <v>45</v>
      </c>
      <c r="E29" s="205">
        <v>8</v>
      </c>
      <c r="F29" s="205">
        <v>12200</v>
      </c>
      <c r="G29" s="206"/>
      <c r="H29" s="206"/>
      <c r="I29" s="206"/>
      <c r="J29" s="206"/>
      <c r="K29" s="207"/>
      <c r="L29" s="207"/>
      <c r="M29" s="207"/>
      <c r="N29" s="207"/>
      <c r="O29" s="191">
        <f t="shared" si="0"/>
        <v>7.4002464000000003</v>
      </c>
      <c r="P29" s="75">
        <f t="shared" si="1"/>
        <v>12200</v>
      </c>
      <c r="Q29" s="76">
        <f t="shared" si="2"/>
        <v>12.2</v>
      </c>
      <c r="R29" s="185">
        <f t="shared" si="3"/>
        <v>12.2</v>
      </c>
      <c r="S29" s="62">
        <f>VLOOKUP(A29,[1]Index!$E:$M,8,)</f>
        <v>11643.574449332853</v>
      </c>
      <c r="T29" s="77">
        <f t="shared" si="4"/>
        <v>-556.42555066714704</v>
      </c>
      <c r="U29" s="78">
        <f t="shared" si="5"/>
        <v>-4.7788207400436968E-2</v>
      </c>
      <c r="V29" s="79">
        <f t="shared" si="7"/>
        <v>1.2333744</v>
      </c>
      <c r="W29" s="80">
        <f t="shared" si="6"/>
        <v>9.8915625295936085</v>
      </c>
      <c r="X29" s="53" t="s">
        <v>45</v>
      </c>
    </row>
    <row r="30" spans="1:24">
      <c r="A30" s="124" t="s">
        <v>80</v>
      </c>
      <c r="B30" s="208" t="s">
        <v>56</v>
      </c>
      <c r="C30" s="205">
        <v>104</v>
      </c>
      <c r="D30" s="205">
        <v>60</v>
      </c>
      <c r="E30" s="205">
        <v>7</v>
      </c>
      <c r="F30" s="205">
        <v>17700</v>
      </c>
      <c r="G30" s="206"/>
      <c r="H30" s="206"/>
      <c r="I30" s="206"/>
      <c r="J30" s="206"/>
      <c r="K30" s="207"/>
      <c r="L30" s="207"/>
      <c r="M30" s="207"/>
      <c r="N30" s="207"/>
      <c r="O30" s="191">
        <f t="shared" si="0"/>
        <v>9.2566655999999998</v>
      </c>
      <c r="P30" s="75">
        <f t="shared" si="1"/>
        <v>17700</v>
      </c>
      <c r="Q30" s="76">
        <f t="shared" si="2"/>
        <v>17.7</v>
      </c>
      <c r="R30" s="185">
        <f t="shared" si="3"/>
        <v>17.7</v>
      </c>
      <c r="S30" s="62">
        <f>VLOOKUP(A30,[1]Index!$E:$M,8,)</f>
        <v>18903.911097599997</v>
      </c>
      <c r="T30" s="77">
        <f t="shared" si="4"/>
        <v>1203.9110975999974</v>
      </c>
      <c r="U30" s="78">
        <f t="shared" si="5"/>
        <v>6.3685820959708359E-2</v>
      </c>
      <c r="V30" s="79">
        <f t="shared" si="7"/>
        <v>1.5427776</v>
      </c>
      <c r="W30" s="80">
        <f t="shared" si="6"/>
        <v>11.4728137095068</v>
      </c>
      <c r="X30" s="53" t="s">
        <v>45</v>
      </c>
    </row>
    <row r="31" spans="1:24" ht="12.4" customHeight="1">
      <c r="A31" s="124" t="s">
        <v>81</v>
      </c>
      <c r="B31" s="208" t="s">
        <v>56</v>
      </c>
      <c r="C31" s="205">
        <v>85</v>
      </c>
      <c r="D31" s="205">
        <v>84</v>
      </c>
      <c r="E31" s="205">
        <v>6</v>
      </c>
      <c r="F31" s="205">
        <v>17400</v>
      </c>
      <c r="G31" s="206"/>
      <c r="H31" s="206"/>
      <c r="I31" s="206"/>
      <c r="J31" s="206"/>
      <c r="K31" s="207"/>
      <c r="L31" s="207"/>
      <c r="M31" s="207"/>
      <c r="N31" s="207"/>
      <c r="O31" s="191">
        <f t="shared" si="0"/>
        <v>9.0786528000000004</v>
      </c>
      <c r="P31" s="75">
        <f t="shared" si="1"/>
        <v>17400</v>
      </c>
      <c r="Q31" s="76">
        <f t="shared" si="2"/>
        <v>17.399999999999999</v>
      </c>
      <c r="R31" s="185">
        <f t="shared" si="3"/>
        <v>17.399999999999999</v>
      </c>
      <c r="S31" s="62">
        <f>VLOOKUP(A31,[1]Index!$E:$M,8,)</f>
        <v>18992.417888</v>
      </c>
      <c r="T31" s="77">
        <f t="shared" si="4"/>
        <v>1592.4178879999999</v>
      </c>
      <c r="U31" s="78">
        <f t="shared" si="5"/>
        <v>8.3844926822410487E-2</v>
      </c>
      <c r="V31" s="79">
        <f t="shared" si="7"/>
        <v>1.5131088000000001</v>
      </c>
      <c r="W31" s="80">
        <f t="shared" si="6"/>
        <v>11.49950353867481</v>
      </c>
      <c r="X31" s="53" t="s">
        <v>45</v>
      </c>
    </row>
    <row r="32" spans="1:24">
      <c r="A32" s="124" t="s">
        <v>82</v>
      </c>
      <c r="B32" s="208" t="s">
        <v>44</v>
      </c>
      <c r="C32" s="205">
        <v>70</v>
      </c>
      <c r="D32" s="205">
        <v>68</v>
      </c>
      <c r="E32" s="205">
        <v>3</v>
      </c>
      <c r="F32" s="205">
        <v>4300</v>
      </c>
      <c r="G32" s="206">
        <v>51</v>
      </c>
      <c r="H32" s="206">
        <v>12</v>
      </c>
      <c r="I32" s="206">
        <v>10</v>
      </c>
      <c r="J32" s="206">
        <v>1500</v>
      </c>
      <c r="K32" s="207"/>
      <c r="L32" s="207"/>
      <c r="M32" s="207"/>
      <c r="N32" s="207"/>
      <c r="O32" s="191">
        <f t="shared" si="0"/>
        <v>4.3231680000000008</v>
      </c>
      <c r="P32" s="75">
        <f t="shared" si="1"/>
        <v>5800</v>
      </c>
      <c r="Q32" s="76">
        <f t="shared" si="2"/>
        <v>5.8</v>
      </c>
      <c r="R32" s="185">
        <f t="shared" si="3"/>
        <v>5.8</v>
      </c>
      <c r="S32" s="62">
        <f>VLOOKUP(A32,[1]Index!$E:$M,8,)</f>
        <v>4517.9190004799993</v>
      </c>
      <c r="T32" s="77">
        <f t="shared" si="4"/>
        <v>-1282.0809995200007</v>
      </c>
      <c r="U32" s="78">
        <f t="shared" si="5"/>
        <v>-0.28377688917924115</v>
      </c>
      <c r="V32" s="79">
        <f t="shared" si="7"/>
        <v>0.72052800000000006</v>
      </c>
      <c r="W32" s="80">
        <f t="shared" si="6"/>
        <v>8.0496524770723674</v>
      </c>
      <c r="X32" s="53" t="s">
        <v>47</v>
      </c>
    </row>
    <row r="33" spans="1:24">
      <c r="A33" s="124" t="s">
        <v>83</v>
      </c>
      <c r="B33" s="208" t="s">
        <v>44</v>
      </c>
      <c r="C33" s="205">
        <v>86</v>
      </c>
      <c r="D33" s="205">
        <v>46</v>
      </c>
      <c r="E33" s="205">
        <v>5</v>
      </c>
      <c r="F33" s="205">
        <v>4700</v>
      </c>
      <c r="G33" s="206">
        <v>51</v>
      </c>
      <c r="H33" s="206">
        <v>12</v>
      </c>
      <c r="I33" s="206">
        <v>10</v>
      </c>
      <c r="J33" s="206">
        <v>1500</v>
      </c>
      <c r="K33" s="207"/>
      <c r="L33" s="207"/>
      <c r="M33" s="207"/>
      <c r="N33" s="207"/>
      <c r="O33" s="191">
        <f t="shared" si="0"/>
        <v>5.4887280000000001</v>
      </c>
      <c r="P33" s="75">
        <f t="shared" si="1"/>
        <v>6200</v>
      </c>
      <c r="Q33" s="76">
        <f t="shared" si="2"/>
        <v>6.2</v>
      </c>
      <c r="R33" s="185">
        <f t="shared" si="3"/>
        <v>6.2</v>
      </c>
      <c r="S33" s="62">
        <f>VLOOKUP(A33,[1]Index!$E:$M,8,)</f>
        <v>3843.35032</v>
      </c>
      <c r="T33" s="77">
        <f t="shared" si="4"/>
        <v>-2356.64968</v>
      </c>
      <c r="U33" s="78">
        <f t="shared" si="5"/>
        <v>-0.61317587099372195</v>
      </c>
      <c r="V33" s="79">
        <f t="shared" si="7"/>
        <v>0.91478799999999993</v>
      </c>
      <c r="W33" s="80">
        <f t="shared" si="6"/>
        <v>6.777526596326144</v>
      </c>
      <c r="X33" s="53" t="s">
        <v>47</v>
      </c>
    </row>
    <row r="34" spans="1:24">
      <c r="A34" s="124" t="s">
        <v>84</v>
      </c>
      <c r="B34" s="208" t="s">
        <v>44</v>
      </c>
      <c r="C34" s="205">
        <v>100</v>
      </c>
      <c r="D34" s="205">
        <v>50</v>
      </c>
      <c r="E34" s="205">
        <v>4</v>
      </c>
      <c r="F34" s="205">
        <v>8900</v>
      </c>
      <c r="G34" s="206">
        <v>51</v>
      </c>
      <c r="H34" s="206">
        <v>12</v>
      </c>
      <c r="I34" s="206">
        <v>10</v>
      </c>
      <c r="J34" s="206">
        <v>1500</v>
      </c>
      <c r="K34" s="207"/>
      <c r="L34" s="207"/>
      <c r="M34" s="207"/>
      <c r="N34" s="207"/>
      <c r="O34" s="191">
        <f t="shared" si="0"/>
        <v>5.5353504000000004</v>
      </c>
      <c r="P34" s="75">
        <f t="shared" si="1"/>
        <v>10400</v>
      </c>
      <c r="Q34" s="76">
        <f t="shared" si="2"/>
        <v>10.4</v>
      </c>
      <c r="R34" s="185">
        <f t="shared" si="3"/>
        <v>10.4</v>
      </c>
      <c r="S34" s="62">
        <f>VLOOKUP(A34,[1]Index!$E:$M,8,)</f>
        <v>5208.6044400000001</v>
      </c>
      <c r="T34" s="77">
        <f t="shared" si="4"/>
        <v>-5191.3955599999999</v>
      </c>
      <c r="U34" s="78">
        <f t="shared" si="5"/>
        <v>-0.99669606701790547</v>
      </c>
      <c r="V34" s="79">
        <f t="shared" si="7"/>
        <v>0.9225584</v>
      </c>
      <c r="W34" s="80">
        <f t="shared" si="6"/>
        <v>11.272999086019921</v>
      </c>
      <c r="X34" s="53" t="s">
        <v>352</v>
      </c>
    </row>
    <row r="35" spans="1:24">
      <c r="A35" s="124" t="s">
        <v>85</v>
      </c>
      <c r="B35" s="208" t="s">
        <v>56</v>
      </c>
      <c r="C35" s="205">
        <v>85</v>
      </c>
      <c r="D35" s="205">
        <v>45</v>
      </c>
      <c r="E35" s="205">
        <v>6</v>
      </c>
      <c r="F35" s="205">
        <v>10700</v>
      </c>
      <c r="G35" s="206">
        <v>51</v>
      </c>
      <c r="H35" s="206">
        <v>12</v>
      </c>
      <c r="I35" s="206">
        <v>10</v>
      </c>
      <c r="J35" s="206">
        <v>1500</v>
      </c>
      <c r="K35" s="207"/>
      <c r="L35" s="207"/>
      <c r="M35" s="207"/>
      <c r="N35" s="207"/>
      <c r="O35" s="191">
        <f t="shared" si="0"/>
        <v>6.1605143999999994</v>
      </c>
      <c r="P35" s="75">
        <f t="shared" si="1"/>
        <v>12200</v>
      </c>
      <c r="Q35" s="76">
        <f t="shared" si="2"/>
        <v>12.2</v>
      </c>
      <c r="R35" s="185">
        <f t="shared" si="3"/>
        <v>12.2</v>
      </c>
      <c r="S35" s="62">
        <f>VLOOKUP(A35,[1]Index!$E:$M,8,)</f>
        <v>10756.615912551324</v>
      </c>
      <c r="T35" s="77">
        <f t="shared" si="4"/>
        <v>-1443.3840874486759</v>
      </c>
      <c r="U35" s="78">
        <f t="shared" si="5"/>
        <v>-0.13418570479628891</v>
      </c>
      <c r="V35" s="79">
        <f t="shared" si="7"/>
        <v>1.0267523999999999</v>
      </c>
      <c r="W35" s="80">
        <f t="shared" si="6"/>
        <v>11.882124648552075</v>
      </c>
      <c r="X35" s="53" t="s">
        <v>352</v>
      </c>
    </row>
    <row r="36" spans="1:24">
      <c r="A36" s="124" t="s">
        <v>86</v>
      </c>
      <c r="B36" s="208" t="s">
        <v>56</v>
      </c>
      <c r="C36" s="205">
        <v>76</v>
      </c>
      <c r="D36" s="205">
        <v>76</v>
      </c>
      <c r="E36" s="205">
        <v>6</v>
      </c>
      <c r="F36" s="205">
        <v>13560</v>
      </c>
      <c r="G36" s="206"/>
      <c r="H36" s="206"/>
      <c r="I36" s="206"/>
      <c r="J36" s="206"/>
      <c r="K36" s="207"/>
      <c r="L36" s="207"/>
      <c r="M36" s="207"/>
      <c r="N36" s="207"/>
      <c r="O36" s="191">
        <f t="shared" si="0"/>
        <v>7.3442995199999999</v>
      </c>
      <c r="P36" s="75">
        <f t="shared" si="1"/>
        <v>13560</v>
      </c>
      <c r="Q36" s="76">
        <f t="shared" si="2"/>
        <v>13.56</v>
      </c>
      <c r="R36" s="185">
        <f t="shared" si="3"/>
        <v>13.56</v>
      </c>
      <c r="S36" s="62">
        <f>VLOOKUP(A36,[1]Index!$E:$M,8,)</f>
        <v>14621.767223440002</v>
      </c>
      <c r="T36" s="77">
        <f t="shared" si="4"/>
        <v>1061.7672234400015</v>
      </c>
      <c r="U36" s="78">
        <f t="shared" si="5"/>
        <v>7.2615519534320966E-2</v>
      </c>
      <c r="V36" s="79">
        <f t="shared" si="7"/>
        <v>1.2240499199999999</v>
      </c>
      <c r="W36" s="80">
        <f t="shared" si="6"/>
        <v>11.077979564755008</v>
      </c>
      <c r="X36" s="53" t="s">
        <v>352</v>
      </c>
    </row>
    <row r="37" spans="1:24">
      <c r="A37" s="124" t="s">
        <v>87</v>
      </c>
      <c r="B37" s="208" t="s">
        <v>56</v>
      </c>
      <c r="C37" s="205">
        <v>85</v>
      </c>
      <c r="D37" s="205">
        <v>48</v>
      </c>
      <c r="E37" s="205">
        <v>8</v>
      </c>
      <c r="F37" s="205">
        <v>11500</v>
      </c>
      <c r="G37" s="206"/>
      <c r="H37" s="206"/>
      <c r="I37" s="206"/>
      <c r="J37" s="206"/>
      <c r="K37" s="207"/>
      <c r="L37" s="207"/>
      <c r="M37" s="207"/>
      <c r="N37" s="207"/>
      <c r="O37" s="191">
        <f t="shared" si="0"/>
        <v>6.9170688</v>
      </c>
      <c r="P37" s="75">
        <f t="shared" si="1"/>
        <v>11500</v>
      </c>
      <c r="Q37" s="76">
        <f t="shared" si="2"/>
        <v>11.5</v>
      </c>
      <c r="R37" s="185">
        <f t="shared" si="3"/>
        <v>11.5</v>
      </c>
      <c r="S37" s="62">
        <f>VLOOKUP(A37,[1]Index!$E:$M,8,)</f>
        <v>11287.168901329636</v>
      </c>
      <c r="T37" s="77">
        <f t="shared" si="4"/>
        <v>-212.83109867036364</v>
      </c>
      <c r="U37" s="78">
        <f t="shared" si="5"/>
        <v>-1.8856021428481681E-2</v>
      </c>
      <c r="V37" s="79">
        <f t="shared" si="7"/>
        <v>1.1528448</v>
      </c>
      <c r="W37" s="80">
        <f t="shared" si="6"/>
        <v>9.9753236515444232</v>
      </c>
      <c r="X37" s="53" t="s">
        <v>45</v>
      </c>
    </row>
    <row r="38" spans="1:24">
      <c r="A38" s="124" t="s">
        <v>88</v>
      </c>
      <c r="B38" s="208" t="s">
        <v>56</v>
      </c>
      <c r="C38" s="205">
        <v>105</v>
      </c>
      <c r="D38" s="205">
        <v>65</v>
      </c>
      <c r="E38" s="205">
        <v>4</v>
      </c>
      <c r="F38" s="205">
        <v>96400</v>
      </c>
      <c r="G38" s="206"/>
      <c r="H38" s="206"/>
      <c r="I38" s="206"/>
      <c r="J38" s="206"/>
      <c r="K38" s="207"/>
      <c r="L38" s="207"/>
      <c r="M38" s="207"/>
      <c r="N38" s="207"/>
      <c r="O38" s="191">
        <f t="shared" si="0"/>
        <v>5.7854160000000006</v>
      </c>
      <c r="P38" s="75">
        <f t="shared" si="1"/>
        <v>96400</v>
      </c>
      <c r="Q38" s="76">
        <f t="shared" si="2"/>
        <v>96.4</v>
      </c>
      <c r="R38" s="185">
        <f t="shared" si="3"/>
        <v>96.4</v>
      </c>
      <c r="S38" s="62">
        <f>VLOOKUP(A38,[1]Index!$E:$M,8,)</f>
        <v>8466.6325268890414</v>
      </c>
      <c r="T38" s="77">
        <f t="shared" si="4"/>
        <v>-87933.367473110964</v>
      </c>
      <c r="U38" s="78">
        <f t="shared" si="5"/>
        <v>-10.385872682420644</v>
      </c>
      <c r="V38" s="79">
        <f t="shared" si="7"/>
        <v>0.96423600000000009</v>
      </c>
      <c r="W38" s="80">
        <f t="shared" si="6"/>
        <v>99.975524664086379</v>
      </c>
      <c r="X38" s="53" t="s">
        <v>45</v>
      </c>
    </row>
    <row r="39" spans="1:24" ht="12.4" customHeight="1">
      <c r="A39" s="124" t="s">
        <v>89</v>
      </c>
      <c r="B39" s="208" t="s">
        <v>56</v>
      </c>
      <c r="C39" s="205">
        <v>100</v>
      </c>
      <c r="D39" s="205">
        <v>50</v>
      </c>
      <c r="E39" s="205">
        <v>5</v>
      </c>
      <c r="F39" s="205">
        <v>8800</v>
      </c>
      <c r="G39" s="206"/>
      <c r="H39" s="206"/>
      <c r="I39" s="206"/>
      <c r="J39" s="206"/>
      <c r="K39" s="207"/>
      <c r="L39" s="207"/>
      <c r="M39" s="207"/>
      <c r="N39" s="207"/>
      <c r="O39" s="191">
        <f t="shared" si="0"/>
        <v>5.298</v>
      </c>
      <c r="P39" s="75">
        <f t="shared" si="1"/>
        <v>8800</v>
      </c>
      <c r="Q39" s="76">
        <f t="shared" si="2"/>
        <v>8.8000000000000007</v>
      </c>
      <c r="R39" s="185">
        <f t="shared" si="3"/>
        <v>8.8000000000000007</v>
      </c>
      <c r="S39" s="62">
        <f>VLOOKUP(A39,[1]Index!$E:$M,8,)</f>
        <v>8494.1627246324952</v>
      </c>
      <c r="T39" s="77">
        <f t="shared" si="4"/>
        <v>-305.83727536750484</v>
      </c>
      <c r="U39" s="78">
        <f t="shared" si="5"/>
        <v>-3.6005582337220537E-2</v>
      </c>
      <c r="V39" s="79">
        <f t="shared" si="7"/>
        <v>0.88300000000000001</v>
      </c>
      <c r="W39" s="80">
        <f t="shared" si="6"/>
        <v>9.9660249150622882</v>
      </c>
      <c r="X39" s="53" t="s">
        <v>45</v>
      </c>
    </row>
    <row r="40" spans="1:24">
      <c r="A40" s="124" t="s">
        <v>91</v>
      </c>
      <c r="B40" s="208" t="s">
        <v>56</v>
      </c>
      <c r="C40" s="205">
        <v>79</v>
      </c>
      <c r="D40" s="205">
        <v>66</v>
      </c>
      <c r="E40" s="205">
        <v>8</v>
      </c>
      <c r="F40" s="205">
        <v>11800</v>
      </c>
      <c r="G40" s="206"/>
      <c r="H40" s="206"/>
      <c r="I40" s="206"/>
      <c r="J40" s="206"/>
      <c r="K40" s="207"/>
      <c r="L40" s="207"/>
      <c r="M40" s="207"/>
      <c r="N40" s="207"/>
      <c r="O40" s="191">
        <f t="shared" si="0"/>
        <v>8.8396070399999989</v>
      </c>
      <c r="P40" s="75">
        <f t="shared" si="1"/>
        <v>11800</v>
      </c>
      <c r="Q40" s="76">
        <f t="shared" si="2"/>
        <v>11.8</v>
      </c>
      <c r="R40" s="185">
        <f t="shared" si="3"/>
        <v>11.8</v>
      </c>
      <c r="S40" s="62">
        <f>VLOOKUP(A40,[1]Index!$E:$M,8,)</f>
        <v>11447.543830796587</v>
      </c>
      <c r="T40" s="77">
        <f t="shared" si="4"/>
        <v>-352.45616920341308</v>
      </c>
      <c r="U40" s="78">
        <f t="shared" si="5"/>
        <v>-3.0788802769658154E-2</v>
      </c>
      <c r="V40" s="79">
        <f t="shared" si="7"/>
        <v>1.4732678399999999</v>
      </c>
      <c r="W40" s="80">
        <f t="shared" si="6"/>
        <v>8.0094058117769009</v>
      </c>
      <c r="X40" s="53" t="s">
        <v>352</v>
      </c>
    </row>
    <row r="41" spans="1:24" ht="12.4" customHeight="1">
      <c r="A41" s="124" t="s">
        <v>93</v>
      </c>
      <c r="B41" s="208" t="s">
        <v>56</v>
      </c>
      <c r="C41" s="205">
        <v>97</v>
      </c>
      <c r="D41" s="205">
        <v>45</v>
      </c>
      <c r="E41" s="205">
        <v>8</v>
      </c>
      <c r="F41" s="205">
        <v>12200</v>
      </c>
      <c r="G41" s="206"/>
      <c r="H41" s="206"/>
      <c r="I41" s="206"/>
      <c r="J41" s="206"/>
      <c r="K41" s="207"/>
      <c r="L41" s="207"/>
      <c r="M41" s="207"/>
      <c r="N41" s="207"/>
      <c r="O41" s="191">
        <f t="shared" si="0"/>
        <v>7.4002464000000003</v>
      </c>
      <c r="P41" s="75">
        <f t="shared" si="1"/>
        <v>12200</v>
      </c>
      <c r="Q41" s="76">
        <f t="shared" si="2"/>
        <v>12.2</v>
      </c>
      <c r="R41" s="185">
        <f t="shared" si="3"/>
        <v>12.2</v>
      </c>
      <c r="S41" s="62">
        <f>VLOOKUP(A41,[1]Index!$E:$M,8,)</f>
        <v>12000</v>
      </c>
      <c r="T41" s="77">
        <f t="shared" si="4"/>
        <v>-200</v>
      </c>
      <c r="U41" s="78">
        <f t="shared" si="5"/>
        <v>-1.6666666666666666E-2</v>
      </c>
      <c r="V41" s="79">
        <f t="shared" si="7"/>
        <v>1.2333744</v>
      </c>
      <c r="W41" s="80">
        <f t="shared" si="6"/>
        <v>9.8915625295936085</v>
      </c>
      <c r="X41" s="53" t="s">
        <v>45</v>
      </c>
    </row>
    <row r="42" spans="1:24">
      <c r="A42" s="124" t="s">
        <v>94</v>
      </c>
      <c r="B42" s="208" t="s">
        <v>56</v>
      </c>
      <c r="C42" s="205">
        <v>110</v>
      </c>
      <c r="D42" s="205">
        <v>50</v>
      </c>
      <c r="E42" s="205">
        <v>5</v>
      </c>
      <c r="F42" s="205">
        <v>12750</v>
      </c>
      <c r="G42" s="206"/>
      <c r="H42" s="206"/>
      <c r="I42" s="206"/>
      <c r="J42" s="206"/>
      <c r="K42" s="207"/>
      <c r="L42" s="207"/>
      <c r="M42" s="207"/>
      <c r="N42" s="207"/>
      <c r="O42" s="191">
        <f t="shared" si="0"/>
        <v>5.8277999999999999</v>
      </c>
      <c r="P42" s="75">
        <f t="shared" si="1"/>
        <v>12750</v>
      </c>
      <c r="Q42" s="76">
        <f t="shared" si="2"/>
        <v>12.75</v>
      </c>
      <c r="R42" s="185">
        <f t="shared" si="3"/>
        <v>12.75</v>
      </c>
      <c r="S42" s="62">
        <f>VLOOKUP(A42,[1]Index!$E:$M,8,)</f>
        <v>13032.699022000001</v>
      </c>
      <c r="T42" s="77">
        <f t="shared" si="4"/>
        <v>282.6990220000007</v>
      </c>
      <c r="U42" s="78">
        <f t="shared" si="5"/>
        <v>2.1691517737253602E-2</v>
      </c>
      <c r="V42" s="79">
        <f t="shared" si="7"/>
        <v>0.97130000000000005</v>
      </c>
      <c r="W42" s="80">
        <f t="shared" si="6"/>
        <v>13.12673736229795</v>
      </c>
      <c r="X42" s="53" t="s">
        <v>45</v>
      </c>
    </row>
    <row r="43" spans="1:24">
      <c r="A43" s="124" t="s">
        <v>96</v>
      </c>
      <c r="B43" s="208" t="s">
        <v>56</v>
      </c>
      <c r="C43" s="205">
        <v>88</v>
      </c>
      <c r="D43" s="205">
        <v>45</v>
      </c>
      <c r="E43" s="205">
        <v>9</v>
      </c>
      <c r="F43" s="205">
        <v>15400</v>
      </c>
      <c r="G43" s="206"/>
      <c r="H43" s="206"/>
      <c r="I43" s="206"/>
      <c r="J43" s="206"/>
      <c r="K43" s="207"/>
      <c r="L43" s="207"/>
      <c r="M43" s="207"/>
      <c r="N43" s="207"/>
      <c r="O43" s="191">
        <f t="shared" si="0"/>
        <v>7.5528287999999986</v>
      </c>
      <c r="P43" s="75">
        <f t="shared" si="1"/>
        <v>15400</v>
      </c>
      <c r="Q43" s="76">
        <f t="shared" si="2"/>
        <v>15.4</v>
      </c>
      <c r="R43" s="185">
        <f t="shared" si="3"/>
        <v>15.4</v>
      </c>
      <c r="S43" s="62">
        <f>VLOOKUP(A43,[1]Index!$E:$M,8,)</f>
        <v>15171.843423497628</v>
      </c>
      <c r="T43" s="77">
        <f t="shared" si="4"/>
        <v>-228.15657650237154</v>
      </c>
      <c r="U43" s="78">
        <f t="shared" si="5"/>
        <v>-1.5038157864785929E-2</v>
      </c>
      <c r="V43" s="79">
        <f t="shared" si="7"/>
        <v>1.2588047999999998</v>
      </c>
      <c r="W43" s="80">
        <f t="shared" si="6"/>
        <v>12.2338268808635</v>
      </c>
      <c r="X43" s="53" t="s">
        <v>352</v>
      </c>
    </row>
    <row r="44" spans="1:24">
      <c r="A44" s="124" t="s">
        <v>100</v>
      </c>
      <c r="B44" s="208" t="s">
        <v>56</v>
      </c>
      <c r="C44" s="205">
        <v>67</v>
      </c>
      <c r="D44" s="205">
        <v>40</v>
      </c>
      <c r="E44" s="205">
        <v>4</v>
      </c>
      <c r="F44" s="205">
        <v>5350</v>
      </c>
      <c r="G44" s="206"/>
      <c r="H44" s="206"/>
      <c r="I44" s="206"/>
      <c r="J44" s="206"/>
      <c r="K44" s="207"/>
      <c r="L44" s="207"/>
      <c r="M44" s="207"/>
      <c r="N44" s="207"/>
      <c r="O44" s="191">
        <f t="shared" si="0"/>
        <v>2.2717824000000002</v>
      </c>
      <c r="P44" s="75">
        <f t="shared" si="1"/>
        <v>5350</v>
      </c>
      <c r="Q44" s="76">
        <f t="shared" si="2"/>
        <v>5.35</v>
      </c>
      <c r="R44" s="185">
        <f t="shared" si="3"/>
        <v>5.35</v>
      </c>
      <c r="S44" s="62">
        <f>VLOOKUP(A44,[1]Index!$E:$M,8,)</f>
        <v>6383.7605639999992</v>
      </c>
      <c r="T44" s="77">
        <f t="shared" si="4"/>
        <v>1033.7605639999992</v>
      </c>
      <c r="U44" s="78">
        <f t="shared" si="5"/>
        <v>0.16193598641993168</v>
      </c>
      <c r="V44" s="79">
        <f t="shared" si="7"/>
        <v>0.37863040000000003</v>
      </c>
      <c r="W44" s="80">
        <f t="shared" si="6"/>
        <v>14.12987441050692</v>
      </c>
      <c r="X44" s="53" t="s">
        <v>45</v>
      </c>
    </row>
    <row r="45" spans="1:24">
      <c r="A45" s="124" t="s">
        <v>101</v>
      </c>
      <c r="B45" s="208" t="s">
        <v>56</v>
      </c>
      <c r="C45" s="205">
        <v>85</v>
      </c>
      <c r="D45" s="205">
        <v>85</v>
      </c>
      <c r="E45" s="205">
        <v>5</v>
      </c>
      <c r="F45" s="205">
        <v>9920</v>
      </c>
      <c r="G45" s="206"/>
      <c r="H45" s="206"/>
      <c r="I45" s="206"/>
      <c r="J45" s="206"/>
      <c r="K45" s="207"/>
      <c r="L45" s="207"/>
      <c r="M45" s="207"/>
      <c r="N45" s="207"/>
      <c r="O45" s="191">
        <f t="shared" si="0"/>
        <v>7.6556099999999994</v>
      </c>
      <c r="P45" s="75">
        <f t="shared" si="1"/>
        <v>9920</v>
      </c>
      <c r="Q45" s="76">
        <f t="shared" si="2"/>
        <v>9.92</v>
      </c>
      <c r="R45" s="185">
        <f t="shared" si="3"/>
        <v>9.92</v>
      </c>
      <c r="S45" s="62">
        <f>VLOOKUP(A45,[1]Index!$E:$M,8,)</f>
        <v>10388.341954032914</v>
      </c>
      <c r="T45" s="77">
        <f t="shared" si="4"/>
        <v>468.34195403291415</v>
      </c>
      <c r="U45" s="78">
        <f t="shared" si="5"/>
        <v>4.5083417171408818E-2</v>
      </c>
      <c r="V45" s="79">
        <f t="shared" si="7"/>
        <v>1.2759349999999998</v>
      </c>
      <c r="W45" s="80">
        <f t="shared" si="6"/>
        <v>7.7746907170036099</v>
      </c>
      <c r="X45" s="53" t="s">
        <v>45</v>
      </c>
    </row>
    <row r="46" spans="1:24">
      <c r="A46" s="124" t="s">
        <v>102</v>
      </c>
      <c r="B46" s="208" t="s">
        <v>56</v>
      </c>
      <c r="C46" s="205">
        <v>157</v>
      </c>
      <c r="D46" s="205">
        <v>82</v>
      </c>
      <c r="E46" s="205">
        <v>6</v>
      </c>
      <c r="F46" s="205">
        <v>18350</v>
      </c>
      <c r="G46" s="206"/>
      <c r="H46" s="206"/>
      <c r="I46" s="206"/>
      <c r="J46" s="206"/>
      <c r="K46" s="207"/>
      <c r="L46" s="207"/>
      <c r="M46" s="207"/>
      <c r="N46" s="207"/>
      <c r="O46" s="191">
        <f t="shared" si="0"/>
        <v>16.369548479999999</v>
      </c>
      <c r="P46" s="75">
        <f t="shared" si="1"/>
        <v>18350</v>
      </c>
      <c r="Q46" s="76">
        <f t="shared" si="2"/>
        <v>18.350000000000001</v>
      </c>
      <c r="R46" s="185">
        <f t="shared" si="3"/>
        <v>18.350000000000001</v>
      </c>
      <c r="S46" s="62">
        <f>VLOOKUP(A46,[1]Index!$E:$M,8,)</f>
        <v>16426.759499999996</v>
      </c>
      <c r="T46" s="77">
        <f t="shared" si="4"/>
        <v>-1923.2405000000035</v>
      </c>
      <c r="U46" s="78">
        <f t="shared" si="5"/>
        <v>-0.11707972591916281</v>
      </c>
      <c r="V46" s="79">
        <f t="shared" si="7"/>
        <v>2.7282580799999998</v>
      </c>
      <c r="W46" s="80">
        <f t="shared" si="6"/>
        <v>6.7259032913777723</v>
      </c>
      <c r="X46" s="53" t="s">
        <v>352</v>
      </c>
    </row>
    <row r="47" spans="1:24">
      <c r="A47" s="124" t="s">
        <v>103</v>
      </c>
      <c r="B47" s="208" t="s">
        <v>56</v>
      </c>
      <c r="C47" s="205">
        <v>116</v>
      </c>
      <c r="D47" s="205">
        <v>40</v>
      </c>
      <c r="E47" s="205">
        <v>6</v>
      </c>
      <c r="F47" s="205">
        <v>6000</v>
      </c>
      <c r="G47" s="206"/>
      <c r="H47" s="206"/>
      <c r="I47" s="206"/>
      <c r="J47" s="206"/>
      <c r="K47" s="207"/>
      <c r="L47" s="207"/>
      <c r="M47" s="207"/>
      <c r="N47" s="207"/>
      <c r="O47" s="191">
        <f t="shared" si="0"/>
        <v>5.8998527999999997</v>
      </c>
      <c r="P47" s="75">
        <f t="shared" si="1"/>
        <v>6000</v>
      </c>
      <c r="Q47" s="76">
        <f t="shared" si="2"/>
        <v>6</v>
      </c>
      <c r="R47" s="185">
        <f t="shared" si="3"/>
        <v>6</v>
      </c>
      <c r="S47" s="62">
        <f>VLOOKUP(A47,[1]Index!$E:$M,8,)</f>
        <v>5647.0581513415063</v>
      </c>
      <c r="T47" s="77">
        <f t="shared" si="4"/>
        <v>-352.94184865849365</v>
      </c>
      <c r="U47" s="78">
        <f t="shared" si="5"/>
        <v>-6.2500126472869649E-2</v>
      </c>
      <c r="V47" s="79">
        <f t="shared" si="7"/>
        <v>0.98330879999999998</v>
      </c>
      <c r="W47" s="80">
        <f t="shared" si="6"/>
        <v>6.1018471511696024</v>
      </c>
      <c r="X47" s="53" t="s">
        <v>45</v>
      </c>
    </row>
    <row r="48" spans="1:24">
      <c r="A48" s="124" t="s">
        <v>105</v>
      </c>
      <c r="B48" s="208" t="s">
        <v>56</v>
      </c>
      <c r="C48" s="205">
        <v>85</v>
      </c>
      <c r="D48" s="205">
        <v>35</v>
      </c>
      <c r="E48" s="205">
        <v>7</v>
      </c>
      <c r="F48" s="205">
        <v>3700</v>
      </c>
      <c r="G48" s="206"/>
      <c r="H48" s="206"/>
      <c r="I48" s="206"/>
      <c r="J48" s="206"/>
      <c r="K48" s="207"/>
      <c r="L48" s="207"/>
      <c r="M48" s="207"/>
      <c r="N48" s="207"/>
      <c r="O48" s="191">
        <f t="shared" si="0"/>
        <v>4.4132339999999992</v>
      </c>
      <c r="P48" s="75">
        <f t="shared" si="1"/>
        <v>3700</v>
      </c>
      <c r="Q48" s="76">
        <f t="shared" si="2"/>
        <v>3.7</v>
      </c>
      <c r="R48" s="185">
        <f t="shared" si="3"/>
        <v>4.4132339999999992</v>
      </c>
      <c r="S48" s="62">
        <f>VLOOKUP(A48,[1]Index!$E:$M,8,)</f>
        <v>3092.7503159999997</v>
      </c>
      <c r="T48" s="77">
        <f t="shared" si="4"/>
        <v>-607.24968400000034</v>
      </c>
      <c r="U48" s="78">
        <f t="shared" si="5"/>
        <v>-0.19634617151551539</v>
      </c>
      <c r="V48" s="79">
        <f t="shared" si="7"/>
        <v>0.73553899999999994</v>
      </c>
      <c r="W48" s="80">
        <f t="shared" si="6"/>
        <v>5.0303247006616925</v>
      </c>
      <c r="X48" s="53" t="s">
        <v>45</v>
      </c>
    </row>
    <row r="49" spans="1:24">
      <c r="A49" s="124" t="s">
        <v>106</v>
      </c>
      <c r="B49" s="208" t="s">
        <v>56</v>
      </c>
      <c r="C49" s="205">
        <v>30</v>
      </c>
      <c r="D49" s="205">
        <v>29</v>
      </c>
      <c r="E49" s="205">
        <v>4</v>
      </c>
      <c r="F49" s="205">
        <v>1400</v>
      </c>
      <c r="G49" s="206"/>
      <c r="H49" s="206"/>
      <c r="I49" s="206"/>
      <c r="J49" s="206"/>
      <c r="K49" s="207"/>
      <c r="L49" s="207"/>
      <c r="M49" s="207"/>
      <c r="N49" s="207"/>
      <c r="O49" s="191">
        <f t="shared" si="0"/>
        <v>0.73748159999999996</v>
      </c>
      <c r="P49" s="75">
        <f t="shared" si="1"/>
        <v>1400</v>
      </c>
      <c r="Q49" s="76">
        <f t="shared" si="2"/>
        <v>1.4</v>
      </c>
      <c r="R49" s="185">
        <f t="shared" si="3"/>
        <v>1.4</v>
      </c>
      <c r="S49" s="62">
        <f>VLOOKUP(A49,[1]Index!$E:$M,8,)</f>
        <v>329.12391059612713</v>
      </c>
      <c r="T49" s="77">
        <f t="shared" si="4"/>
        <v>-1070.8760894038728</v>
      </c>
      <c r="U49" s="78">
        <f t="shared" si="5"/>
        <v>-3.2537170801849182</v>
      </c>
      <c r="V49" s="79">
        <f t="shared" si="7"/>
        <v>0.1229136</v>
      </c>
      <c r="W49" s="80">
        <f t="shared" si="6"/>
        <v>11.390114682183256</v>
      </c>
      <c r="X49" s="53" t="s">
        <v>354</v>
      </c>
    </row>
    <row r="50" spans="1:24">
      <c r="A50" s="124" t="s">
        <v>110</v>
      </c>
      <c r="B50" s="208" t="s">
        <v>56</v>
      </c>
      <c r="C50" s="205">
        <v>35</v>
      </c>
      <c r="D50" s="205">
        <v>32</v>
      </c>
      <c r="E50" s="205">
        <v>6</v>
      </c>
      <c r="F50" s="205">
        <v>900</v>
      </c>
      <c r="G50" s="206"/>
      <c r="H50" s="206"/>
      <c r="I50" s="206"/>
      <c r="J50" s="206"/>
      <c r="K50" s="207"/>
      <c r="L50" s="207"/>
      <c r="M50" s="207"/>
      <c r="N50" s="207"/>
      <c r="O50" s="191">
        <f t="shared" si="0"/>
        <v>1.4241024000000002</v>
      </c>
      <c r="P50" s="75">
        <f t="shared" si="1"/>
        <v>900</v>
      </c>
      <c r="Q50" s="76">
        <f t="shared" si="2"/>
        <v>0.9</v>
      </c>
      <c r="R50" s="185">
        <f t="shared" si="3"/>
        <v>1.4241024000000002</v>
      </c>
      <c r="S50" s="62">
        <f>VLOOKUP(A50,[1]Index!$E:$M,8,)</f>
        <v>130.38297599999999</v>
      </c>
      <c r="T50" s="77">
        <f t="shared" si="4"/>
        <v>-769.61702400000001</v>
      </c>
      <c r="U50" s="78">
        <f t="shared" si="5"/>
        <v>-5.9027416585429071</v>
      </c>
      <c r="V50" s="79">
        <f t="shared" si="7"/>
        <v>0.23735040000000002</v>
      </c>
      <c r="W50" s="80">
        <f t="shared" si="6"/>
        <v>3.7918621582268242</v>
      </c>
      <c r="X50" s="53" t="s">
        <v>45</v>
      </c>
    </row>
    <row r="51" spans="1:24">
      <c r="A51" s="124" t="s">
        <v>111</v>
      </c>
      <c r="B51" s="208" t="s">
        <v>56</v>
      </c>
      <c r="C51" s="205">
        <v>29</v>
      </c>
      <c r="D51" s="205">
        <v>20</v>
      </c>
      <c r="E51" s="205">
        <v>6</v>
      </c>
      <c r="F51" s="205">
        <v>800</v>
      </c>
      <c r="G51" s="206"/>
      <c r="H51" s="206"/>
      <c r="I51" s="206"/>
      <c r="J51" s="206"/>
      <c r="K51" s="207"/>
      <c r="L51" s="207"/>
      <c r="M51" s="207"/>
      <c r="N51" s="207"/>
      <c r="O51" s="191">
        <f t="shared" si="0"/>
        <v>0.73748159999999996</v>
      </c>
      <c r="P51" s="75">
        <f t="shared" si="1"/>
        <v>800</v>
      </c>
      <c r="Q51" s="76">
        <f t="shared" si="2"/>
        <v>0.8</v>
      </c>
      <c r="R51" s="185">
        <f t="shared" si="3"/>
        <v>0.8</v>
      </c>
      <c r="S51" s="62">
        <f>VLOOKUP(A51,[1]Index!$E:$M,8,)</f>
        <v>871.60714599999972</v>
      </c>
      <c r="T51" s="77">
        <f t="shared" si="4"/>
        <v>71.607145999999716</v>
      </c>
      <c r="U51" s="78">
        <f t="shared" si="5"/>
        <v>8.2155299355473319E-2</v>
      </c>
      <c r="V51" s="79">
        <f t="shared" si="7"/>
        <v>0.1229136</v>
      </c>
      <c r="W51" s="80">
        <f t="shared" si="6"/>
        <v>6.5086369612475758</v>
      </c>
      <c r="X51" s="53" t="s">
        <v>352</v>
      </c>
    </row>
    <row r="52" spans="1:24">
      <c r="A52" s="124" t="s">
        <v>112</v>
      </c>
      <c r="B52" s="208" t="s">
        <v>56</v>
      </c>
      <c r="C52" s="205">
        <v>24</v>
      </c>
      <c r="D52" s="205">
        <v>26</v>
      </c>
      <c r="E52" s="205">
        <v>5</v>
      </c>
      <c r="F52" s="205">
        <v>700</v>
      </c>
      <c r="G52" s="206"/>
      <c r="H52" s="206"/>
      <c r="I52" s="206"/>
      <c r="J52" s="206"/>
      <c r="K52" s="207"/>
      <c r="L52" s="207"/>
      <c r="M52" s="207"/>
      <c r="N52" s="207"/>
      <c r="O52" s="191">
        <f t="shared" si="0"/>
        <v>0.66119039999999996</v>
      </c>
      <c r="P52" s="75">
        <f t="shared" si="1"/>
        <v>700</v>
      </c>
      <c r="Q52" s="76">
        <f t="shared" si="2"/>
        <v>0.7</v>
      </c>
      <c r="R52" s="185">
        <f t="shared" si="3"/>
        <v>0.7</v>
      </c>
      <c r="S52" s="62">
        <f>VLOOKUP(A52,[1]Index!$E:$M,8,)</f>
        <v>469</v>
      </c>
      <c r="T52" s="77">
        <f t="shared" si="4"/>
        <v>-231</v>
      </c>
      <c r="U52" s="78">
        <f t="shared" si="5"/>
        <v>-0.4925373134328358</v>
      </c>
      <c r="V52" s="79">
        <f t="shared" si="7"/>
        <v>0.1101984</v>
      </c>
      <c r="W52" s="80">
        <f t="shared" si="6"/>
        <v>6.3521793419868162</v>
      </c>
      <c r="X52" s="53" t="s">
        <v>352</v>
      </c>
    </row>
    <row r="53" spans="1:24">
      <c r="A53" s="124" t="s">
        <v>113</v>
      </c>
      <c r="B53" s="208" t="s">
        <v>56</v>
      </c>
      <c r="C53" s="205">
        <v>34</v>
      </c>
      <c r="D53" s="205">
        <v>33</v>
      </c>
      <c r="E53" s="205">
        <v>6</v>
      </c>
      <c r="F53" s="205">
        <v>1350</v>
      </c>
      <c r="G53" s="206"/>
      <c r="H53" s="206"/>
      <c r="I53" s="206"/>
      <c r="J53" s="206"/>
      <c r="K53" s="207"/>
      <c r="L53" s="207"/>
      <c r="M53" s="207"/>
      <c r="N53" s="207"/>
      <c r="O53" s="191">
        <f t="shared" si="0"/>
        <v>1.4266454399999999</v>
      </c>
      <c r="P53" s="75">
        <f t="shared" si="1"/>
        <v>1350</v>
      </c>
      <c r="Q53" s="76">
        <f t="shared" si="2"/>
        <v>1.35</v>
      </c>
      <c r="R53" s="185">
        <f t="shared" si="3"/>
        <v>1.4266454399999999</v>
      </c>
      <c r="S53" s="62">
        <f>VLOOKUP(A53,[1]Index!$E:$M,8,)</f>
        <v>916</v>
      </c>
      <c r="T53" s="77">
        <f t="shared" si="4"/>
        <v>-434</v>
      </c>
      <c r="U53" s="78">
        <f t="shared" si="5"/>
        <v>-0.47379912663755458</v>
      </c>
      <c r="V53" s="79">
        <f t="shared" si="7"/>
        <v>0.23777424</v>
      </c>
      <c r="W53" s="80">
        <f t="shared" si="6"/>
        <v>5.6776545684679727</v>
      </c>
      <c r="X53" s="53" t="s">
        <v>352</v>
      </c>
    </row>
    <row r="54" spans="1:24">
      <c r="A54" s="124" t="s">
        <v>114</v>
      </c>
      <c r="B54" s="208" t="s">
        <v>56</v>
      </c>
      <c r="C54" s="205">
        <v>24</v>
      </c>
      <c r="D54" s="205">
        <v>11</v>
      </c>
      <c r="E54" s="205">
        <v>5</v>
      </c>
      <c r="F54" s="205">
        <v>300</v>
      </c>
      <c r="G54" s="206"/>
      <c r="H54" s="206"/>
      <c r="I54" s="206"/>
      <c r="J54" s="206"/>
      <c r="K54" s="207"/>
      <c r="L54" s="207"/>
      <c r="M54" s="207"/>
      <c r="N54" s="207"/>
      <c r="O54" s="191">
        <f t="shared" si="0"/>
        <v>0.27973439999999999</v>
      </c>
      <c r="P54" s="75">
        <f t="shared" si="1"/>
        <v>300</v>
      </c>
      <c r="Q54" s="76">
        <f t="shared" si="2"/>
        <v>0.3</v>
      </c>
      <c r="R54" s="185">
        <f t="shared" si="3"/>
        <v>0.3</v>
      </c>
      <c r="S54" s="62">
        <f>VLOOKUP(A54,[1]Index!$E:$M,8,)</f>
        <v>224</v>
      </c>
      <c r="T54" s="77">
        <f t="shared" si="4"/>
        <v>-76</v>
      </c>
      <c r="U54" s="78">
        <f t="shared" si="5"/>
        <v>-0.3392857142857143</v>
      </c>
      <c r="V54" s="79">
        <f t="shared" si="7"/>
        <v>4.6622400000000001E-2</v>
      </c>
      <c r="W54" s="80">
        <f t="shared" si="6"/>
        <v>6.4346751775970343</v>
      </c>
      <c r="X54" s="53" t="s">
        <v>352</v>
      </c>
    </row>
    <row r="55" spans="1:24">
      <c r="A55" s="124" t="s">
        <v>115</v>
      </c>
      <c r="B55" s="208" t="s">
        <v>56</v>
      </c>
      <c r="C55" s="205">
        <v>39</v>
      </c>
      <c r="D55" s="205">
        <v>30</v>
      </c>
      <c r="E55" s="205">
        <v>9</v>
      </c>
      <c r="F55" s="205">
        <v>3500</v>
      </c>
      <c r="G55" s="206"/>
      <c r="H55" s="206"/>
      <c r="I55" s="206"/>
      <c r="J55" s="206"/>
      <c r="K55" s="207"/>
      <c r="L55" s="207"/>
      <c r="M55" s="207"/>
      <c r="N55" s="207"/>
      <c r="O55" s="191">
        <f t="shared" si="0"/>
        <v>2.2315175999999997</v>
      </c>
      <c r="P55" s="75">
        <f t="shared" si="1"/>
        <v>3500</v>
      </c>
      <c r="Q55" s="76">
        <f t="shared" si="2"/>
        <v>3.5</v>
      </c>
      <c r="R55" s="185">
        <f t="shared" si="3"/>
        <v>3.5</v>
      </c>
      <c r="S55" s="62">
        <f>VLOOKUP(A55,[1]Index!$E:$M,8,)</f>
        <v>2321.5288605440001</v>
      </c>
      <c r="T55" s="77">
        <f t="shared" si="4"/>
        <v>-1178.4711394559999</v>
      </c>
      <c r="U55" s="78">
        <f t="shared" si="5"/>
        <v>-0.50762717598946872</v>
      </c>
      <c r="V55" s="79">
        <f t="shared" si="7"/>
        <v>0.37191959999999996</v>
      </c>
      <c r="W55" s="80">
        <f t="shared" si="6"/>
        <v>9.4106360622026912</v>
      </c>
      <c r="X55" s="53" t="s">
        <v>352</v>
      </c>
    </row>
    <row r="56" spans="1:24" ht="12.4" customHeight="1">
      <c r="A56" s="124" t="s">
        <v>116</v>
      </c>
      <c r="B56" s="208" t="s">
        <v>56</v>
      </c>
      <c r="C56" s="205">
        <v>58</v>
      </c>
      <c r="D56" s="205">
        <v>37</v>
      </c>
      <c r="E56" s="205">
        <v>10</v>
      </c>
      <c r="F56" s="205">
        <v>5700</v>
      </c>
      <c r="G56" s="206"/>
      <c r="H56" s="206"/>
      <c r="I56" s="206"/>
      <c r="J56" s="206"/>
      <c r="K56" s="207"/>
      <c r="L56" s="207"/>
      <c r="M56" s="207"/>
      <c r="N56" s="207"/>
      <c r="O56" s="191">
        <f t="shared" si="0"/>
        <v>4.5478031999999997</v>
      </c>
      <c r="P56" s="75">
        <f t="shared" si="1"/>
        <v>5700</v>
      </c>
      <c r="Q56" s="76">
        <f t="shared" si="2"/>
        <v>5.7</v>
      </c>
      <c r="R56" s="185">
        <f t="shared" si="3"/>
        <v>5.7</v>
      </c>
      <c r="S56" s="62">
        <f>VLOOKUP(A56,[1]Index!$E:$M,8,)</f>
        <v>3848.6409053440002</v>
      </c>
      <c r="T56" s="77">
        <f t="shared" si="4"/>
        <v>-1851.3590946559998</v>
      </c>
      <c r="U56" s="78">
        <f t="shared" si="5"/>
        <v>-0.48104230563192052</v>
      </c>
      <c r="V56" s="79">
        <f t="shared" si="7"/>
        <v>0.75796719999999995</v>
      </c>
      <c r="W56" s="80">
        <f t="shared" si="6"/>
        <v>7.520114326846862</v>
      </c>
      <c r="X56" s="53" t="s">
        <v>352</v>
      </c>
    </row>
    <row r="57" spans="1:24">
      <c r="A57" s="124" t="s">
        <v>117</v>
      </c>
      <c r="B57" s="208" t="s">
        <v>56</v>
      </c>
      <c r="C57" s="205">
        <v>25</v>
      </c>
      <c r="D57" s="205">
        <v>20</v>
      </c>
      <c r="E57" s="205">
        <v>5</v>
      </c>
      <c r="F57" s="205">
        <v>440</v>
      </c>
      <c r="G57" s="206"/>
      <c r="H57" s="206"/>
      <c r="I57" s="206"/>
      <c r="J57" s="206"/>
      <c r="K57" s="207"/>
      <c r="L57" s="207"/>
      <c r="M57" s="207"/>
      <c r="N57" s="207"/>
      <c r="O57" s="191">
        <f t="shared" si="0"/>
        <v>0.52980000000000005</v>
      </c>
      <c r="P57" s="75">
        <f t="shared" si="1"/>
        <v>440</v>
      </c>
      <c r="Q57" s="76">
        <f t="shared" si="2"/>
        <v>0.44</v>
      </c>
      <c r="R57" s="185">
        <f t="shared" si="3"/>
        <v>0.52980000000000005</v>
      </c>
      <c r="S57" s="62" t="e">
        <f>VLOOKUP(A57,[1]Index!$E:$M,8,)</f>
        <v>#N/A</v>
      </c>
      <c r="T57" s="77" t="e">
        <f t="shared" si="4"/>
        <v>#N/A</v>
      </c>
      <c r="U57" s="78" t="e">
        <f t="shared" si="5"/>
        <v>#N/A</v>
      </c>
      <c r="V57" s="79">
        <f t="shared" si="7"/>
        <v>8.8300000000000003E-2</v>
      </c>
      <c r="W57" s="80">
        <f t="shared" si="6"/>
        <v>4.9830124575311441</v>
      </c>
      <c r="X57" s="53" t="s">
        <v>352</v>
      </c>
    </row>
    <row r="58" spans="1:24">
      <c r="A58" s="124" t="s">
        <v>119</v>
      </c>
      <c r="B58" s="208" t="s">
        <v>56</v>
      </c>
      <c r="C58" s="205">
        <v>82</v>
      </c>
      <c r="D58" s="205">
        <v>30</v>
      </c>
      <c r="E58" s="205">
        <v>10</v>
      </c>
      <c r="F58" s="205">
        <v>8400</v>
      </c>
      <c r="G58" s="206"/>
      <c r="H58" s="206"/>
      <c r="I58" s="206"/>
      <c r="J58" s="206"/>
      <c r="K58" s="207"/>
      <c r="L58" s="207"/>
      <c r="M58" s="207"/>
      <c r="N58" s="207"/>
      <c r="O58" s="191">
        <f t="shared" si="0"/>
        <v>5.2132319999999996</v>
      </c>
      <c r="P58" s="75">
        <f t="shared" si="1"/>
        <v>8400</v>
      </c>
      <c r="Q58" s="76">
        <f t="shared" si="2"/>
        <v>8.4</v>
      </c>
      <c r="R58" s="185">
        <f t="shared" si="3"/>
        <v>8.4</v>
      </c>
      <c r="S58" s="62">
        <f>VLOOKUP(A58,[1]Index!$E:$M,8,)</f>
        <v>7660.9589589809584</v>
      </c>
      <c r="T58" s="77">
        <f t="shared" si="4"/>
        <v>-739.04104101904159</v>
      </c>
      <c r="U58" s="78">
        <f t="shared" si="5"/>
        <v>-9.6468476724139371E-2</v>
      </c>
      <c r="V58" s="79">
        <f t="shared" si="7"/>
        <v>0.86887199999999998</v>
      </c>
      <c r="W58" s="80">
        <f t="shared" si="6"/>
        <v>9.6677070960970095</v>
      </c>
      <c r="X58" s="53" t="s">
        <v>352</v>
      </c>
    </row>
    <row r="59" spans="1:24">
      <c r="A59" s="124" t="s">
        <v>126</v>
      </c>
      <c r="B59" s="208" t="s">
        <v>56</v>
      </c>
      <c r="C59" s="205">
        <v>23</v>
      </c>
      <c r="D59" s="205">
        <v>25</v>
      </c>
      <c r="E59" s="205">
        <v>11</v>
      </c>
      <c r="F59" s="205">
        <v>1100</v>
      </c>
      <c r="G59" s="206"/>
      <c r="H59" s="206"/>
      <c r="I59" s="206"/>
      <c r="J59" s="206"/>
      <c r="K59" s="207"/>
      <c r="L59" s="207"/>
      <c r="M59" s="207"/>
      <c r="N59" s="207"/>
      <c r="O59" s="191">
        <f t="shared" si="0"/>
        <v>1.3403939999999999</v>
      </c>
      <c r="P59" s="75">
        <f t="shared" si="1"/>
        <v>1100</v>
      </c>
      <c r="Q59" s="76">
        <f t="shared" si="2"/>
        <v>1.1000000000000001</v>
      </c>
      <c r="R59" s="185">
        <f t="shared" si="3"/>
        <v>1.3403939999999999</v>
      </c>
      <c r="S59" s="62">
        <f>VLOOKUP(A59,[1]Index!$E:$M,8,)</f>
        <v>879.81930799999986</v>
      </c>
      <c r="T59" s="77">
        <f t="shared" si="4"/>
        <v>-220.18069200000014</v>
      </c>
      <c r="U59" s="78">
        <f t="shared" si="5"/>
        <v>-0.25025671748499539</v>
      </c>
      <c r="V59" s="79">
        <f t="shared" si="7"/>
        <v>0.22339899999999999</v>
      </c>
      <c r="W59" s="80">
        <f t="shared" si="6"/>
        <v>4.9239253532916445</v>
      </c>
      <c r="X59" s="53" t="s">
        <v>47</v>
      </c>
    </row>
    <row r="60" spans="1:24">
      <c r="A60" s="124" t="s">
        <v>127</v>
      </c>
      <c r="B60" s="208" t="s">
        <v>56</v>
      </c>
      <c r="C60" s="205">
        <v>21</v>
      </c>
      <c r="D60" s="205">
        <v>21</v>
      </c>
      <c r="E60" s="205">
        <v>15</v>
      </c>
      <c r="F60" s="205">
        <v>9500</v>
      </c>
      <c r="G60" s="206"/>
      <c r="H60" s="206"/>
      <c r="I60" s="206"/>
      <c r="J60" s="206"/>
      <c r="K60" s="207"/>
      <c r="L60" s="207"/>
      <c r="M60" s="207"/>
      <c r="N60" s="207"/>
      <c r="O60" s="191">
        <f t="shared" si="0"/>
        <v>1.4018508000000001</v>
      </c>
      <c r="P60" s="75">
        <f t="shared" si="1"/>
        <v>9500</v>
      </c>
      <c r="Q60" s="76">
        <f t="shared" si="2"/>
        <v>9.5</v>
      </c>
      <c r="R60" s="185">
        <f t="shared" si="3"/>
        <v>9.5</v>
      </c>
      <c r="S60" s="62">
        <f>VLOOKUP(A60,[1]Index!$E:$M,8,)</f>
        <v>629.56397886518505</v>
      </c>
      <c r="T60" s="77">
        <f t="shared" si="4"/>
        <v>-8870.4360211348157</v>
      </c>
      <c r="U60" s="78">
        <f t="shared" si="5"/>
        <v>-14.089808691285263</v>
      </c>
      <c r="V60" s="79">
        <f t="shared" si="7"/>
        <v>0.23364180000000001</v>
      </c>
      <c r="W60" s="80">
        <f t="shared" si="6"/>
        <v>40.660532490333495</v>
      </c>
      <c r="X60" s="53" t="s">
        <v>47</v>
      </c>
    </row>
    <row r="61" spans="1:24">
      <c r="A61" s="124" t="s">
        <v>130</v>
      </c>
      <c r="B61" s="208" t="s">
        <v>56</v>
      </c>
      <c r="C61" s="205">
        <v>127</v>
      </c>
      <c r="D61" s="205">
        <v>51</v>
      </c>
      <c r="E61" s="205">
        <v>10</v>
      </c>
      <c r="F61" s="205">
        <v>26050</v>
      </c>
      <c r="G61" s="206"/>
      <c r="H61" s="206"/>
      <c r="I61" s="206"/>
      <c r="J61" s="206"/>
      <c r="K61" s="207"/>
      <c r="L61" s="207"/>
      <c r="M61" s="207"/>
      <c r="N61" s="207"/>
      <c r="O61" s="191">
        <f t="shared" si="0"/>
        <v>13.726058399999998</v>
      </c>
      <c r="P61" s="75">
        <f t="shared" si="1"/>
        <v>26050</v>
      </c>
      <c r="Q61" s="76">
        <f t="shared" si="2"/>
        <v>26.05</v>
      </c>
      <c r="R61" s="185">
        <f t="shared" si="3"/>
        <v>26.05</v>
      </c>
      <c r="S61" s="62">
        <f>VLOOKUP(A61,[1]Index!$E:$M,8,)</f>
        <v>26799.995162624004</v>
      </c>
      <c r="T61" s="77">
        <f t="shared" si="4"/>
        <v>749.99516262400357</v>
      </c>
      <c r="U61" s="78">
        <f t="shared" si="5"/>
        <v>2.7984899179010564E-2</v>
      </c>
      <c r="V61" s="79">
        <f t="shared" si="7"/>
        <v>2.2876763999999996</v>
      </c>
      <c r="W61" s="80">
        <f t="shared" si="6"/>
        <v>11.387100028657901</v>
      </c>
      <c r="X61" s="53" t="s">
        <v>47</v>
      </c>
    </row>
    <row r="62" spans="1:24">
      <c r="A62" s="124" t="s">
        <v>131</v>
      </c>
      <c r="B62" s="208" t="s">
        <v>56</v>
      </c>
      <c r="C62" s="205">
        <v>129</v>
      </c>
      <c r="D62" s="205">
        <v>42</v>
      </c>
      <c r="E62" s="205">
        <v>8</v>
      </c>
      <c r="F62" s="205">
        <v>18300</v>
      </c>
      <c r="G62" s="206"/>
      <c r="H62" s="206"/>
      <c r="I62" s="206"/>
      <c r="J62" s="206"/>
      <c r="K62" s="207"/>
      <c r="L62" s="207"/>
      <c r="M62" s="207"/>
      <c r="N62" s="207"/>
      <c r="O62" s="191">
        <f t="shared" si="0"/>
        <v>9.1854604799999997</v>
      </c>
      <c r="P62" s="75">
        <f t="shared" si="1"/>
        <v>18300</v>
      </c>
      <c r="Q62" s="76">
        <f t="shared" si="2"/>
        <v>18.3</v>
      </c>
      <c r="R62" s="185">
        <f t="shared" si="3"/>
        <v>18.3</v>
      </c>
      <c r="S62" s="62">
        <f>VLOOKUP(A62,[1]Index!$E:$M,8,)</f>
        <v>17933.094356494912</v>
      </c>
      <c r="T62" s="77">
        <f t="shared" si="4"/>
        <v>-366.90564350508794</v>
      </c>
      <c r="U62" s="78">
        <f t="shared" si="5"/>
        <v>-2.0459695143030573E-2</v>
      </c>
      <c r="V62" s="79">
        <f t="shared" si="7"/>
        <v>1.53091008</v>
      </c>
      <c r="W62" s="80">
        <f t="shared" si="6"/>
        <v>11.953673987175002</v>
      </c>
      <c r="X62" s="53" t="s">
        <v>47</v>
      </c>
    </row>
    <row r="63" spans="1:24" ht="12.4" customHeight="1">
      <c r="A63" s="124" t="s">
        <v>132</v>
      </c>
      <c r="B63" s="208" t="s">
        <v>56</v>
      </c>
      <c r="C63" s="205">
        <v>137</v>
      </c>
      <c r="D63" s="205">
        <v>70</v>
      </c>
      <c r="E63" s="205">
        <v>9</v>
      </c>
      <c r="F63" s="205">
        <v>38750</v>
      </c>
      <c r="G63" s="206"/>
      <c r="H63" s="206"/>
      <c r="I63" s="206"/>
      <c r="J63" s="206"/>
      <c r="K63" s="207"/>
      <c r="L63" s="207"/>
      <c r="M63" s="207"/>
      <c r="N63" s="207"/>
      <c r="O63" s="191">
        <f t="shared" si="0"/>
        <v>18.290815200000001</v>
      </c>
      <c r="P63" s="75">
        <f t="shared" si="1"/>
        <v>38750</v>
      </c>
      <c r="Q63" s="76">
        <f t="shared" si="2"/>
        <v>38.75</v>
      </c>
      <c r="R63" s="185">
        <f t="shared" si="3"/>
        <v>38.75</v>
      </c>
      <c r="S63" s="62">
        <f>VLOOKUP(A63,[1]Index!$E:$M,8,)</f>
        <v>33515.277733227995</v>
      </c>
      <c r="T63" s="77">
        <f t="shared" si="4"/>
        <v>-5234.7222667720052</v>
      </c>
      <c r="U63" s="78">
        <f t="shared" si="5"/>
        <v>-0.15618913584541635</v>
      </c>
      <c r="V63" s="79">
        <f t="shared" si="7"/>
        <v>3.0484692</v>
      </c>
      <c r="W63" s="80">
        <f t="shared" si="6"/>
        <v>12.71129785401801</v>
      </c>
      <c r="X63" s="53" t="s">
        <v>47</v>
      </c>
    </row>
    <row r="64" spans="1:24">
      <c r="A64" s="124" t="s">
        <v>355</v>
      </c>
      <c r="B64" s="208" t="s">
        <v>56</v>
      </c>
      <c r="C64" s="205">
        <v>162</v>
      </c>
      <c r="D64" s="205">
        <v>73</v>
      </c>
      <c r="E64" s="205">
        <v>8</v>
      </c>
      <c r="F64" s="205">
        <v>25620</v>
      </c>
      <c r="G64" s="206"/>
      <c r="H64" s="206"/>
      <c r="I64" s="206"/>
      <c r="J64" s="206"/>
      <c r="K64" s="207"/>
      <c r="L64" s="207"/>
      <c r="M64" s="207"/>
      <c r="N64" s="207"/>
      <c r="O64" s="191">
        <f t="shared" si="0"/>
        <v>20.049327359999999</v>
      </c>
      <c r="P64" s="75">
        <f t="shared" si="1"/>
        <v>25620</v>
      </c>
      <c r="Q64" s="76">
        <f t="shared" si="2"/>
        <v>25.62</v>
      </c>
      <c r="R64" s="185">
        <f t="shared" si="3"/>
        <v>25.62</v>
      </c>
      <c r="S64" s="62" t="e">
        <f>VLOOKUP(A64,[1]Index!$E:$M,8,)</f>
        <v>#N/A</v>
      </c>
      <c r="T64" s="77" t="e">
        <f t="shared" si="4"/>
        <v>#N/A</v>
      </c>
      <c r="U64" s="78" t="e">
        <f t="shared" si="5"/>
        <v>#N/A</v>
      </c>
      <c r="V64" s="79">
        <f t="shared" si="7"/>
        <v>3.3415545600000001</v>
      </c>
      <c r="W64" s="80">
        <f t="shared" si="6"/>
        <v>7.6670901342397952</v>
      </c>
      <c r="X64" s="53" t="s">
        <v>45</v>
      </c>
    </row>
    <row r="65" spans="1:24">
      <c r="A65" s="124" t="s">
        <v>134</v>
      </c>
      <c r="B65" s="208" t="s">
        <v>56</v>
      </c>
      <c r="C65" s="205">
        <v>102</v>
      </c>
      <c r="D65" s="205">
        <v>56</v>
      </c>
      <c r="E65" s="205">
        <v>5</v>
      </c>
      <c r="F65" s="205">
        <v>10650</v>
      </c>
      <c r="G65" s="206"/>
      <c r="H65" s="206"/>
      <c r="I65" s="206"/>
      <c r="J65" s="206"/>
      <c r="K65" s="207"/>
      <c r="L65" s="207"/>
      <c r="M65" s="207"/>
      <c r="N65" s="207"/>
      <c r="O65" s="191">
        <f t="shared" si="0"/>
        <v>6.0524351999999997</v>
      </c>
      <c r="P65" s="75">
        <f t="shared" si="1"/>
        <v>10650</v>
      </c>
      <c r="Q65" s="76">
        <f t="shared" si="2"/>
        <v>10.65</v>
      </c>
      <c r="R65" s="185">
        <f t="shared" si="3"/>
        <v>10.65</v>
      </c>
      <c r="S65" s="62">
        <f>VLOOKUP(A65,[1]Index!$E:$M,8,)</f>
        <v>10292.894447079068</v>
      </c>
      <c r="T65" s="77">
        <f t="shared" si="4"/>
        <v>-357.10555292093159</v>
      </c>
      <c r="U65" s="78">
        <f t="shared" si="5"/>
        <v>-3.4694376276468229E-2</v>
      </c>
      <c r="V65" s="79">
        <f t="shared" si="7"/>
        <v>1.0087391999999999</v>
      </c>
      <c r="W65" s="80">
        <f t="shared" si="6"/>
        <v>10.557733852317824</v>
      </c>
      <c r="X65" s="53" t="s">
        <v>354</v>
      </c>
    </row>
    <row r="66" spans="1:24">
      <c r="A66" s="124" t="s">
        <v>135</v>
      </c>
      <c r="B66" s="208" t="s">
        <v>56</v>
      </c>
      <c r="C66" s="205">
        <v>77</v>
      </c>
      <c r="D66" s="205">
        <v>63</v>
      </c>
      <c r="E66" s="205">
        <v>7</v>
      </c>
      <c r="F66" s="205">
        <v>7600</v>
      </c>
      <c r="G66" s="206"/>
      <c r="H66" s="206"/>
      <c r="I66" s="206"/>
      <c r="J66" s="206"/>
      <c r="K66" s="207"/>
      <c r="L66" s="207"/>
      <c r="M66" s="207"/>
      <c r="N66" s="207"/>
      <c r="O66" s="191">
        <f t="shared" si="0"/>
        <v>7.19616744</v>
      </c>
      <c r="P66" s="75">
        <f t="shared" si="1"/>
        <v>7600</v>
      </c>
      <c r="Q66" s="76">
        <f t="shared" si="2"/>
        <v>7.6</v>
      </c>
      <c r="R66" s="185">
        <f t="shared" si="3"/>
        <v>7.6</v>
      </c>
      <c r="S66" s="62">
        <f>VLOOKUP(A66,[1]Index!$E:$M,8,)</f>
        <v>4735.8063780000002</v>
      </c>
      <c r="T66" s="77">
        <f t="shared" si="4"/>
        <v>-2864.1936219999998</v>
      </c>
      <c r="U66" s="78">
        <f t="shared" si="5"/>
        <v>-0.60479533861550949</v>
      </c>
      <c r="V66" s="79">
        <f t="shared" si="7"/>
        <v>1.19936124</v>
      </c>
      <c r="W66" s="80">
        <f t="shared" si="6"/>
        <v>6.3367063621298945</v>
      </c>
      <c r="X66" s="53" t="s">
        <v>47</v>
      </c>
    </row>
    <row r="67" spans="1:24">
      <c r="A67" s="124" t="s">
        <v>136</v>
      </c>
      <c r="B67" s="208" t="s">
        <v>56</v>
      </c>
      <c r="C67" s="205">
        <v>51</v>
      </c>
      <c r="D67" s="205">
        <v>17</v>
      </c>
      <c r="E67" s="205">
        <v>4</v>
      </c>
      <c r="F67" s="205">
        <v>1350</v>
      </c>
      <c r="G67" s="206"/>
      <c r="H67" s="206"/>
      <c r="I67" s="206"/>
      <c r="J67" s="206"/>
      <c r="K67" s="207"/>
      <c r="L67" s="207"/>
      <c r="M67" s="207"/>
      <c r="N67" s="207"/>
      <c r="O67" s="191">
        <f t="shared" si="0"/>
        <v>0.73493856000000002</v>
      </c>
      <c r="P67" s="75">
        <f t="shared" si="1"/>
        <v>1350</v>
      </c>
      <c r="Q67" s="76">
        <f t="shared" si="2"/>
        <v>1.35</v>
      </c>
      <c r="R67" s="185">
        <f t="shared" si="3"/>
        <v>1.35</v>
      </c>
      <c r="S67" s="62" t="e">
        <f>VLOOKUP(A67,[1]Index!$E:$M,8,)</f>
        <v>#N/A</v>
      </c>
      <c r="T67" s="77" t="e">
        <f t="shared" si="4"/>
        <v>#N/A</v>
      </c>
      <c r="U67" s="78" t="e">
        <f t="shared" si="5"/>
        <v>#N/A</v>
      </c>
      <c r="V67" s="79">
        <f t="shared" si="7"/>
        <v>0.12248976</v>
      </c>
      <c r="W67" s="80">
        <f t="shared" si="6"/>
        <v>11.021329456437828</v>
      </c>
      <c r="X67" s="53" t="s">
        <v>47</v>
      </c>
    </row>
    <row r="68" spans="1:24">
      <c r="A68" s="124" t="s">
        <v>137</v>
      </c>
      <c r="B68" s="208" t="s">
        <v>56</v>
      </c>
      <c r="C68" s="205">
        <v>94</v>
      </c>
      <c r="D68" s="205">
        <v>33</v>
      </c>
      <c r="E68" s="205">
        <v>6</v>
      </c>
      <c r="F68" s="205">
        <v>5400</v>
      </c>
      <c r="G68" s="206"/>
      <c r="H68" s="206"/>
      <c r="I68" s="206"/>
      <c r="J68" s="206"/>
      <c r="K68" s="207"/>
      <c r="L68" s="207"/>
      <c r="M68" s="207"/>
      <c r="N68" s="207"/>
      <c r="O68" s="191">
        <f t="shared" ref="O68:O131" si="8">V68*$O$2</f>
        <v>3.9442550400000003</v>
      </c>
      <c r="P68" s="75">
        <f t="shared" ref="P68:P131" si="9">F68+J68+N68</f>
        <v>5400</v>
      </c>
      <c r="Q68" s="76">
        <f t="shared" ref="Q68:Q131" si="10">P68/1000</f>
        <v>5.4</v>
      </c>
      <c r="R68" s="185">
        <f t="shared" ref="R68:R131" si="11">MAX(Q68,O68)</f>
        <v>5.4</v>
      </c>
      <c r="S68" s="62">
        <f>VLOOKUP(A68,[1]Index!$E:$M,8,)</f>
        <v>7238.5537309279453</v>
      </c>
      <c r="T68" s="77">
        <f t="shared" ref="T68:T131" si="12">S68-P68</f>
        <v>1838.5537309279453</v>
      </c>
      <c r="U68" s="78">
        <f t="shared" ref="U68:U131" si="13">T68/S68</f>
        <v>0.25399462368738296</v>
      </c>
      <c r="V68" s="79">
        <f t="shared" si="7"/>
        <v>0.65737584000000004</v>
      </c>
      <c r="W68" s="80">
        <f t="shared" ref="W68:W131" si="14">Q68/V68</f>
        <v>8.2144789501238744</v>
      </c>
      <c r="X68" s="53" t="s">
        <v>47</v>
      </c>
    </row>
    <row r="69" spans="1:24">
      <c r="A69" s="124" t="s">
        <v>138</v>
      </c>
      <c r="B69" s="208" t="s">
        <v>56</v>
      </c>
      <c r="C69" s="205">
        <v>104</v>
      </c>
      <c r="D69" s="205">
        <v>40</v>
      </c>
      <c r="E69" s="205">
        <v>7</v>
      </c>
      <c r="F69" s="205">
        <v>14400</v>
      </c>
      <c r="G69" s="206"/>
      <c r="H69" s="206"/>
      <c r="I69" s="206"/>
      <c r="J69" s="206"/>
      <c r="K69" s="207"/>
      <c r="L69" s="207"/>
      <c r="M69" s="207"/>
      <c r="N69" s="207"/>
      <c r="O69" s="191">
        <f t="shared" si="8"/>
        <v>6.1711103999999999</v>
      </c>
      <c r="P69" s="75">
        <f t="shared" si="9"/>
        <v>14400</v>
      </c>
      <c r="Q69" s="76">
        <f t="shared" si="10"/>
        <v>14.4</v>
      </c>
      <c r="R69" s="185">
        <f t="shared" si="11"/>
        <v>14.4</v>
      </c>
      <c r="S69" s="62">
        <f>VLOOKUP(A69,[1]Index!$E:$M,8,)</f>
        <v>18637.89213152033</v>
      </c>
      <c r="T69" s="77">
        <f t="shared" si="12"/>
        <v>4237.8921315203297</v>
      </c>
      <c r="U69" s="78">
        <f t="shared" si="13"/>
        <v>0.22738044096484619</v>
      </c>
      <c r="V69" s="79">
        <f t="shared" ref="V69:V132" si="15">(((C69*D69*E69)+(G69*H69*I69)+(K69*L69*M69))/1000000)*35.32</f>
        <v>1.0285184000000001</v>
      </c>
      <c r="W69" s="80">
        <f t="shared" si="14"/>
        <v>14.000721814991349</v>
      </c>
      <c r="X69" s="53" t="s">
        <v>47</v>
      </c>
    </row>
    <row r="70" spans="1:24">
      <c r="A70" s="124" t="s">
        <v>139</v>
      </c>
      <c r="B70" s="208" t="s">
        <v>56</v>
      </c>
      <c r="C70" s="205">
        <v>134</v>
      </c>
      <c r="D70" s="205">
        <v>20</v>
      </c>
      <c r="E70" s="205">
        <v>4</v>
      </c>
      <c r="F70" s="205">
        <v>3850</v>
      </c>
      <c r="G70" s="206"/>
      <c r="H70" s="206"/>
      <c r="I70" s="206"/>
      <c r="J70" s="206"/>
      <c r="K70" s="207"/>
      <c r="L70" s="207"/>
      <c r="M70" s="207"/>
      <c r="N70" s="207"/>
      <c r="O70" s="191">
        <f t="shared" si="8"/>
        <v>2.2717824000000002</v>
      </c>
      <c r="P70" s="75">
        <f t="shared" si="9"/>
        <v>3850</v>
      </c>
      <c r="Q70" s="76">
        <f t="shared" si="10"/>
        <v>3.85</v>
      </c>
      <c r="R70" s="185">
        <f t="shared" si="11"/>
        <v>3.85</v>
      </c>
      <c r="S70" s="62">
        <f>VLOOKUP(A70,[1]Index!$E:$M,8,)</f>
        <v>3692.8785859999994</v>
      </c>
      <c r="T70" s="77">
        <f t="shared" si="12"/>
        <v>-157.12141400000064</v>
      </c>
      <c r="U70" s="78">
        <f t="shared" si="13"/>
        <v>-4.254713777909206E-2</v>
      </c>
      <c r="V70" s="79">
        <f t="shared" si="15"/>
        <v>0.37863040000000003</v>
      </c>
      <c r="W70" s="80">
        <f t="shared" si="14"/>
        <v>10.168227379523673</v>
      </c>
      <c r="X70" s="53" t="s">
        <v>47</v>
      </c>
    </row>
    <row r="71" spans="1:24">
      <c r="A71" s="124" t="s">
        <v>140</v>
      </c>
      <c r="B71" s="208" t="s">
        <v>56</v>
      </c>
      <c r="C71" s="205">
        <v>96</v>
      </c>
      <c r="D71" s="205">
        <v>27</v>
      </c>
      <c r="E71" s="205">
        <v>10</v>
      </c>
      <c r="F71" s="205">
        <v>5850</v>
      </c>
      <c r="G71" s="206"/>
      <c r="H71" s="206"/>
      <c r="I71" s="206"/>
      <c r="J71" s="206"/>
      <c r="K71" s="207"/>
      <c r="L71" s="207"/>
      <c r="M71" s="207"/>
      <c r="N71" s="207"/>
      <c r="O71" s="191">
        <f t="shared" si="8"/>
        <v>5.4929663999999994</v>
      </c>
      <c r="P71" s="75">
        <f t="shared" si="9"/>
        <v>5850</v>
      </c>
      <c r="Q71" s="76">
        <f t="shared" si="10"/>
        <v>5.85</v>
      </c>
      <c r="R71" s="185">
        <f t="shared" si="11"/>
        <v>5.85</v>
      </c>
      <c r="S71" s="62">
        <f>VLOOKUP(A71,[1]Index!$E:$M,8,)</f>
        <v>6248.120050022776</v>
      </c>
      <c r="T71" s="77">
        <f t="shared" si="12"/>
        <v>398.12005002277601</v>
      </c>
      <c r="U71" s="78">
        <f t="shared" si="13"/>
        <v>6.3718373980558324E-2</v>
      </c>
      <c r="V71" s="79">
        <f t="shared" si="15"/>
        <v>0.91549439999999993</v>
      </c>
      <c r="W71" s="80">
        <f t="shared" si="14"/>
        <v>6.3899899333081667</v>
      </c>
      <c r="X71" s="53" t="s">
        <v>47</v>
      </c>
    </row>
    <row r="72" spans="1:24">
      <c r="A72" s="124" t="s">
        <v>141</v>
      </c>
      <c r="B72" s="208" t="s">
        <v>56</v>
      </c>
      <c r="C72" s="205">
        <v>73</v>
      </c>
      <c r="D72" s="205">
        <v>18</v>
      </c>
      <c r="E72" s="205">
        <v>9</v>
      </c>
      <c r="F72" s="205">
        <v>4250</v>
      </c>
      <c r="G72" s="206"/>
      <c r="H72" s="206"/>
      <c r="I72" s="206"/>
      <c r="J72" s="206"/>
      <c r="K72" s="207"/>
      <c r="L72" s="207"/>
      <c r="M72" s="207"/>
      <c r="N72" s="207"/>
      <c r="O72" s="191">
        <f t="shared" si="8"/>
        <v>2.5061659199999999</v>
      </c>
      <c r="P72" s="75">
        <f t="shared" si="9"/>
        <v>4250</v>
      </c>
      <c r="Q72" s="76">
        <f t="shared" si="10"/>
        <v>4.25</v>
      </c>
      <c r="R72" s="185">
        <f t="shared" si="11"/>
        <v>4.25</v>
      </c>
      <c r="S72" s="62">
        <f>VLOOKUP(A72,[1]Index!$E:$M,8,)</f>
        <v>3369.9475699999994</v>
      </c>
      <c r="T72" s="77">
        <f t="shared" si="12"/>
        <v>-880.05243000000064</v>
      </c>
      <c r="U72" s="78">
        <f t="shared" si="13"/>
        <v>-0.26114721719542977</v>
      </c>
      <c r="V72" s="79">
        <f t="shared" si="15"/>
        <v>0.41769432000000001</v>
      </c>
      <c r="W72" s="80">
        <f t="shared" si="14"/>
        <v>10.174904940052812</v>
      </c>
      <c r="X72" s="53" t="s">
        <v>47</v>
      </c>
    </row>
    <row r="73" spans="1:24">
      <c r="A73" s="124" t="s">
        <v>142</v>
      </c>
      <c r="B73" s="208" t="s">
        <v>56</v>
      </c>
      <c r="C73" s="205">
        <v>24</v>
      </c>
      <c r="D73" s="205">
        <v>21</v>
      </c>
      <c r="E73" s="205">
        <v>10</v>
      </c>
      <c r="F73" s="205">
        <v>1500</v>
      </c>
      <c r="G73" s="206"/>
      <c r="H73" s="206"/>
      <c r="I73" s="206"/>
      <c r="J73" s="206"/>
      <c r="K73" s="207"/>
      <c r="L73" s="207"/>
      <c r="M73" s="207"/>
      <c r="N73" s="207"/>
      <c r="O73" s="191">
        <f t="shared" si="8"/>
        <v>1.0680768</v>
      </c>
      <c r="P73" s="75">
        <f t="shared" si="9"/>
        <v>1500</v>
      </c>
      <c r="Q73" s="76">
        <f t="shared" si="10"/>
        <v>1.5</v>
      </c>
      <c r="R73" s="185">
        <f t="shared" si="11"/>
        <v>1.5</v>
      </c>
      <c r="S73" s="62">
        <f>VLOOKUP(A73,[1]Index!$E:$M,8,)</f>
        <v>1449</v>
      </c>
      <c r="T73" s="77">
        <f t="shared" si="12"/>
        <v>-51</v>
      </c>
      <c r="U73" s="78">
        <f t="shared" si="13"/>
        <v>-3.5196687370600416E-2</v>
      </c>
      <c r="V73" s="79">
        <f t="shared" si="15"/>
        <v>0.1780128</v>
      </c>
      <c r="W73" s="80">
        <f t="shared" si="14"/>
        <v>8.4263603516151644</v>
      </c>
      <c r="X73" s="53" t="s">
        <v>45</v>
      </c>
    </row>
    <row r="74" spans="1:24">
      <c r="A74" s="124" t="s">
        <v>143</v>
      </c>
      <c r="B74" s="208" t="s">
        <v>56</v>
      </c>
      <c r="C74" s="205">
        <v>23</v>
      </c>
      <c r="D74" s="205">
        <v>19</v>
      </c>
      <c r="E74" s="205">
        <v>12</v>
      </c>
      <c r="F74" s="205">
        <v>2000</v>
      </c>
      <c r="G74" s="206"/>
      <c r="H74" s="206"/>
      <c r="I74" s="206"/>
      <c r="J74" s="206"/>
      <c r="K74" s="207"/>
      <c r="L74" s="207"/>
      <c r="M74" s="207"/>
      <c r="N74" s="207"/>
      <c r="O74" s="191">
        <f t="shared" si="8"/>
        <v>1.1113084799999999</v>
      </c>
      <c r="P74" s="75">
        <f t="shared" si="9"/>
        <v>2000</v>
      </c>
      <c r="Q74" s="76">
        <f t="shared" si="10"/>
        <v>2</v>
      </c>
      <c r="R74" s="185">
        <f t="shared" si="11"/>
        <v>2</v>
      </c>
      <c r="S74" s="62">
        <f>VLOOKUP(A74,[1]Index!$E:$M,8,)</f>
        <v>1555.6004139999998</v>
      </c>
      <c r="T74" s="77">
        <f t="shared" si="12"/>
        <v>-444.39958600000023</v>
      </c>
      <c r="U74" s="78">
        <f t="shared" si="13"/>
        <v>-0.28567720990591117</v>
      </c>
      <c r="V74" s="79">
        <f t="shared" si="15"/>
        <v>0.18521808000000001</v>
      </c>
      <c r="W74" s="80">
        <f t="shared" si="14"/>
        <v>10.798081915113254</v>
      </c>
      <c r="X74" s="53" t="s">
        <v>45</v>
      </c>
    </row>
    <row r="75" spans="1:24">
      <c r="A75" s="124" t="s">
        <v>144</v>
      </c>
      <c r="B75" s="208" t="s">
        <v>56</v>
      </c>
      <c r="C75" s="205">
        <v>23</v>
      </c>
      <c r="D75" s="205">
        <v>19</v>
      </c>
      <c r="E75" s="205">
        <v>20</v>
      </c>
      <c r="F75" s="205">
        <v>3000</v>
      </c>
      <c r="G75" s="206"/>
      <c r="H75" s="206"/>
      <c r="I75" s="206"/>
      <c r="J75" s="206"/>
      <c r="K75" s="207"/>
      <c r="L75" s="207"/>
      <c r="M75" s="207"/>
      <c r="N75" s="207"/>
      <c r="O75" s="191">
        <f t="shared" si="8"/>
        <v>1.8521808</v>
      </c>
      <c r="P75" s="75">
        <f t="shared" si="9"/>
        <v>3000</v>
      </c>
      <c r="Q75" s="76">
        <f t="shared" si="10"/>
        <v>3</v>
      </c>
      <c r="R75" s="185">
        <f t="shared" si="11"/>
        <v>3</v>
      </c>
      <c r="S75" s="62">
        <f>VLOOKUP(A75,[1]Index!$E:$M,8,)</f>
        <v>3139.4920279999997</v>
      </c>
      <c r="T75" s="77">
        <f t="shared" si="12"/>
        <v>139.49202799999966</v>
      </c>
      <c r="U75" s="78">
        <f t="shared" si="13"/>
        <v>4.443140060746148E-2</v>
      </c>
      <c r="V75" s="79">
        <f t="shared" si="15"/>
        <v>0.30869679999999999</v>
      </c>
      <c r="W75" s="80">
        <f t="shared" si="14"/>
        <v>9.7182737236019285</v>
      </c>
      <c r="X75" s="53" t="s">
        <v>45</v>
      </c>
    </row>
    <row r="76" spans="1:24">
      <c r="A76" s="124" t="s">
        <v>146</v>
      </c>
      <c r="B76" s="208" t="s">
        <v>56</v>
      </c>
      <c r="C76" s="205">
        <v>104</v>
      </c>
      <c r="D76" s="205">
        <v>35</v>
      </c>
      <c r="E76" s="205">
        <v>10</v>
      </c>
      <c r="F76" s="205">
        <v>26000</v>
      </c>
      <c r="G76" s="206"/>
      <c r="H76" s="206"/>
      <c r="I76" s="206"/>
      <c r="J76" s="206"/>
      <c r="K76" s="207"/>
      <c r="L76" s="207"/>
      <c r="M76" s="207"/>
      <c r="N76" s="207"/>
      <c r="O76" s="191">
        <f t="shared" si="8"/>
        <v>7.7138880000000007</v>
      </c>
      <c r="P76" s="75">
        <f t="shared" si="9"/>
        <v>26000</v>
      </c>
      <c r="Q76" s="76">
        <f t="shared" si="10"/>
        <v>26</v>
      </c>
      <c r="R76" s="185">
        <f t="shared" si="11"/>
        <v>26</v>
      </c>
      <c r="S76" s="62">
        <f>VLOOKUP(A76,[1]Index!$E:$M,8,)</f>
        <v>29602.150873460054</v>
      </c>
      <c r="T76" s="77">
        <f t="shared" si="12"/>
        <v>3602.1508734600538</v>
      </c>
      <c r="U76" s="78">
        <f t="shared" si="13"/>
        <v>0.12168544403608114</v>
      </c>
      <c r="V76" s="79">
        <f t="shared" si="15"/>
        <v>1.2856480000000001</v>
      </c>
      <c r="W76" s="80">
        <f t="shared" si="14"/>
        <v>20.223264843876393</v>
      </c>
      <c r="X76" s="53" t="s">
        <v>47</v>
      </c>
    </row>
    <row r="77" spans="1:24" ht="13.5" customHeight="1">
      <c r="A77" s="124" t="s">
        <v>147</v>
      </c>
      <c r="B77" s="208" t="s">
        <v>56</v>
      </c>
      <c r="C77" s="205">
        <v>171</v>
      </c>
      <c r="D77" s="205">
        <v>33</v>
      </c>
      <c r="E77" s="205">
        <v>8</v>
      </c>
      <c r="F77" s="205">
        <v>21700</v>
      </c>
      <c r="G77" s="206"/>
      <c r="H77" s="206"/>
      <c r="I77" s="206"/>
      <c r="J77" s="206"/>
      <c r="K77" s="207"/>
      <c r="L77" s="207"/>
      <c r="M77" s="207"/>
      <c r="N77" s="207"/>
      <c r="O77" s="191">
        <f t="shared" si="8"/>
        <v>9.5669164799999997</v>
      </c>
      <c r="P77" s="75">
        <f t="shared" si="9"/>
        <v>21700</v>
      </c>
      <c r="Q77" s="76">
        <f t="shared" si="10"/>
        <v>21.7</v>
      </c>
      <c r="R77" s="185">
        <f t="shared" si="11"/>
        <v>21.7</v>
      </c>
      <c r="S77" s="62">
        <f>VLOOKUP(A77,[1]Index!$E:$M,8,)</f>
        <v>19400.372871588843</v>
      </c>
      <c r="T77" s="77">
        <f t="shared" si="12"/>
        <v>-2299.6271284111572</v>
      </c>
      <c r="U77" s="78">
        <f t="shared" si="13"/>
        <v>-0.11853520257741434</v>
      </c>
      <c r="V77" s="79">
        <f t="shared" si="15"/>
        <v>1.5944860799999998</v>
      </c>
      <c r="W77" s="80">
        <f t="shared" si="14"/>
        <v>13.609400716750065</v>
      </c>
      <c r="X77" s="53" t="s">
        <v>47</v>
      </c>
    </row>
    <row r="78" spans="1:24">
      <c r="A78" s="124" t="s">
        <v>148</v>
      </c>
      <c r="B78" s="208" t="s">
        <v>56</v>
      </c>
      <c r="C78" s="205">
        <v>173</v>
      </c>
      <c r="D78" s="205">
        <v>35</v>
      </c>
      <c r="E78" s="205">
        <v>10</v>
      </c>
      <c r="F78" s="205">
        <v>31600</v>
      </c>
      <c r="G78" s="206"/>
      <c r="H78" s="206"/>
      <c r="I78" s="206"/>
      <c r="J78" s="206"/>
      <c r="K78" s="207"/>
      <c r="L78" s="207"/>
      <c r="M78" s="207"/>
      <c r="N78" s="207"/>
      <c r="O78" s="191">
        <f t="shared" si="8"/>
        <v>12.831755999999999</v>
      </c>
      <c r="P78" s="75">
        <f t="shared" si="9"/>
        <v>31600</v>
      </c>
      <c r="Q78" s="76">
        <f t="shared" si="10"/>
        <v>31.6</v>
      </c>
      <c r="R78" s="185">
        <f t="shared" si="11"/>
        <v>31.6</v>
      </c>
      <c r="S78" s="62">
        <f>VLOOKUP(A78,[1]Index!$E:$M,8,)</f>
        <v>30973.521165725437</v>
      </c>
      <c r="T78" s="77">
        <f t="shared" si="12"/>
        <v>-626.47883427456327</v>
      </c>
      <c r="U78" s="78">
        <f t="shared" si="13"/>
        <v>-2.022627104366196E-2</v>
      </c>
      <c r="V78" s="79">
        <f t="shared" si="15"/>
        <v>2.1386259999999999</v>
      </c>
      <c r="W78" s="80">
        <f t="shared" si="14"/>
        <v>14.775842059340905</v>
      </c>
      <c r="X78" s="53" t="s">
        <v>47</v>
      </c>
    </row>
    <row r="79" spans="1:24">
      <c r="A79" s="124" t="s">
        <v>149</v>
      </c>
      <c r="B79" s="208" t="s">
        <v>56</v>
      </c>
      <c r="C79" s="205">
        <v>71.5</v>
      </c>
      <c r="D79" s="205">
        <v>16</v>
      </c>
      <c r="E79" s="205">
        <v>6</v>
      </c>
      <c r="F79" s="205">
        <v>3000</v>
      </c>
      <c r="G79" s="206"/>
      <c r="H79" s="206"/>
      <c r="I79" s="206"/>
      <c r="J79" s="206"/>
      <c r="K79" s="207"/>
      <c r="L79" s="207"/>
      <c r="M79" s="207"/>
      <c r="N79" s="207"/>
      <c r="O79" s="191">
        <f t="shared" si="8"/>
        <v>1.4546188799999999</v>
      </c>
      <c r="P79" s="75">
        <f t="shared" si="9"/>
        <v>3000</v>
      </c>
      <c r="Q79" s="76">
        <f t="shared" si="10"/>
        <v>3</v>
      </c>
      <c r="R79" s="185">
        <f t="shared" si="11"/>
        <v>3</v>
      </c>
      <c r="S79" s="62">
        <f>VLOOKUP(A79,[1]Index!$E:$M,8,)</f>
        <v>2996.66457665915</v>
      </c>
      <c r="T79" s="77">
        <f t="shared" si="12"/>
        <v>-3.3354233408499567</v>
      </c>
      <c r="U79" s="78">
        <f t="shared" si="13"/>
        <v>-1.1130452726772892E-3</v>
      </c>
      <c r="V79" s="79">
        <f t="shared" si="15"/>
        <v>0.24243648000000001</v>
      </c>
      <c r="W79" s="80">
        <f t="shared" si="14"/>
        <v>12.374375341532758</v>
      </c>
      <c r="X79" s="53" t="s">
        <v>45</v>
      </c>
    </row>
    <row r="80" spans="1:24">
      <c r="A80" s="124" t="s">
        <v>150</v>
      </c>
      <c r="B80" s="208" t="s">
        <v>56</v>
      </c>
      <c r="C80" s="205">
        <v>68</v>
      </c>
      <c r="D80" s="205">
        <v>29</v>
      </c>
      <c r="E80" s="205">
        <v>23</v>
      </c>
      <c r="F80" s="205">
        <v>23450</v>
      </c>
      <c r="G80" s="206"/>
      <c r="H80" s="206"/>
      <c r="I80" s="206"/>
      <c r="J80" s="206"/>
      <c r="K80" s="207"/>
      <c r="L80" s="207"/>
      <c r="M80" s="207"/>
      <c r="N80" s="207"/>
      <c r="O80" s="191">
        <f t="shared" si="8"/>
        <v>9.6118435200000008</v>
      </c>
      <c r="P80" s="75">
        <f t="shared" si="9"/>
        <v>23450</v>
      </c>
      <c r="Q80" s="76">
        <f t="shared" si="10"/>
        <v>23.45</v>
      </c>
      <c r="R80" s="185">
        <f t="shared" si="11"/>
        <v>23.45</v>
      </c>
      <c r="S80" s="62">
        <f>VLOOKUP(A80,[1]Index!$E:$M,8,)</f>
        <v>22345.207717199999</v>
      </c>
      <c r="T80" s="77">
        <f t="shared" si="12"/>
        <v>-1104.792282800001</v>
      </c>
      <c r="U80" s="78">
        <f t="shared" si="13"/>
        <v>-4.9442023398583057E-2</v>
      </c>
      <c r="V80" s="79">
        <f t="shared" si="15"/>
        <v>1.6019739200000001</v>
      </c>
      <c r="W80" s="80">
        <f t="shared" si="14"/>
        <v>14.638190863931166</v>
      </c>
      <c r="X80" s="53" t="s">
        <v>47</v>
      </c>
    </row>
    <row r="81" spans="1:24" ht="12.4" customHeight="1">
      <c r="A81" s="124" t="s">
        <v>152</v>
      </c>
      <c r="B81" s="208" t="s">
        <v>56</v>
      </c>
      <c r="C81" s="205">
        <v>96</v>
      </c>
      <c r="D81" s="205">
        <v>23</v>
      </c>
      <c r="E81" s="205">
        <v>10</v>
      </c>
      <c r="F81" s="205">
        <v>8200</v>
      </c>
      <c r="G81" s="206"/>
      <c r="H81" s="206"/>
      <c r="I81" s="206"/>
      <c r="J81" s="206"/>
      <c r="K81" s="207"/>
      <c r="L81" s="207"/>
      <c r="M81" s="207"/>
      <c r="N81" s="207"/>
      <c r="O81" s="191">
        <f t="shared" si="8"/>
        <v>4.6791935999999996</v>
      </c>
      <c r="P81" s="75">
        <f t="shared" si="9"/>
        <v>8200</v>
      </c>
      <c r="Q81" s="76">
        <f t="shared" si="10"/>
        <v>8.1999999999999993</v>
      </c>
      <c r="R81" s="185">
        <f t="shared" si="11"/>
        <v>8.1999999999999993</v>
      </c>
      <c r="S81" s="62">
        <f>VLOOKUP(A81,[1]Index!$E:$M,8,)</f>
        <v>7783.6330850269624</v>
      </c>
      <c r="T81" s="77">
        <f t="shared" si="12"/>
        <v>-416.36691497303764</v>
      </c>
      <c r="U81" s="78">
        <f t="shared" si="13"/>
        <v>-5.3492618475809786E-2</v>
      </c>
      <c r="V81" s="79">
        <f t="shared" si="15"/>
        <v>0.77986559999999994</v>
      </c>
      <c r="W81" s="80">
        <f t="shared" si="14"/>
        <v>10.514632264841532</v>
      </c>
      <c r="X81" s="53" t="s">
        <v>47</v>
      </c>
    </row>
    <row r="82" spans="1:24">
      <c r="A82" s="124" t="s">
        <v>153</v>
      </c>
      <c r="B82" s="208" t="s">
        <v>56</v>
      </c>
      <c r="C82" s="205">
        <v>67</v>
      </c>
      <c r="D82" s="205">
        <v>19</v>
      </c>
      <c r="E82" s="205">
        <v>10</v>
      </c>
      <c r="F82" s="205">
        <v>4300</v>
      </c>
      <c r="G82" s="206"/>
      <c r="H82" s="206"/>
      <c r="I82" s="206"/>
      <c r="J82" s="206"/>
      <c r="K82" s="207"/>
      <c r="L82" s="207"/>
      <c r="M82" s="207"/>
      <c r="N82" s="207"/>
      <c r="O82" s="191">
        <f t="shared" si="8"/>
        <v>2.6977416000000001</v>
      </c>
      <c r="P82" s="75">
        <f t="shared" si="9"/>
        <v>4300</v>
      </c>
      <c r="Q82" s="76">
        <f t="shared" si="10"/>
        <v>4.3</v>
      </c>
      <c r="R82" s="185">
        <f t="shared" si="11"/>
        <v>4.3</v>
      </c>
      <c r="S82" s="62">
        <f>VLOOKUP(A82,[1]Index!$E:$M,8,)</f>
        <v>3912.0798190786336</v>
      </c>
      <c r="T82" s="77">
        <f t="shared" si="12"/>
        <v>-387.92018092136641</v>
      </c>
      <c r="U82" s="78">
        <f t="shared" si="13"/>
        <v>-9.9159577222718509E-2</v>
      </c>
      <c r="V82" s="79">
        <f t="shared" si="15"/>
        <v>0.44962360000000001</v>
      </c>
      <c r="W82" s="80">
        <f t="shared" si="14"/>
        <v>9.563554937952544</v>
      </c>
      <c r="X82" s="53" t="s">
        <v>45</v>
      </c>
    </row>
    <row r="83" spans="1:24">
      <c r="A83" s="124" t="s">
        <v>156</v>
      </c>
      <c r="B83" s="208" t="s">
        <v>56</v>
      </c>
      <c r="C83" s="205">
        <v>156</v>
      </c>
      <c r="D83" s="205">
        <v>36</v>
      </c>
      <c r="E83" s="205">
        <v>10</v>
      </c>
      <c r="F83" s="205">
        <v>22900</v>
      </c>
      <c r="G83" s="206"/>
      <c r="H83" s="206"/>
      <c r="I83" s="206"/>
      <c r="J83" s="206"/>
      <c r="K83" s="207"/>
      <c r="L83" s="207"/>
      <c r="M83" s="207"/>
      <c r="N83" s="207"/>
      <c r="O83" s="191">
        <f t="shared" si="8"/>
        <v>11.901427200000001</v>
      </c>
      <c r="P83" s="75">
        <f t="shared" si="9"/>
        <v>22900</v>
      </c>
      <c r="Q83" s="76">
        <f t="shared" si="10"/>
        <v>22.9</v>
      </c>
      <c r="R83" s="185">
        <f t="shared" si="11"/>
        <v>22.9</v>
      </c>
      <c r="S83" s="62">
        <f>VLOOKUP(A83,[1]Index!$E:$M,8,)</f>
        <v>19357.318716239995</v>
      </c>
      <c r="T83" s="77">
        <f t="shared" si="12"/>
        <v>-3542.6812837600046</v>
      </c>
      <c r="U83" s="78">
        <f t="shared" si="13"/>
        <v>-0.18301508259962887</v>
      </c>
      <c r="V83" s="79">
        <f t="shared" si="15"/>
        <v>1.9835712000000001</v>
      </c>
      <c r="W83" s="80">
        <f t="shared" si="14"/>
        <v>11.544833883452229</v>
      </c>
      <c r="X83" s="53" t="s">
        <v>45</v>
      </c>
    </row>
    <row r="84" spans="1:24">
      <c r="A84" s="124" t="s">
        <v>157</v>
      </c>
      <c r="B84" s="208" t="s">
        <v>56</v>
      </c>
      <c r="C84" s="205">
        <v>87</v>
      </c>
      <c r="D84" s="205">
        <v>22</v>
      </c>
      <c r="E84" s="205">
        <v>9</v>
      </c>
      <c r="F84" s="205">
        <v>6800</v>
      </c>
      <c r="G84" s="206"/>
      <c r="H84" s="206"/>
      <c r="I84" s="206"/>
      <c r="J84" s="206"/>
      <c r="K84" s="207"/>
      <c r="L84" s="207"/>
      <c r="M84" s="207"/>
      <c r="N84" s="207"/>
      <c r="O84" s="191">
        <f t="shared" si="8"/>
        <v>3.6505339200000004</v>
      </c>
      <c r="P84" s="75">
        <f t="shared" si="9"/>
        <v>6800</v>
      </c>
      <c r="Q84" s="76">
        <f t="shared" si="10"/>
        <v>6.8</v>
      </c>
      <c r="R84" s="185">
        <f t="shared" si="11"/>
        <v>6.8</v>
      </c>
      <c r="S84" s="62">
        <f>VLOOKUP(A84,[1]Index!$E:$M,8,)</f>
        <v>5887.7036339999995</v>
      </c>
      <c r="T84" s="77">
        <f t="shared" si="12"/>
        <v>-912.29636600000049</v>
      </c>
      <c r="U84" s="78">
        <f t="shared" si="13"/>
        <v>-0.15494943745668849</v>
      </c>
      <c r="V84" s="79">
        <f t="shared" si="15"/>
        <v>0.60842232000000007</v>
      </c>
      <c r="W84" s="80">
        <f t="shared" si="14"/>
        <v>11.176447307192804</v>
      </c>
      <c r="X84" s="53" t="s">
        <v>47</v>
      </c>
    </row>
    <row r="85" spans="1:24">
      <c r="A85" s="124" t="s">
        <v>158</v>
      </c>
      <c r="B85" s="208" t="s">
        <v>56</v>
      </c>
      <c r="C85" s="205">
        <v>159</v>
      </c>
      <c r="D85" s="205">
        <v>29</v>
      </c>
      <c r="E85" s="205">
        <v>10</v>
      </c>
      <c r="F85" s="205">
        <v>25600</v>
      </c>
      <c r="G85" s="206"/>
      <c r="H85" s="206"/>
      <c r="I85" s="206"/>
      <c r="J85" s="206"/>
      <c r="K85" s="207"/>
      <c r="L85" s="207"/>
      <c r="M85" s="207"/>
      <c r="N85" s="207"/>
      <c r="O85" s="191">
        <f t="shared" si="8"/>
        <v>9.7716311999999999</v>
      </c>
      <c r="P85" s="75">
        <f t="shared" si="9"/>
        <v>25600</v>
      </c>
      <c r="Q85" s="76">
        <f t="shared" si="10"/>
        <v>25.6</v>
      </c>
      <c r="R85" s="185">
        <f t="shared" si="11"/>
        <v>25.6</v>
      </c>
      <c r="S85" s="62">
        <f>VLOOKUP(A85,[1]Index!$E:$M,8,)</f>
        <v>24424.470876166873</v>
      </c>
      <c r="T85" s="77">
        <f t="shared" si="12"/>
        <v>-1175.5291238331265</v>
      </c>
      <c r="U85" s="78">
        <f t="shared" si="13"/>
        <v>-4.8129154150078013E-2</v>
      </c>
      <c r="V85" s="79">
        <f t="shared" si="15"/>
        <v>1.6286052</v>
      </c>
      <c r="W85" s="80">
        <f t="shared" si="14"/>
        <v>15.71897228376773</v>
      </c>
      <c r="X85" s="53" t="s">
        <v>47</v>
      </c>
    </row>
    <row r="86" spans="1:24">
      <c r="A86" s="124" t="s">
        <v>159</v>
      </c>
      <c r="B86" s="208" t="s">
        <v>56</v>
      </c>
      <c r="C86" s="205">
        <v>84</v>
      </c>
      <c r="D86" s="205">
        <v>29</v>
      </c>
      <c r="E86" s="205">
        <v>10</v>
      </c>
      <c r="F86" s="205">
        <v>11000</v>
      </c>
      <c r="G86" s="206"/>
      <c r="H86" s="206"/>
      <c r="I86" s="206"/>
      <c r="J86" s="206"/>
      <c r="K86" s="207"/>
      <c r="L86" s="207"/>
      <c r="M86" s="207"/>
      <c r="N86" s="207"/>
      <c r="O86" s="191">
        <f t="shared" si="8"/>
        <v>5.1623711999999999</v>
      </c>
      <c r="P86" s="75">
        <f t="shared" si="9"/>
        <v>11000</v>
      </c>
      <c r="Q86" s="76">
        <f t="shared" si="10"/>
        <v>11</v>
      </c>
      <c r="R86" s="185">
        <f t="shared" si="11"/>
        <v>11</v>
      </c>
      <c r="S86" s="62">
        <f>VLOOKUP(A86,[1]Index!$E:$M,8,)</f>
        <v>11627.002038834884</v>
      </c>
      <c r="T86" s="77">
        <f t="shared" si="12"/>
        <v>627.00203883488393</v>
      </c>
      <c r="U86" s="78">
        <f t="shared" si="13"/>
        <v>5.3926372141387742E-2</v>
      </c>
      <c r="V86" s="79">
        <f t="shared" si="15"/>
        <v>0.86039520000000003</v>
      </c>
      <c r="W86" s="80">
        <f t="shared" si="14"/>
        <v>12.784822602450594</v>
      </c>
      <c r="X86" s="53" t="s">
        <v>45</v>
      </c>
    </row>
    <row r="87" spans="1:24">
      <c r="A87" s="124" t="s">
        <v>161</v>
      </c>
      <c r="B87" s="208" t="s">
        <v>56</v>
      </c>
      <c r="C87" s="205">
        <v>121</v>
      </c>
      <c r="D87" s="205">
        <v>45</v>
      </c>
      <c r="E87" s="205">
        <v>6</v>
      </c>
      <c r="F87" s="205">
        <v>10000</v>
      </c>
      <c r="G87" s="206"/>
      <c r="H87" s="206"/>
      <c r="I87" s="206"/>
      <c r="J87" s="206"/>
      <c r="K87" s="207"/>
      <c r="L87" s="207"/>
      <c r="M87" s="207"/>
      <c r="N87" s="207"/>
      <c r="O87" s="191">
        <f t="shared" si="8"/>
        <v>6.9234263999999985</v>
      </c>
      <c r="P87" s="75">
        <f t="shared" si="9"/>
        <v>10000</v>
      </c>
      <c r="Q87" s="76">
        <f t="shared" si="10"/>
        <v>10</v>
      </c>
      <c r="R87" s="185">
        <f t="shared" si="11"/>
        <v>10</v>
      </c>
      <c r="S87" s="62">
        <f>VLOOKUP(A87,[1]Index!$E:$M,8,)</f>
        <v>10006.43541886843</v>
      </c>
      <c r="T87" s="77">
        <f t="shared" si="12"/>
        <v>6.4354188684301334</v>
      </c>
      <c r="U87" s="78">
        <f t="shared" si="13"/>
        <v>6.4312800703188644E-4</v>
      </c>
      <c r="V87" s="79">
        <f t="shared" si="15"/>
        <v>1.1539043999999998</v>
      </c>
      <c r="W87" s="80">
        <f t="shared" si="14"/>
        <v>8.666229195416884</v>
      </c>
      <c r="X87" s="53" t="s">
        <v>45</v>
      </c>
    </row>
    <row r="88" spans="1:24">
      <c r="A88" s="124" t="s">
        <v>162</v>
      </c>
      <c r="B88" s="208" t="s">
        <v>56</v>
      </c>
      <c r="C88" s="205">
        <v>70</v>
      </c>
      <c r="D88" s="205">
        <v>13</v>
      </c>
      <c r="E88" s="205">
        <v>5</v>
      </c>
      <c r="F88" s="205">
        <v>2200</v>
      </c>
      <c r="G88" s="206"/>
      <c r="H88" s="206"/>
      <c r="I88" s="206"/>
      <c r="J88" s="206"/>
      <c r="K88" s="207"/>
      <c r="L88" s="207"/>
      <c r="M88" s="207"/>
      <c r="N88" s="207"/>
      <c r="O88" s="191">
        <f t="shared" si="8"/>
        <v>0.96423600000000009</v>
      </c>
      <c r="P88" s="75">
        <f t="shared" si="9"/>
        <v>2200</v>
      </c>
      <c r="Q88" s="76">
        <f t="shared" si="10"/>
        <v>2.2000000000000002</v>
      </c>
      <c r="R88" s="185">
        <f t="shared" si="11"/>
        <v>2.2000000000000002</v>
      </c>
      <c r="S88" s="62">
        <f>VLOOKUP(A88,[1]Index!$E:$M,8,)</f>
        <v>1993.5528540139287</v>
      </c>
      <c r="T88" s="77">
        <f t="shared" si="12"/>
        <v>-206.44714598607129</v>
      </c>
      <c r="U88" s="78">
        <f t="shared" si="13"/>
        <v>-0.10355739782388979</v>
      </c>
      <c r="V88" s="79">
        <f t="shared" si="15"/>
        <v>0.16070600000000002</v>
      </c>
      <c r="W88" s="80">
        <f t="shared" si="14"/>
        <v>13.689594663547098</v>
      </c>
      <c r="X88" s="53" t="s">
        <v>47</v>
      </c>
    </row>
    <row r="89" spans="1:24">
      <c r="A89" s="124" t="s">
        <v>163</v>
      </c>
      <c r="B89" s="208" t="s">
        <v>56</v>
      </c>
      <c r="C89" s="205">
        <v>75</v>
      </c>
      <c r="D89" s="205">
        <v>36</v>
      </c>
      <c r="E89" s="205">
        <v>5</v>
      </c>
      <c r="F89" s="205">
        <v>3725</v>
      </c>
      <c r="G89" s="206"/>
      <c r="H89" s="206"/>
      <c r="I89" s="206"/>
      <c r="J89" s="206"/>
      <c r="K89" s="207"/>
      <c r="L89" s="207"/>
      <c r="M89" s="207"/>
      <c r="N89" s="207"/>
      <c r="O89" s="191">
        <f t="shared" si="8"/>
        <v>2.8609200000000001</v>
      </c>
      <c r="P89" s="75">
        <f t="shared" si="9"/>
        <v>3725</v>
      </c>
      <c r="Q89" s="76">
        <f t="shared" si="10"/>
        <v>3.7250000000000001</v>
      </c>
      <c r="R89" s="185">
        <f t="shared" si="11"/>
        <v>3.7250000000000001</v>
      </c>
      <c r="S89" s="62">
        <f>VLOOKUP(A89,[1]Index!$E:$M,8,)</f>
        <v>3966.7730839718715</v>
      </c>
      <c r="T89" s="77">
        <f t="shared" si="12"/>
        <v>241.77308397187153</v>
      </c>
      <c r="U89" s="78">
        <f t="shared" si="13"/>
        <v>6.0949562491683464E-2</v>
      </c>
      <c r="V89" s="79">
        <f t="shared" si="15"/>
        <v>0.47682000000000002</v>
      </c>
      <c r="W89" s="80">
        <f t="shared" si="14"/>
        <v>7.8121723082085479</v>
      </c>
      <c r="X89" s="53" t="s">
        <v>45</v>
      </c>
    </row>
    <row r="90" spans="1:24">
      <c r="A90" s="124" t="s">
        <v>164</v>
      </c>
      <c r="B90" s="208" t="s">
        <v>56</v>
      </c>
      <c r="C90" s="205">
        <v>65</v>
      </c>
      <c r="D90" s="205">
        <v>35</v>
      </c>
      <c r="E90" s="205">
        <v>6</v>
      </c>
      <c r="F90" s="205">
        <v>5700</v>
      </c>
      <c r="G90" s="206"/>
      <c r="H90" s="206"/>
      <c r="I90" s="206"/>
      <c r="J90" s="206"/>
      <c r="K90" s="207"/>
      <c r="L90" s="207"/>
      <c r="M90" s="207"/>
      <c r="N90" s="207"/>
      <c r="O90" s="191">
        <f t="shared" si="8"/>
        <v>2.8927080000000003</v>
      </c>
      <c r="P90" s="75">
        <f t="shared" si="9"/>
        <v>5700</v>
      </c>
      <c r="Q90" s="76">
        <f t="shared" si="10"/>
        <v>5.7</v>
      </c>
      <c r="R90" s="185">
        <f t="shared" si="11"/>
        <v>5.7</v>
      </c>
      <c r="S90" s="62">
        <f>VLOOKUP(A90,[1]Index!$E:$M,8,)</f>
        <v>5306.443301371256</v>
      </c>
      <c r="T90" s="77">
        <f t="shared" si="12"/>
        <v>-393.55669862874402</v>
      </c>
      <c r="U90" s="78">
        <f t="shared" si="13"/>
        <v>-7.416581621197077E-2</v>
      </c>
      <c r="V90" s="79">
        <f t="shared" si="15"/>
        <v>0.48211800000000005</v>
      </c>
      <c r="W90" s="80">
        <f t="shared" si="14"/>
        <v>11.822831754881584</v>
      </c>
      <c r="X90" s="53" t="s">
        <v>47</v>
      </c>
    </row>
    <row r="91" spans="1:24">
      <c r="A91" s="124" t="s">
        <v>356</v>
      </c>
      <c r="B91" s="208" t="s">
        <v>56</v>
      </c>
      <c r="C91" s="205">
        <v>119</v>
      </c>
      <c r="D91" s="205">
        <v>35</v>
      </c>
      <c r="E91" s="205">
        <v>6</v>
      </c>
      <c r="F91" s="205">
        <v>6900</v>
      </c>
      <c r="G91" s="206"/>
      <c r="H91" s="206"/>
      <c r="I91" s="206"/>
      <c r="J91" s="206"/>
      <c r="K91" s="207"/>
      <c r="L91" s="207"/>
      <c r="M91" s="207"/>
      <c r="N91" s="207"/>
      <c r="O91" s="191">
        <f t="shared" si="8"/>
        <v>5.2958807999999999</v>
      </c>
      <c r="P91" s="75">
        <f t="shared" si="9"/>
        <v>6900</v>
      </c>
      <c r="Q91" s="76">
        <f t="shared" si="10"/>
        <v>6.9</v>
      </c>
      <c r="R91" s="185">
        <f t="shared" si="11"/>
        <v>6.9</v>
      </c>
      <c r="S91" s="62" t="e">
        <f>VLOOKUP(A91,[1]Index!$E:$M,8,)</f>
        <v>#N/A</v>
      </c>
      <c r="T91" s="77" t="e">
        <f t="shared" si="12"/>
        <v>#N/A</v>
      </c>
      <c r="U91" s="78" t="e">
        <f t="shared" si="13"/>
        <v>#N/A</v>
      </c>
      <c r="V91" s="79">
        <f t="shared" si="15"/>
        <v>0.88264679999999995</v>
      </c>
      <c r="W91" s="80">
        <f t="shared" si="14"/>
        <v>7.8173964942715486</v>
      </c>
      <c r="X91" s="53" t="s">
        <v>45</v>
      </c>
    </row>
    <row r="92" spans="1:24">
      <c r="A92" s="124" t="s">
        <v>167</v>
      </c>
      <c r="B92" s="208" t="s">
        <v>56</v>
      </c>
      <c r="C92" s="205">
        <v>179</v>
      </c>
      <c r="D92" s="205">
        <v>34</v>
      </c>
      <c r="E92" s="205">
        <v>10</v>
      </c>
      <c r="F92" s="205">
        <v>31650</v>
      </c>
      <c r="G92" s="206"/>
      <c r="H92" s="206"/>
      <c r="I92" s="206"/>
      <c r="J92" s="206"/>
      <c r="K92" s="207"/>
      <c r="L92" s="207"/>
      <c r="M92" s="207"/>
      <c r="N92" s="207"/>
      <c r="O92" s="191">
        <f t="shared" si="8"/>
        <v>12.897451200000001</v>
      </c>
      <c r="P92" s="75">
        <f t="shared" si="9"/>
        <v>31650</v>
      </c>
      <c r="Q92" s="76">
        <f t="shared" si="10"/>
        <v>31.65</v>
      </c>
      <c r="R92" s="185">
        <f t="shared" si="11"/>
        <v>31.65</v>
      </c>
      <c r="S92" s="62">
        <f>VLOOKUP(A92,[1]Index!$E:$M,8,)</f>
        <v>30989.688886831995</v>
      </c>
      <c r="T92" s="77">
        <f t="shared" si="12"/>
        <v>-660.31111316800525</v>
      </c>
      <c r="U92" s="78">
        <f t="shared" si="13"/>
        <v>-2.1307445698449133E-2</v>
      </c>
      <c r="V92" s="79">
        <f t="shared" si="15"/>
        <v>2.1495752000000001</v>
      </c>
      <c r="W92" s="80">
        <f t="shared" si="14"/>
        <v>14.723839389289566</v>
      </c>
      <c r="X92" s="53" t="s">
        <v>45</v>
      </c>
    </row>
    <row r="93" spans="1:24">
      <c r="A93" s="124" t="s">
        <v>168</v>
      </c>
      <c r="B93" s="208" t="s">
        <v>56</v>
      </c>
      <c r="C93" s="205">
        <v>163</v>
      </c>
      <c r="D93" s="205">
        <v>35</v>
      </c>
      <c r="E93" s="205">
        <v>10</v>
      </c>
      <c r="F93" s="205">
        <v>24250</v>
      </c>
      <c r="G93" s="206"/>
      <c r="H93" s="206"/>
      <c r="I93" s="206"/>
      <c r="J93" s="206"/>
      <c r="K93" s="207"/>
      <c r="L93" s="207"/>
      <c r="M93" s="207"/>
      <c r="N93" s="207"/>
      <c r="O93" s="191">
        <f t="shared" si="8"/>
        <v>12.090036000000001</v>
      </c>
      <c r="P93" s="75">
        <f t="shared" si="9"/>
        <v>24250</v>
      </c>
      <c r="Q93" s="76">
        <f t="shared" si="10"/>
        <v>24.25</v>
      </c>
      <c r="R93" s="185">
        <f t="shared" si="11"/>
        <v>24.25</v>
      </c>
      <c r="S93" s="62">
        <f>VLOOKUP(A93,[1]Index!$E:$M,8,)</f>
        <v>25251.797173840478</v>
      </c>
      <c r="T93" s="77">
        <f t="shared" si="12"/>
        <v>1001.7971738404776</v>
      </c>
      <c r="U93" s="78">
        <f t="shared" si="13"/>
        <v>3.9672311912844219E-2</v>
      </c>
      <c r="V93" s="79">
        <f t="shared" si="15"/>
        <v>2.0150060000000001</v>
      </c>
      <c r="W93" s="80">
        <f t="shared" si="14"/>
        <v>12.03470361874853</v>
      </c>
      <c r="X93" s="53" t="s">
        <v>47</v>
      </c>
    </row>
    <row r="94" spans="1:24" ht="12.4" customHeight="1">
      <c r="A94" s="124" t="s">
        <v>169</v>
      </c>
      <c r="B94" s="208" t="s">
        <v>56</v>
      </c>
      <c r="C94" s="205">
        <v>149</v>
      </c>
      <c r="D94" s="205">
        <v>32</v>
      </c>
      <c r="E94" s="205">
        <v>4</v>
      </c>
      <c r="F94" s="205">
        <v>8000</v>
      </c>
      <c r="G94" s="206"/>
      <c r="H94" s="206"/>
      <c r="I94" s="206"/>
      <c r="J94" s="206"/>
      <c r="K94" s="207"/>
      <c r="L94" s="207"/>
      <c r="M94" s="207"/>
      <c r="N94" s="207"/>
      <c r="O94" s="191">
        <f t="shared" si="8"/>
        <v>4.0417382399999999</v>
      </c>
      <c r="P94" s="75">
        <f t="shared" si="9"/>
        <v>8000</v>
      </c>
      <c r="Q94" s="76">
        <f t="shared" si="10"/>
        <v>8</v>
      </c>
      <c r="R94" s="185">
        <f t="shared" si="11"/>
        <v>8</v>
      </c>
      <c r="S94" s="62">
        <f>VLOOKUP(A94,[1]Index!$E:$M,8,)</f>
        <v>7755.8802847764855</v>
      </c>
      <c r="T94" s="77">
        <f t="shared" si="12"/>
        <v>-244.1197152235145</v>
      </c>
      <c r="U94" s="78">
        <f t="shared" si="13"/>
        <v>-3.1475436218720558E-2</v>
      </c>
      <c r="V94" s="79">
        <f t="shared" si="15"/>
        <v>0.67362303999999995</v>
      </c>
      <c r="W94" s="80">
        <f t="shared" si="14"/>
        <v>11.876078347913991</v>
      </c>
      <c r="X94" s="53" t="s">
        <v>47</v>
      </c>
    </row>
    <row r="95" spans="1:24" ht="14.45" customHeight="1">
      <c r="A95" s="124" t="s">
        <v>170</v>
      </c>
      <c r="B95" s="208" t="s">
        <v>56</v>
      </c>
      <c r="C95" s="205">
        <v>144</v>
      </c>
      <c r="D95" s="205">
        <v>20</v>
      </c>
      <c r="E95" s="205">
        <v>7</v>
      </c>
      <c r="F95" s="205">
        <v>7915</v>
      </c>
      <c r="G95" s="206"/>
      <c r="H95" s="206"/>
      <c r="I95" s="206"/>
      <c r="J95" s="206"/>
      <c r="K95" s="207"/>
      <c r="L95" s="207"/>
      <c r="M95" s="207"/>
      <c r="N95" s="207"/>
      <c r="O95" s="191">
        <f t="shared" si="8"/>
        <v>4.2723072000000002</v>
      </c>
      <c r="P95" s="75">
        <f t="shared" si="9"/>
        <v>7915</v>
      </c>
      <c r="Q95" s="76">
        <f t="shared" si="10"/>
        <v>7.915</v>
      </c>
      <c r="R95" s="185">
        <f t="shared" si="11"/>
        <v>7.915</v>
      </c>
      <c r="S95" s="62">
        <f>VLOOKUP(A95,[1]Index!$E:$M,8,)</f>
        <v>7575.6294453454093</v>
      </c>
      <c r="T95" s="77">
        <f t="shared" si="12"/>
        <v>-339.37055465459071</v>
      </c>
      <c r="U95" s="78">
        <f t="shared" si="13"/>
        <v>-4.4797670887018574E-2</v>
      </c>
      <c r="V95" s="79">
        <f t="shared" si="15"/>
        <v>0.7120512</v>
      </c>
      <c r="W95" s="80">
        <f t="shared" si="14"/>
        <v>11.115773697172338</v>
      </c>
      <c r="X95" s="53" t="s">
        <v>47</v>
      </c>
    </row>
    <row r="96" spans="1:24">
      <c r="A96" s="124" t="s">
        <v>171</v>
      </c>
      <c r="B96" s="208" t="s">
        <v>56</v>
      </c>
      <c r="C96" s="205">
        <v>159</v>
      </c>
      <c r="D96" s="205">
        <v>30</v>
      </c>
      <c r="E96" s="205">
        <v>9</v>
      </c>
      <c r="F96" s="205">
        <v>19700</v>
      </c>
      <c r="G96" s="206"/>
      <c r="H96" s="206"/>
      <c r="I96" s="206"/>
      <c r="J96" s="206"/>
      <c r="K96" s="207"/>
      <c r="L96" s="207"/>
      <c r="M96" s="207"/>
      <c r="N96" s="207"/>
      <c r="O96" s="191">
        <f t="shared" si="8"/>
        <v>9.0977256000000004</v>
      </c>
      <c r="P96" s="75">
        <f t="shared" si="9"/>
        <v>19700</v>
      </c>
      <c r="Q96" s="76">
        <f t="shared" si="10"/>
        <v>19.7</v>
      </c>
      <c r="R96" s="185">
        <f t="shared" si="11"/>
        <v>19.7</v>
      </c>
      <c r="S96" s="62">
        <f>VLOOKUP(A96,[1]Index!$E:$M,8,)</f>
        <v>18097.9962682</v>
      </c>
      <c r="T96" s="77">
        <f t="shared" si="12"/>
        <v>-1602.0037317999995</v>
      </c>
      <c r="U96" s="78">
        <f t="shared" si="13"/>
        <v>-8.8518292746854035E-2</v>
      </c>
      <c r="V96" s="79">
        <f t="shared" si="15"/>
        <v>1.5162876000000001</v>
      </c>
      <c r="W96" s="80">
        <f t="shared" si="14"/>
        <v>12.992258196927811</v>
      </c>
      <c r="X96" s="53" t="s">
        <v>47</v>
      </c>
    </row>
    <row r="97" spans="1:24">
      <c r="A97" s="124" t="s">
        <v>172</v>
      </c>
      <c r="B97" s="208" t="s">
        <v>56</v>
      </c>
      <c r="C97" s="205">
        <v>187</v>
      </c>
      <c r="D97" s="205">
        <v>43</v>
      </c>
      <c r="E97" s="205">
        <v>5</v>
      </c>
      <c r="F97" s="205">
        <v>14800</v>
      </c>
      <c r="G97" s="206"/>
      <c r="H97" s="206"/>
      <c r="I97" s="206"/>
      <c r="J97" s="206"/>
      <c r="K97" s="207"/>
      <c r="L97" s="207"/>
      <c r="M97" s="207"/>
      <c r="N97" s="207"/>
      <c r="O97" s="191">
        <f t="shared" si="8"/>
        <v>8.5202435999999988</v>
      </c>
      <c r="P97" s="75">
        <f t="shared" si="9"/>
        <v>14800</v>
      </c>
      <c r="Q97" s="76">
        <f t="shared" si="10"/>
        <v>14.8</v>
      </c>
      <c r="R97" s="185">
        <f t="shared" si="11"/>
        <v>14.8</v>
      </c>
      <c r="S97" s="62">
        <f>VLOOKUP(A97,[1]Index!$E:$M,8,)</f>
        <v>14955.153386000002</v>
      </c>
      <c r="T97" s="77">
        <f t="shared" si="12"/>
        <v>155.15338600000177</v>
      </c>
      <c r="U97" s="78">
        <f t="shared" si="13"/>
        <v>1.0374576709139327E-2</v>
      </c>
      <c r="V97" s="79">
        <f t="shared" si="15"/>
        <v>1.4200405999999999</v>
      </c>
      <c r="W97" s="80">
        <f t="shared" si="14"/>
        <v>10.422237223358263</v>
      </c>
      <c r="X97" s="53" t="s">
        <v>45</v>
      </c>
    </row>
    <row r="98" spans="1:24" ht="14.45" customHeight="1">
      <c r="A98" s="124" t="s">
        <v>173</v>
      </c>
      <c r="B98" s="208" t="s">
        <v>56</v>
      </c>
      <c r="C98" s="205"/>
      <c r="D98" s="205"/>
      <c r="E98" s="205"/>
      <c r="F98" s="205"/>
      <c r="G98" s="206"/>
      <c r="H98" s="206"/>
      <c r="I98" s="206"/>
      <c r="J98" s="206"/>
      <c r="K98" s="207"/>
      <c r="L98" s="207"/>
      <c r="M98" s="207"/>
      <c r="N98" s="207"/>
      <c r="O98" s="191">
        <f t="shared" si="8"/>
        <v>0</v>
      </c>
      <c r="P98" s="75">
        <f t="shared" si="9"/>
        <v>0</v>
      </c>
      <c r="Q98" s="76">
        <f t="shared" si="10"/>
        <v>0</v>
      </c>
      <c r="R98" s="185">
        <f t="shared" si="11"/>
        <v>0</v>
      </c>
      <c r="S98" s="62">
        <f>VLOOKUP(A98,[1]Index!$E:$M,8,)</f>
        <v>1054.4381040000001</v>
      </c>
      <c r="T98" s="77">
        <f t="shared" si="12"/>
        <v>1054.4381040000001</v>
      </c>
      <c r="U98" s="78">
        <f t="shared" si="13"/>
        <v>1</v>
      </c>
      <c r="V98" s="79">
        <f t="shared" si="15"/>
        <v>0</v>
      </c>
      <c r="W98" s="80" t="e">
        <f t="shared" si="14"/>
        <v>#DIV/0!</v>
      </c>
      <c r="X98" s="53" t="s">
        <v>45</v>
      </c>
    </row>
    <row r="99" spans="1:24">
      <c r="A99" s="124" t="s">
        <v>357</v>
      </c>
      <c r="B99" s="208" t="s">
        <v>56</v>
      </c>
      <c r="C99" s="205">
        <v>97</v>
      </c>
      <c r="D99" s="205">
        <v>20</v>
      </c>
      <c r="E99" s="205">
        <v>10</v>
      </c>
      <c r="F99" s="205">
        <v>9320</v>
      </c>
      <c r="G99" s="206"/>
      <c r="H99" s="206"/>
      <c r="I99" s="206"/>
      <c r="J99" s="206"/>
      <c r="K99" s="207"/>
      <c r="L99" s="207"/>
      <c r="M99" s="207"/>
      <c r="N99" s="207"/>
      <c r="O99" s="191">
        <f t="shared" si="8"/>
        <v>4.1112479999999998</v>
      </c>
      <c r="P99" s="75">
        <f t="shared" si="9"/>
        <v>9320</v>
      </c>
      <c r="Q99" s="76">
        <f t="shared" si="10"/>
        <v>9.32</v>
      </c>
      <c r="R99" s="185">
        <f t="shared" si="11"/>
        <v>9.32</v>
      </c>
      <c r="S99" s="62" t="e">
        <f>VLOOKUP(A99,[1]Index!$E:$M,8,)</f>
        <v>#N/A</v>
      </c>
      <c r="T99" s="77" t="e">
        <f t="shared" si="12"/>
        <v>#N/A</v>
      </c>
      <c r="U99" s="78" t="e">
        <f t="shared" si="13"/>
        <v>#N/A</v>
      </c>
      <c r="V99" s="79">
        <f t="shared" si="15"/>
        <v>0.68520800000000004</v>
      </c>
      <c r="W99" s="80">
        <f t="shared" si="14"/>
        <v>13.601709262005114</v>
      </c>
      <c r="X99" s="53" t="s">
        <v>45</v>
      </c>
    </row>
    <row r="100" spans="1:24" ht="14.45" customHeight="1">
      <c r="A100" s="124" t="s">
        <v>176</v>
      </c>
      <c r="B100" s="208" t="s">
        <v>56</v>
      </c>
      <c r="C100" s="205">
        <v>84</v>
      </c>
      <c r="D100" s="205">
        <v>19</v>
      </c>
      <c r="E100" s="205">
        <v>7</v>
      </c>
      <c r="F100" s="205">
        <v>4750</v>
      </c>
      <c r="G100" s="206"/>
      <c r="H100" s="206"/>
      <c r="I100" s="206"/>
      <c r="J100" s="206"/>
      <c r="K100" s="207"/>
      <c r="L100" s="207"/>
      <c r="M100" s="207"/>
      <c r="N100" s="207"/>
      <c r="O100" s="191">
        <f t="shared" si="8"/>
        <v>2.36757024</v>
      </c>
      <c r="P100" s="75">
        <f t="shared" si="9"/>
        <v>4750</v>
      </c>
      <c r="Q100" s="76">
        <f t="shared" si="10"/>
        <v>4.75</v>
      </c>
      <c r="R100" s="185">
        <f t="shared" si="11"/>
        <v>4.75</v>
      </c>
      <c r="S100" s="62">
        <f>VLOOKUP(A100,[1]Index!$E:$M,8,)</f>
        <v>3956.1227730000001</v>
      </c>
      <c r="T100" s="77">
        <f t="shared" si="12"/>
        <v>-793.87722699999995</v>
      </c>
      <c r="U100" s="78">
        <f t="shared" si="13"/>
        <v>-0.20067052327549187</v>
      </c>
      <c r="V100" s="79">
        <f t="shared" si="15"/>
        <v>0.39459504000000001</v>
      </c>
      <c r="W100" s="80">
        <f t="shared" si="14"/>
        <v>12.03765764516452</v>
      </c>
      <c r="X100" s="53" t="s">
        <v>47</v>
      </c>
    </row>
    <row r="101" spans="1:24" ht="14.45" customHeight="1">
      <c r="A101" s="124" t="s">
        <v>358</v>
      </c>
      <c r="B101" s="208" t="s">
        <v>56</v>
      </c>
      <c r="C101" s="205"/>
      <c r="D101" s="205"/>
      <c r="E101" s="205"/>
      <c r="F101" s="205"/>
      <c r="G101" s="206"/>
      <c r="H101" s="206"/>
      <c r="I101" s="206"/>
      <c r="J101" s="206"/>
      <c r="K101" s="207"/>
      <c r="L101" s="207"/>
      <c r="M101" s="207"/>
      <c r="N101" s="207"/>
      <c r="O101" s="191">
        <f>V101*$O$2</f>
        <v>0</v>
      </c>
      <c r="P101" s="75">
        <f t="shared" si="9"/>
        <v>0</v>
      </c>
      <c r="Q101" s="76">
        <f t="shared" si="10"/>
        <v>0</v>
      </c>
      <c r="R101" s="185">
        <f t="shared" si="11"/>
        <v>0</v>
      </c>
      <c r="S101" s="62" t="e">
        <f>VLOOKUP(A101,[1]Index!$E:$M,8,)</f>
        <v>#N/A</v>
      </c>
      <c r="T101" s="77" t="e">
        <f t="shared" si="12"/>
        <v>#N/A</v>
      </c>
      <c r="U101" s="78" t="e">
        <f t="shared" si="13"/>
        <v>#N/A</v>
      </c>
      <c r="V101" s="79">
        <f t="shared" si="15"/>
        <v>0</v>
      </c>
      <c r="W101" s="80" t="e">
        <f t="shared" si="14"/>
        <v>#DIV/0!</v>
      </c>
      <c r="X101" s="53" t="s">
        <v>45</v>
      </c>
    </row>
    <row r="102" spans="1:24" ht="14.45" customHeight="1">
      <c r="A102" s="124" t="s">
        <v>178</v>
      </c>
      <c r="B102" s="208" t="s">
        <v>56</v>
      </c>
      <c r="C102" s="205">
        <v>68</v>
      </c>
      <c r="D102" s="205">
        <v>21</v>
      </c>
      <c r="E102" s="205">
        <v>8</v>
      </c>
      <c r="F102" s="205">
        <v>4850</v>
      </c>
      <c r="G102" s="206"/>
      <c r="H102" s="206"/>
      <c r="I102" s="206"/>
      <c r="J102" s="206"/>
      <c r="K102" s="207"/>
      <c r="L102" s="207"/>
      <c r="M102" s="207"/>
      <c r="N102" s="207"/>
      <c r="O102" s="191">
        <f t="shared" si="8"/>
        <v>2.4209740800000001</v>
      </c>
      <c r="P102" s="75">
        <f t="shared" si="9"/>
        <v>4850</v>
      </c>
      <c r="Q102" s="76">
        <f t="shared" si="10"/>
        <v>4.8499999999999996</v>
      </c>
      <c r="R102" s="185">
        <f t="shared" si="11"/>
        <v>4.8499999999999996</v>
      </c>
      <c r="S102" s="62">
        <f>VLOOKUP(A102,[1]Index!$E:$M,8,)</f>
        <v>4129.1912499999999</v>
      </c>
      <c r="T102" s="77">
        <f t="shared" si="12"/>
        <v>-720.80875000000015</v>
      </c>
      <c r="U102" s="78">
        <f t="shared" si="13"/>
        <v>-0.17456414739811341</v>
      </c>
      <c r="V102" s="79">
        <f t="shared" si="15"/>
        <v>0.40349568000000002</v>
      </c>
      <c r="W102" s="80">
        <f t="shared" si="14"/>
        <v>12.019955207451043</v>
      </c>
      <c r="X102" s="53" t="s">
        <v>45</v>
      </c>
    </row>
    <row r="103" spans="1:24" ht="14.45" customHeight="1">
      <c r="A103" s="124" t="s">
        <v>180</v>
      </c>
      <c r="B103" s="208" t="s">
        <v>56</v>
      </c>
      <c r="C103" s="205">
        <v>82</v>
      </c>
      <c r="D103" s="205">
        <v>20</v>
      </c>
      <c r="E103" s="205">
        <v>10</v>
      </c>
      <c r="F103" s="205">
        <v>7350</v>
      </c>
      <c r="G103" s="206"/>
      <c r="H103" s="206"/>
      <c r="I103" s="206"/>
      <c r="J103" s="206"/>
      <c r="K103" s="207"/>
      <c r="L103" s="207"/>
      <c r="M103" s="207"/>
      <c r="N103" s="207"/>
      <c r="O103" s="191">
        <f t="shared" si="8"/>
        <v>3.4754880000000004</v>
      </c>
      <c r="P103" s="75">
        <f t="shared" si="9"/>
        <v>7350</v>
      </c>
      <c r="Q103" s="76">
        <f t="shared" si="10"/>
        <v>7.35</v>
      </c>
      <c r="R103" s="185">
        <f t="shared" si="11"/>
        <v>7.35</v>
      </c>
      <c r="S103" s="62">
        <f>VLOOKUP(A103,[1]Index!$E:$M,8,)</f>
        <v>6917</v>
      </c>
      <c r="T103" s="77">
        <f t="shared" si="12"/>
        <v>-433</v>
      </c>
      <c r="U103" s="78">
        <f t="shared" si="13"/>
        <v>-6.2599392800346973E-2</v>
      </c>
      <c r="V103" s="79">
        <f t="shared" si="15"/>
        <v>0.5792480000000001</v>
      </c>
      <c r="W103" s="80">
        <f t="shared" si="14"/>
        <v>12.688865563627321</v>
      </c>
      <c r="X103" s="53" t="s">
        <v>47</v>
      </c>
    </row>
    <row r="104" spans="1:24" ht="14.45" customHeight="1">
      <c r="A104" s="124" t="s">
        <v>182</v>
      </c>
      <c r="B104" s="208" t="s">
        <v>56</v>
      </c>
      <c r="C104" s="205">
        <v>110</v>
      </c>
      <c r="D104" s="205">
        <v>21</v>
      </c>
      <c r="E104" s="205">
        <v>4</v>
      </c>
      <c r="F104" s="205">
        <v>3750</v>
      </c>
      <c r="G104" s="206"/>
      <c r="H104" s="206"/>
      <c r="I104" s="206"/>
      <c r="J104" s="206"/>
      <c r="K104" s="207"/>
      <c r="L104" s="207"/>
      <c r="M104" s="207"/>
      <c r="N104" s="207"/>
      <c r="O104" s="191">
        <f t="shared" si="8"/>
        <v>1.9581408</v>
      </c>
      <c r="P104" s="75">
        <f t="shared" si="9"/>
        <v>3750</v>
      </c>
      <c r="Q104" s="76">
        <f t="shared" si="10"/>
        <v>3.75</v>
      </c>
      <c r="R104" s="185">
        <f t="shared" si="11"/>
        <v>3.75</v>
      </c>
      <c r="S104" s="62" t="e">
        <f>VLOOKUP(A104,[1]Index!$E:$M,8,)</f>
        <v>#REF!</v>
      </c>
      <c r="T104" s="77" t="e">
        <f t="shared" si="12"/>
        <v>#REF!</v>
      </c>
      <c r="U104" s="78" t="e">
        <f t="shared" si="13"/>
        <v>#REF!</v>
      </c>
      <c r="V104" s="79">
        <f t="shared" si="15"/>
        <v>0.3263568</v>
      </c>
      <c r="W104" s="80">
        <f t="shared" si="14"/>
        <v>11.490491388566134</v>
      </c>
      <c r="X104" s="53" t="s">
        <v>47</v>
      </c>
    </row>
    <row r="105" spans="1:24" ht="14.45" customHeight="1">
      <c r="A105" s="124" t="s">
        <v>185</v>
      </c>
      <c r="B105" s="208" t="s">
        <v>56</v>
      </c>
      <c r="C105" s="205">
        <v>27.5</v>
      </c>
      <c r="D105" s="205">
        <v>27.5</v>
      </c>
      <c r="E105" s="205">
        <v>17.5</v>
      </c>
      <c r="F105" s="205">
        <v>3000</v>
      </c>
      <c r="G105" s="206"/>
      <c r="H105" s="206"/>
      <c r="I105" s="206"/>
      <c r="J105" s="206"/>
      <c r="K105" s="207"/>
      <c r="L105" s="207"/>
      <c r="M105" s="207"/>
      <c r="N105" s="207"/>
      <c r="O105" s="191">
        <f t="shared" si="8"/>
        <v>2.80462875</v>
      </c>
      <c r="P105" s="75">
        <f t="shared" si="9"/>
        <v>3000</v>
      </c>
      <c r="Q105" s="76">
        <f t="shared" si="10"/>
        <v>3</v>
      </c>
      <c r="R105" s="185">
        <f t="shared" si="11"/>
        <v>3</v>
      </c>
      <c r="S105" s="62">
        <f>VLOOKUP(A105,[1]Index!$E:$M,8,)</f>
        <v>3004.0621019999999</v>
      </c>
      <c r="T105" s="77">
        <f t="shared" si="12"/>
        <v>4.062101999999868</v>
      </c>
      <c r="U105" s="78">
        <f t="shared" si="13"/>
        <v>1.3522030710668271E-3</v>
      </c>
      <c r="V105" s="79">
        <f t="shared" si="15"/>
        <v>0.46743812499999998</v>
      </c>
      <c r="W105" s="80">
        <f t="shared" si="14"/>
        <v>6.4179617355773022</v>
      </c>
      <c r="X105" s="53" t="s">
        <v>45</v>
      </c>
    </row>
    <row r="106" spans="1:24">
      <c r="A106" s="124" t="s">
        <v>186</v>
      </c>
      <c r="B106" s="208" t="s">
        <v>56</v>
      </c>
      <c r="C106" s="205">
        <v>25</v>
      </c>
      <c r="D106" s="205">
        <v>25</v>
      </c>
      <c r="E106" s="205">
        <v>18</v>
      </c>
      <c r="F106" s="205">
        <v>4000</v>
      </c>
      <c r="G106" s="206"/>
      <c r="H106" s="206"/>
      <c r="I106" s="206"/>
      <c r="J106" s="206"/>
      <c r="K106" s="207"/>
      <c r="L106" s="207"/>
      <c r="M106" s="207"/>
      <c r="N106" s="207"/>
      <c r="O106" s="191">
        <f t="shared" si="8"/>
        <v>2.3841000000000001</v>
      </c>
      <c r="P106" s="75">
        <f t="shared" si="9"/>
        <v>4000</v>
      </c>
      <c r="Q106" s="76">
        <f t="shared" si="10"/>
        <v>4</v>
      </c>
      <c r="R106" s="185">
        <f t="shared" si="11"/>
        <v>4</v>
      </c>
      <c r="S106" s="62">
        <f>VLOOKUP(A106,[1]Index!$E:$M,8,)</f>
        <v>4335.2350237000001</v>
      </c>
      <c r="T106" s="77">
        <f t="shared" si="12"/>
        <v>335.23502370000006</v>
      </c>
      <c r="U106" s="78">
        <f t="shared" si="13"/>
        <v>7.7327993030902972E-2</v>
      </c>
      <c r="V106" s="79">
        <f t="shared" si="15"/>
        <v>0.39734999999999998</v>
      </c>
      <c r="W106" s="80">
        <f t="shared" si="14"/>
        <v>10.06669183339625</v>
      </c>
      <c r="X106" s="53" t="s">
        <v>45</v>
      </c>
    </row>
    <row r="107" spans="1:24">
      <c r="A107" s="124" t="s">
        <v>187</v>
      </c>
      <c r="B107" s="208" t="s">
        <v>56</v>
      </c>
      <c r="C107" s="205">
        <v>143</v>
      </c>
      <c r="D107" s="205">
        <v>20</v>
      </c>
      <c r="E107" s="205">
        <v>8</v>
      </c>
      <c r="F107" s="205">
        <v>11500</v>
      </c>
      <c r="G107" s="206"/>
      <c r="H107" s="206"/>
      <c r="I107" s="206"/>
      <c r="J107" s="206"/>
      <c r="K107" s="207"/>
      <c r="L107" s="207"/>
      <c r="M107" s="207"/>
      <c r="N107" s="207"/>
      <c r="O107" s="191">
        <f t="shared" si="8"/>
        <v>4.8487296000000004</v>
      </c>
      <c r="P107" s="75">
        <f t="shared" si="9"/>
        <v>11500</v>
      </c>
      <c r="Q107" s="76">
        <f t="shared" si="10"/>
        <v>11.5</v>
      </c>
      <c r="R107" s="185">
        <f t="shared" si="11"/>
        <v>11.5</v>
      </c>
      <c r="S107" s="62">
        <f>VLOOKUP(A107,[1]Index!$E:$M,8,)</f>
        <v>10495.4364104</v>
      </c>
      <c r="T107" s="77">
        <f t="shared" si="12"/>
        <v>-1004.5635896000003</v>
      </c>
      <c r="U107" s="78">
        <f t="shared" si="13"/>
        <v>-9.5714322903673779E-2</v>
      </c>
      <c r="V107" s="79">
        <f t="shared" si="15"/>
        <v>0.8081216</v>
      </c>
      <c r="W107" s="80">
        <f t="shared" si="14"/>
        <v>14.230531642762674</v>
      </c>
      <c r="X107" s="53" t="s">
        <v>47</v>
      </c>
    </row>
    <row r="108" spans="1:24">
      <c r="A108" s="233" t="s">
        <v>189</v>
      </c>
      <c r="B108" s="234" t="s">
        <v>56</v>
      </c>
      <c r="C108" s="205">
        <v>152</v>
      </c>
      <c r="D108" s="205">
        <v>58</v>
      </c>
      <c r="E108" s="205">
        <v>9</v>
      </c>
      <c r="F108" s="205">
        <v>32810</v>
      </c>
      <c r="G108" s="206"/>
      <c r="H108" s="206"/>
      <c r="I108" s="206"/>
      <c r="J108" s="206"/>
      <c r="K108" s="207"/>
      <c r="L108" s="207"/>
      <c r="M108" s="207"/>
      <c r="N108" s="207"/>
      <c r="O108" s="191">
        <f t="shared" si="8"/>
        <v>16.81458048</v>
      </c>
      <c r="P108" s="75">
        <f t="shared" si="9"/>
        <v>32810</v>
      </c>
      <c r="Q108" s="76">
        <f t="shared" si="10"/>
        <v>32.81</v>
      </c>
      <c r="R108" s="185">
        <f t="shared" si="11"/>
        <v>32.81</v>
      </c>
      <c r="S108" s="62">
        <f>VLOOKUP(A108,[1]Index!$E:$M,8,)</f>
        <v>22110.984838681678</v>
      </c>
      <c r="T108" s="77">
        <f t="shared" si="12"/>
        <v>-10699.015161318322</v>
      </c>
      <c r="U108" s="78">
        <f t="shared" si="13"/>
        <v>-0.48387782088299913</v>
      </c>
      <c r="V108" s="79">
        <f t="shared" si="15"/>
        <v>2.8024300800000002</v>
      </c>
      <c r="W108" s="80">
        <f t="shared" si="14"/>
        <v>11.707696200577464</v>
      </c>
      <c r="X108" s="53" t="s">
        <v>359</v>
      </c>
    </row>
    <row r="109" spans="1:24" ht="14.45" customHeight="1">
      <c r="A109" s="124" t="s">
        <v>191</v>
      </c>
      <c r="B109" s="208" t="s">
        <v>56</v>
      </c>
      <c r="C109" s="205">
        <v>81</v>
      </c>
      <c r="D109" s="205">
        <v>42</v>
      </c>
      <c r="E109" s="205">
        <v>13</v>
      </c>
      <c r="F109" s="205">
        <v>18350</v>
      </c>
      <c r="G109" s="206"/>
      <c r="H109" s="206"/>
      <c r="I109" s="206"/>
      <c r="J109" s="206"/>
      <c r="K109" s="207"/>
      <c r="L109" s="207"/>
      <c r="M109" s="207"/>
      <c r="N109" s="207"/>
      <c r="O109" s="191">
        <f t="shared" si="8"/>
        <v>9.3723739200000011</v>
      </c>
      <c r="P109" s="75">
        <f t="shared" si="9"/>
        <v>18350</v>
      </c>
      <c r="Q109" s="76">
        <f t="shared" si="10"/>
        <v>18.350000000000001</v>
      </c>
      <c r="R109" s="185">
        <f t="shared" si="11"/>
        <v>18.350000000000001</v>
      </c>
      <c r="S109" s="62">
        <f>VLOOKUP(A109,[1]Index!$E:$M,8,)</f>
        <v>17032.668326695999</v>
      </c>
      <c r="T109" s="77">
        <f t="shared" si="12"/>
        <v>-1317.331673304001</v>
      </c>
      <c r="U109" s="78">
        <f t="shared" si="13"/>
        <v>-7.7341473927446419E-2</v>
      </c>
      <c r="V109" s="79">
        <f t="shared" si="15"/>
        <v>1.5620623200000001</v>
      </c>
      <c r="W109" s="80">
        <f t="shared" si="14"/>
        <v>11.74729059465438</v>
      </c>
      <c r="X109" s="53" t="s">
        <v>47</v>
      </c>
    </row>
    <row r="110" spans="1:24">
      <c r="A110" s="124" t="s">
        <v>192</v>
      </c>
      <c r="B110" s="208" t="s">
        <v>56</v>
      </c>
      <c r="C110" s="205">
        <v>128</v>
      </c>
      <c r="D110" s="205">
        <v>43</v>
      </c>
      <c r="E110" s="205">
        <v>11</v>
      </c>
      <c r="F110" s="205">
        <v>29800</v>
      </c>
      <c r="G110" s="206"/>
      <c r="H110" s="206"/>
      <c r="I110" s="206"/>
      <c r="J110" s="206"/>
      <c r="K110" s="207"/>
      <c r="L110" s="207"/>
      <c r="M110" s="207"/>
      <c r="N110" s="207"/>
      <c r="O110" s="191">
        <f t="shared" si="8"/>
        <v>12.830484479999999</v>
      </c>
      <c r="P110" s="75">
        <f t="shared" si="9"/>
        <v>29800</v>
      </c>
      <c r="Q110" s="76">
        <f t="shared" si="10"/>
        <v>29.8</v>
      </c>
      <c r="R110" s="185">
        <f t="shared" si="11"/>
        <v>29.8</v>
      </c>
      <c r="S110" s="62">
        <f>VLOOKUP(A110,[1]Index!$E:$M,8,)</f>
        <v>25230.272261319995</v>
      </c>
      <c r="T110" s="77">
        <f t="shared" si="12"/>
        <v>-4569.7277386800051</v>
      </c>
      <c r="U110" s="78">
        <f t="shared" si="13"/>
        <v>-0.18112082546512032</v>
      </c>
      <c r="V110" s="79">
        <f t="shared" si="15"/>
        <v>2.13841408</v>
      </c>
      <c r="W110" s="80">
        <f t="shared" si="14"/>
        <v>13.935561067761022</v>
      </c>
      <c r="X110" s="53" t="s">
        <v>47</v>
      </c>
    </row>
    <row r="111" spans="1:24" ht="14.45" customHeight="1">
      <c r="A111" s="124" t="s">
        <v>194</v>
      </c>
      <c r="B111" s="208" t="s">
        <v>56</v>
      </c>
      <c r="C111" s="205">
        <v>147</v>
      </c>
      <c r="D111" s="205">
        <v>39</v>
      </c>
      <c r="E111" s="205">
        <v>12</v>
      </c>
      <c r="F111" s="205">
        <v>34850</v>
      </c>
      <c r="G111" s="206"/>
      <c r="H111" s="206"/>
      <c r="I111" s="206"/>
      <c r="J111" s="206"/>
      <c r="K111" s="207"/>
      <c r="L111" s="207"/>
      <c r="M111" s="207"/>
      <c r="N111" s="207"/>
      <c r="O111" s="191">
        <f t="shared" si="8"/>
        <v>14.57924832</v>
      </c>
      <c r="P111" s="75">
        <f t="shared" si="9"/>
        <v>34850</v>
      </c>
      <c r="Q111" s="76">
        <f t="shared" si="10"/>
        <v>34.85</v>
      </c>
      <c r="R111" s="185">
        <f t="shared" si="11"/>
        <v>34.85</v>
      </c>
      <c r="S111" s="62">
        <f>VLOOKUP(A111,[1]Index!$E:$M,8,)</f>
        <v>30950.800312987994</v>
      </c>
      <c r="T111" s="77">
        <f t="shared" si="12"/>
        <v>-3899.1996870120056</v>
      </c>
      <c r="U111" s="78">
        <f t="shared" si="13"/>
        <v>-0.12598057716057734</v>
      </c>
      <c r="V111" s="79">
        <f t="shared" si="15"/>
        <v>2.4298747199999999</v>
      </c>
      <c r="W111" s="80">
        <f t="shared" si="14"/>
        <v>14.342303211418242</v>
      </c>
      <c r="X111" s="53" t="s">
        <v>47</v>
      </c>
    </row>
    <row r="112" spans="1:24">
      <c r="A112" s="124" t="s">
        <v>360</v>
      </c>
      <c r="B112" s="208" t="s">
        <v>56</v>
      </c>
      <c r="C112" s="205">
        <v>148</v>
      </c>
      <c r="D112" s="205">
        <v>40</v>
      </c>
      <c r="E112" s="205">
        <v>12</v>
      </c>
      <c r="F112" s="205">
        <v>34000</v>
      </c>
      <c r="G112" s="206"/>
      <c r="H112" s="206"/>
      <c r="I112" s="206"/>
      <c r="J112" s="206"/>
      <c r="K112" s="207"/>
      <c r="L112" s="207"/>
      <c r="M112" s="207"/>
      <c r="N112" s="207"/>
      <c r="O112" s="191">
        <f t="shared" si="8"/>
        <v>15.054796800000002</v>
      </c>
      <c r="P112" s="75">
        <f t="shared" si="9"/>
        <v>34000</v>
      </c>
      <c r="Q112" s="76">
        <f t="shared" si="10"/>
        <v>34</v>
      </c>
      <c r="R112" s="185">
        <f t="shared" si="11"/>
        <v>34</v>
      </c>
      <c r="S112" s="62">
        <f>VLOOKUP(A112,[1]Index!$E:$M,8,)</f>
        <v>39100.259330756002</v>
      </c>
      <c r="T112" s="77">
        <f t="shared" si="12"/>
        <v>5100.2593307560019</v>
      </c>
      <c r="U112" s="78">
        <f t="shared" si="13"/>
        <v>0.13044054996188151</v>
      </c>
      <c r="V112" s="79">
        <f t="shared" si="15"/>
        <v>2.5091328000000002</v>
      </c>
      <c r="W112" s="80">
        <f t="shared" si="14"/>
        <v>13.550498403273034</v>
      </c>
      <c r="X112" s="53" t="s">
        <v>361</v>
      </c>
    </row>
    <row r="113" spans="1:24" ht="14.45" customHeight="1">
      <c r="A113" s="124" t="s">
        <v>362</v>
      </c>
      <c r="B113" s="208" t="s">
        <v>56</v>
      </c>
      <c r="C113" s="205">
        <v>147</v>
      </c>
      <c r="D113" s="205">
        <v>40</v>
      </c>
      <c r="E113" s="205">
        <v>12</v>
      </c>
      <c r="F113" s="205">
        <v>34600</v>
      </c>
      <c r="G113" s="206"/>
      <c r="H113" s="206"/>
      <c r="I113" s="206"/>
      <c r="J113" s="206"/>
      <c r="K113" s="207"/>
      <c r="L113" s="207"/>
      <c r="M113" s="207"/>
      <c r="N113" s="207"/>
      <c r="O113" s="191">
        <f t="shared" si="8"/>
        <v>14.953075199999999</v>
      </c>
      <c r="P113" s="75">
        <f t="shared" si="9"/>
        <v>34600</v>
      </c>
      <c r="Q113" s="76">
        <f t="shared" si="10"/>
        <v>34.6</v>
      </c>
      <c r="R113" s="185">
        <f t="shared" si="11"/>
        <v>34.6</v>
      </c>
      <c r="S113" s="62" t="e">
        <f>VLOOKUP(A113,[1]Index!$E:$M,8,)</f>
        <v>#N/A</v>
      </c>
      <c r="T113" s="77" t="e">
        <f t="shared" si="12"/>
        <v>#N/A</v>
      </c>
      <c r="U113" s="78" t="e">
        <f t="shared" si="13"/>
        <v>#N/A</v>
      </c>
      <c r="V113" s="79">
        <f t="shared" si="15"/>
        <v>2.4921791999999998</v>
      </c>
      <c r="W113" s="80">
        <f t="shared" si="14"/>
        <v>13.883431817423082</v>
      </c>
      <c r="X113" s="53" t="s">
        <v>45</v>
      </c>
    </row>
    <row r="114" spans="1:24" ht="14.45" customHeight="1">
      <c r="A114" s="124" t="s">
        <v>195</v>
      </c>
      <c r="B114" s="208" t="s">
        <v>56</v>
      </c>
      <c r="C114" s="205">
        <v>103</v>
      </c>
      <c r="D114" s="205">
        <v>35</v>
      </c>
      <c r="E114" s="205">
        <v>7</v>
      </c>
      <c r="F114" s="205">
        <v>12210</v>
      </c>
      <c r="G114" s="206"/>
      <c r="H114" s="206"/>
      <c r="I114" s="206"/>
      <c r="J114" s="206"/>
      <c r="K114" s="207"/>
      <c r="L114" s="207"/>
      <c r="M114" s="207"/>
      <c r="N114" s="207"/>
      <c r="O114" s="191">
        <f t="shared" si="8"/>
        <v>5.3478012000000001</v>
      </c>
      <c r="P114" s="75">
        <f t="shared" si="9"/>
        <v>12210</v>
      </c>
      <c r="Q114" s="76">
        <f t="shared" si="10"/>
        <v>12.21</v>
      </c>
      <c r="R114" s="185">
        <f t="shared" si="11"/>
        <v>12.21</v>
      </c>
      <c r="S114" s="62">
        <f>VLOOKUP(A114,[1]Index!$E:$M,8,)</f>
        <v>11882.464976000001</v>
      </c>
      <c r="T114" s="77">
        <f t="shared" si="12"/>
        <v>-327.53502399999888</v>
      </c>
      <c r="U114" s="78">
        <f t="shared" si="13"/>
        <v>-2.7564568855161661E-2</v>
      </c>
      <c r="V114" s="79">
        <f t="shared" si="15"/>
        <v>0.89130019999999999</v>
      </c>
      <c r="W114" s="80">
        <f t="shared" si="14"/>
        <v>13.699088141122376</v>
      </c>
      <c r="X114" s="53" t="s">
        <v>45</v>
      </c>
    </row>
    <row r="115" spans="1:24" ht="14.45" customHeight="1">
      <c r="A115" s="124" t="s">
        <v>197</v>
      </c>
      <c r="B115" s="208" t="s">
        <v>56</v>
      </c>
      <c r="C115" s="205">
        <v>147</v>
      </c>
      <c r="D115" s="205">
        <v>38</v>
      </c>
      <c r="E115" s="205">
        <v>11</v>
      </c>
      <c r="F115" s="205">
        <v>31400</v>
      </c>
      <c r="G115" s="206"/>
      <c r="H115" s="206"/>
      <c r="I115" s="206"/>
      <c r="J115" s="206"/>
      <c r="K115" s="207"/>
      <c r="L115" s="207"/>
      <c r="M115" s="207"/>
      <c r="N115" s="207"/>
      <c r="O115" s="191">
        <f t="shared" si="8"/>
        <v>13.021636319999999</v>
      </c>
      <c r="P115" s="75">
        <f t="shared" si="9"/>
        <v>31400</v>
      </c>
      <c r="Q115" s="76">
        <f t="shared" si="10"/>
        <v>31.4</v>
      </c>
      <c r="R115" s="185">
        <f t="shared" si="11"/>
        <v>31.4</v>
      </c>
      <c r="S115" s="62">
        <f>VLOOKUP(A115,[1]Index!$E:$M,8,)</f>
        <v>30408.454095567995</v>
      </c>
      <c r="T115" s="77">
        <f t="shared" si="12"/>
        <v>-991.54590443200505</v>
      </c>
      <c r="U115" s="78">
        <f t="shared" si="13"/>
        <v>-3.2607573581865244E-2</v>
      </c>
      <c r="V115" s="79">
        <f t="shared" si="15"/>
        <v>2.1702727199999998</v>
      </c>
      <c r="W115" s="80">
        <f t="shared" si="14"/>
        <v>14.468227753422621</v>
      </c>
      <c r="X115" s="53" t="s">
        <v>47</v>
      </c>
    </row>
    <row r="116" spans="1:24" ht="14.45" customHeight="1">
      <c r="A116" s="124" t="s">
        <v>363</v>
      </c>
      <c r="B116" s="208" t="s">
        <v>56</v>
      </c>
      <c r="C116" s="205">
        <v>138</v>
      </c>
      <c r="D116" s="205">
        <v>39</v>
      </c>
      <c r="E116" s="205">
        <v>13</v>
      </c>
      <c r="F116" s="205">
        <v>30000</v>
      </c>
      <c r="G116" s="206"/>
      <c r="H116" s="206"/>
      <c r="I116" s="206"/>
      <c r="J116" s="206"/>
      <c r="K116" s="207"/>
      <c r="L116" s="207"/>
      <c r="M116" s="207"/>
      <c r="N116" s="207"/>
      <c r="O116" s="191">
        <f t="shared" si="8"/>
        <v>14.827194720000001</v>
      </c>
      <c r="P116" s="75">
        <f t="shared" si="9"/>
        <v>30000</v>
      </c>
      <c r="Q116" s="76">
        <f t="shared" si="10"/>
        <v>30</v>
      </c>
      <c r="R116" s="185">
        <f t="shared" si="11"/>
        <v>30</v>
      </c>
      <c r="S116" s="62" t="e">
        <f>VLOOKUP(A116,[1]Index!$E:$M,8,)</f>
        <v>#N/A</v>
      </c>
      <c r="T116" s="77" t="e">
        <f t="shared" si="12"/>
        <v>#N/A</v>
      </c>
      <c r="U116" s="78" t="e">
        <f t="shared" si="13"/>
        <v>#N/A</v>
      </c>
      <c r="V116" s="79">
        <f t="shared" si="15"/>
        <v>2.4711991200000001</v>
      </c>
      <c r="W116" s="80">
        <f t="shared" si="14"/>
        <v>12.139855407523777</v>
      </c>
      <c r="X116" s="53" t="s">
        <v>361</v>
      </c>
    </row>
    <row r="117" spans="1:24" ht="14.45" customHeight="1">
      <c r="A117" s="124" t="s">
        <v>199</v>
      </c>
      <c r="B117" s="208" t="s">
        <v>56</v>
      </c>
      <c r="C117" s="205">
        <v>118</v>
      </c>
      <c r="D117" s="205">
        <v>42</v>
      </c>
      <c r="E117" s="205">
        <v>16</v>
      </c>
      <c r="F117" s="205">
        <v>29450</v>
      </c>
      <c r="G117" s="206"/>
      <c r="H117" s="206"/>
      <c r="I117" s="206"/>
      <c r="J117" s="206"/>
      <c r="K117" s="207"/>
      <c r="L117" s="207"/>
      <c r="M117" s="207"/>
      <c r="N117" s="207"/>
      <c r="O117" s="191">
        <f t="shared" si="8"/>
        <v>16.80440832</v>
      </c>
      <c r="P117" s="75">
        <f t="shared" si="9"/>
        <v>29450</v>
      </c>
      <c r="Q117" s="76">
        <f t="shared" si="10"/>
        <v>29.45</v>
      </c>
      <c r="R117" s="185">
        <f t="shared" si="11"/>
        <v>29.45</v>
      </c>
      <c r="S117" s="62">
        <f>VLOOKUP(A117,[1]Index!$E:$M,8,)</f>
        <v>27779.19879377999</v>
      </c>
      <c r="T117" s="77">
        <f t="shared" si="12"/>
        <v>-1670.8012062200105</v>
      </c>
      <c r="U117" s="78">
        <f t="shared" si="13"/>
        <v>-6.0145766572436851E-2</v>
      </c>
      <c r="V117" s="79">
        <f t="shared" si="15"/>
        <v>2.8007347200000003</v>
      </c>
      <c r="W117" s="80">
        <f t="shared" si="14"/>
        <v>10.515097981146889</v>
      </c>
      <c r="X117" s="53" t="s">
        <v>47</v>
      </c>
    </row>
    <row r="118" spans="1:24" ht="14.45" customHeight="1">
      <c r="A118" s="124" t="s">
        <v>201</v>
      </c>
      <c r="B118" s="208" t="s">
        <v>56</v>
      </c>
      <c r="C118" s="205">
        <v>32</v>
      </c>
      <c r="D118" s="205">
        <v>32</v>
      </c>
      <c r="E118" s="205">
        <v>12</v>
      </c>
      <c r="F118" s="205">
        <v>2450</v>
      </c>
      <c r="G118" s="206"/>
      <c r="H118" s="206"/>
      <c r="I118" s="206"/>
      <c r="J118" s="206"/>
      <c r="K118" s="207"/>
      <c r="L118" s="207"/>
      <c r="M118" s="207"/>
      <c r="N118" s="207"/>
      <c r="O118" s="191">
        <f t="shared" si="8"/>
        <v>2.6040729600000003</v>
      </c>
      <c r="P118" s="75">
        <f t="shared" si="9"/>
        <v>2450</v>
      </c>
      <c r="Q118" s="76">
        <f t="shared" si="10"/>
        <v>2.4500000000000002</v>
      </c>
      <c r="R118" s="185">
        <f t="shared" si="11"/>
        <v>2.6040729600000003</v>
      </c>
      <c r="S118" s="62" t="e">
        <f>VLOOKUP(A118,[1]Index!$E:$M,8,)</f>
        <v>#N/A</v>
      </c>
      <c r="T118" s="77" t="e">
        <f t="shared" si="12"/>
        <v>#N/A</v>
      </c>
      <c r="U118" s="78" t="e">
        <f t="shared" si="13"/>
        <v>#N/A</v>
      </c>
      <c r="V118" s="79">
        <f t="shared" si="15"/>
        <v>0.43401216000000004</v>
      </c>
      <c r="W118" s="80">
        <f t="shared" si="14"/>
        <v>5.6450031261796907</v>
      </c>
      <c r="X118" s="53" t="s">
        <v>45</v>
      </c>
    </row>
    <row r="119" spans="1:24" ht="14.45" customHeight="1">
      <c r="A119" s="124" t="s">
        <v>202</v>
      </c>
      <c r="B119" s="208" t="s">
        <v>56</v>
      </c>
      <c r="C119" s="205">
        <v>87</v>
      </c>
      <c r="D119" s="205">
        <v>18</v>
      </c>
      <c r="E119" s="205">
        <v>6</v>
      </c>
      <c r="F119" s="205">
        <v>3200</v>
      </c>
      <c r="G119" s="206"/>
      <c r="H119" s="206"/>
      <c r="I119" s="206"/>
      <c r="J119" s="206"/>
      <c r="K119" s="207"/>
      <c r="L119" s="207"/>
      <c r="M119" s="207"/>
      <c r="N119" s="207"/>
      <c r="O119" s="191">
        <f t="shared" si="8"/>
        <v>1.9912003199999999</v>
      </c>
      <c r="P119" s="75">
        <f t="shared" si="9"/>
        <v>3200</v>
      </c>
      <c r="Q119" s="76">
        <f t="shared" si="10"/>
        <v>3.2</v>
      </c>
      <c r="R119" s="185">
        <f t="shared" si="11"/>
        <v>3.2</v>
      </c>
      <c r="S119" s="62">
        <f>VLOOKUP(A119,[1]Index!$E:$M,8,)</f>
        <v>3332.1428764370849</v>
      </c>
      <c r="T119" s="77">
        <f t="shared" si="12"/>
        <v>132.14287643708485</v>
      </c>
      <c r="U119" s="78">
        <f t="shared" si="13"/>
        <v>3.9657025925124635E-2</v>
      </c>
      <c r="V119" s="79">
        <f t="shared" si="15"/>
        <v>0.33186672</v>
      </c>
      <c r="W119" s="80">
        <f t="shared" si="14"/>
        <v>9.642425127774187</v>
      </c>
      <c r="X119" s="53" t="s">
        <v>47</v>
      </c>
    </row>
    <row r="120" spans="1:24" ht="14.45" customHeight="1">
      <c r="A120" s="124" t="s">
        <v>203</v>
      </c>
      <c r="B120" s="208" t="s">
        <v>56</v>
      </c>
      <c r="C120" s="205">
        <v>122</v>
      </c>
      <c r="D120" s="205">
        <v>63</v>
      </c>
      <c r="E120" s="205">
        <v>7</v>
      </c>
      <c r="F120" s="205">
        <v>21750</v>
      </c>
      <c r="G120" s="206"/>
      <c r="H120" s="206"/>
      <c r="I120" s="206"/>
      <c r="J120" s="206"/>
      <c r="K120" s="207"/>
      <c r="L120" s="207"/>
      <c r="M120" s="207"/>
      <c r="N120" s="207"/>
      <c r="O120" s="191">
        <f t="shared" si="8"/>
        <v>11.40171984</v>
      </c>
      <c r="P120" s="75">
        <f t="shared" si="9"/>
        <v>21750</v>
      </c>
      <c r="Q120" s="76">
        <f t="shared" si="10"/>
        <v>21.75</v>
      </c>
      <c r="R120" s="185">
        <f t="shared" si="11"/>
        <v>21.75</v>
      </c>
      <c r="S120" s="62">
        <f>VLOOKUP(A120,[1]Index!$E:$M,8,)</f>
        <v>21677</v>
      </c>
      <c r="T120" s="77">
        <f t="shared" si="12"/>
        <v>-73</v>
      </c>
      <c r="U120" s="78">
        <f t="shared" si="13"/>
        <v>-3.3676246713106057E-3</v>
      </c>
      <c r="V120" s="79">
        <f t="shared" si="15"/>
        <v>1.90028664</v>
      </c>
      <c r="W120" s="80">
        <f t="shared" si="14"/>
        <v>11.445641695402331</v>
      </c>
      <c r="X120" s="53" t="s">
        <v>47</v>
      </c>
    </row>
    <row r="121" spans="1:24" ht="14.45" customHeight="1">
      <c r="A121" s="124" t="s">
        <v>207</v>
      </c>
      <c r="B121" s="208" t="s">
        <v>56</v>
      </c>
      <c r="C121" s="205">
        <v>112</v>
      </c>
      <c r="D121" s="205">
        <v>51</v>
      </c>
      <c r="E121" s="205">
        <v>8</v>
      </c>
      <c r="F121" s="205">
        <v>14550</v>
      </c>
      <c r="G121" s="206"/>
      <c r="H121" s="206"/>
      <c r="I121" s="206"/>
      <c r="J121" s="206"/>
      <c r="K121" s="207"/>
      <c r="L121" s="207"/>
      <c r="M121" s="207"/>
      <c r="N121" s="207"/>
      <c r="O121" s="191">
        <f t="shared" si="8"/>
        <v>9.6838963200000006</v>
      </c>
      <c r="P121" s="75">
        <f t="shared" si="9"/>
        <v>14550</v>
      </c>
      <c r="Q121" s="76">
        <f t="shared" si="10"/>
        <v>14.55</v>
      </c>
      <c r="R121" s="185">
        <f t="shared" si="11"/>
        <v>14.55</v>
      </c>
      <c r="S121" s="62">
        <f>VLOOKUP(A121,[1]Index!$E:$M,8,)</f>
        <v>15190.641212377917</v>
      </c>
      <c r="T121" s="77">
        <f t="shared" si="12"/>
        <v>640.64121237791733</v>
      </c>
      <c r="U121" s="78">
        <f t="shared" si="13"/>
        <v>4.2173414763815122E-2</v>
      </c>
      <c r="V121" s="79">
        <f t="shared" si="15"/>
        <v>1.6139827200000001</v>
      </c>
      <c r="W121" s="80">
        <f t="shared" si="14"/>
        <v>9.0149664055882823</v>
      </c>
      <c r="X121" s="53" t="s">
        <v>45</v>
      </c>
    </row>
    <row r="122" spans="1:24" ht="14.45" customHeight="1">
      <c r="A122" s="124" t="s">
        <v>208</v>
      </c>
      <c r="B122" s="208" t="s">
        <v>56</v>
      </c>
      <c r="C122" s="205">
        <v>85.7</v>
      </c>
      <c r="D122" s="205">
        <v>45.7</v>
      </c>
      <c r="E122" s="205">
        <v>6.5</v>
      </c>
      <c r="F122" s="205">
        <v>12000</v>
      </c>
      <c r="G122" s="206"/>
      <c r="H122" s="206"/>
      <c r="I122" s="206"/>
      <c r="J122" s="206"/>
      <c r="K122" s="207"/>
      <c r="L122" s="207"/>
      <c r="M122" s="207"/>
      <c r="N122" s="207"/>
      <c r="O122" s="191">
        <f t="shared" si="8"/>
        <v>5.3948866451999997</v>
      </c>
      <c r="P122" s="75">
        <f t="shared" si="9"/>
        <v>12000</v>
      </c>
      <c r="Q122" s="76">
        <f t="shared" si="10"/>
        <v>12</v>
      </c>
      <c r="R122" s="185">
        <f t="shared" si="11"/>
        <v>12</v>
      </c>
      <c r="S122" s="62">
        <f>VLOOKUP(A122,[1]Index!$E:$M,8,)</f>
        <v>12400.588493825921</v>
      </c>
      <c r="T122" s="77">
        <f t="shared" si="12"/>
        <v>400.58849382592052</v>
      </c>
      <c r="U122" s="78">
        <f t="shared" si="13"/>
        <v>3.2303990574751182E-2</v>
      </c>
      <c r="V122" s="79">
        <f t="shared" si="15"/>
        <v>0.89914777420000003</v>
      </c>
      <c r="W122" s="80">
        <f t="shared" si="14"/>
        <v>13.345970867443649</v>
      </c>
      <c r="X122" s="53" t="s">
        <v>47</v>
      </c>
    </row>
    <row r="123" spans="1:24" ht="14.45" customHeight="1">
      <c r="A123" s="124" t="s">
        <v>209</v>
      </c>
      <c r="B123" s="208" t="s">
        <v>56</v>
      </c>
      <c r="C123" s="205">
        <v>37</v>
      </c>
      <c r="D123" s="205">
        <v>35</v>
      </c>
      <c r="E123" s="205">
        <v>7</v>
      </c>
      <c r="F123" s="205">
        <v>1500</v>
      </c>
      <c r="G123" s="206"/>
      <c r="H123" s="206"/>
      <c r="I123" s="206"/>
      <c r="J123" s="206"/>
      <c r="K123" s="207"/>
      <c r="L123" s="207"/>
      <c r="M123" s="207"/>
      <c r="N123" s="207"/>
      <c r="O123" s="191">
        <f t="shared" si="8"/>
        <v>1.9210548000000001</v>
      </c>
      <c r="P123" s="75">
        <f t="shared" si="9"/>
        <v>1500</v>
      </c>
      <c r="Q123" s="76">
        <f t="shared" si="10"/>
        <v>1.5</v>
      </c>
      <c r="R123" s="185">
        <f t="shared" si="11"/>
        <v>1.9210548000000001</v>
      </c>
      <c r="S123" s="62" t="e">
        <f>VLOOKUP(A123,[1]Index!$E:$M,8,)</f>
        <v>#N/A</v>
      </c>
      <c r="T123" s="77" t="e">
        <f t="shared" si="12"/>
        <v>#N/A</v>
      </c>
      <c r="U123" s="78" t="e">
        <f t="shared" si="13"/>
        <v>#N/A</v>
      </c>
      <c r="V123" s="79">
        <f t="shared" si="15"/>
        <v>0.32017580000000001</v>
      </c>
      <c r="W123" s="80">
        <f t="shared" si="14"/>
        <v>4.6849262186586245</v>
      </c>
      <c r="X123" s="53" t="s">
        <v>47</v>
      </c>
    </row>
    <row r="124" spans="1:24" ht="14.45" customHeight="1">
      <c r="A124" s="124" t="s">
        <v>364</v>
      </c>
      <c r="B124" s="208" t="s">
        <v>56</v>
      </c>
      <c r="C124" s="205">
        <v>116</v>
      </c>
      <c r="D124" s="205">
        <v>60</v>
      </c>
      <c r="E124" s="205">
        <v>6</v>
      </c>
      <c r="F124" s="205">
        <v>15500</v>
      </c>
      <c r="G124" s="206"/>
      <c r="H124" s="206"/>
      <c r="I124" s="206"/>
      <c r="J124" s="206"/>
      <c r="K124" s="207"/>
      <c r="L124" s="207"/>
      <c r="M124" s="207"/>
      <c r="N124" s="207"/>
      <c r="O124" s="191">
        <f t="shared" si="8"/>
        <v>8.8497792000000004</v>
      </c>
      <c r="P124" s="75">
        <f t="shared" si="9"/>
        <v>15500</v>
      </c>
      <c r="Q124" s="76">
        <f t="shared" si="10"/>
        <v>15.5</v>
      </c>
      <c r="R124" s="185">
        <f t="shared" si="11"/>
        <v>15.5</v>
      </c>
      <c r="S124" s="62" t="e">
        <f>VLOOKUP(A124,[1]Index!$E:$M,8,)</f>
        <v>#N/A</v>
      </c>
      <c r="T124" s="77" t="e">
        <f t="shared" si="12"/>
        <v>#N/A</v>
      </c>
      <c r="U124" s="78" t="e">
        <f t="shared" si="13"/>
        <v>#N/A</v>
      </c>
      <c r="V124" s="79">
        <f t="shared" si="15"/>
        <v>1.4749631999999999</v>
      </c>
      <c r="W124" s="80">
        <f t="shared" si="14"/>
        <v>10.508736760347649</v>
      </c>
      <c r="X124" s="53" t="s">
        <v>45</v>
      </c>
    </row>
    <row r="125" spans="1:24" ht="14.45" customHeight="1">
      <c r="A125" s="124" t="s">
        <v>365</v>
      </c>
      <c r="B125" s="208" t="s">
        <v>56</v>
      </c>
      <c r="C125" s="205"/>
      <c r="D125" s="205"/>
      <c r="E125" s="205"/>
      <c r="F125" s="205"/>
      <c r="G125" s="206"/>
      <c r="H125" s="206"/>
      <c r="I125" s="206"/>
      <c r="J125" s="206"/>
      <c r="K125" s="207"/>
      <c r="L125" s="207"/>
      <c r="M125" s="207"/>
      <c r="N125" s="207"/>
      <c r="O125" s="191">
        <f t="shared" si="8"/>
        <v>0</v>
      </c>
      <c r="P125" s="75">
        <f t="shared" si="9"/>
        <v>0</v>
      </c>
      <c r="Q125" s="76">
        <f t="shared" si="10"/>
        <v>0</v>
      </c>
      <c r="R125" s="185">
        <f t="shared" si="11"/>
        <v>0</v>
      </c>
      <c r="S125" s="62" t="e">
        <f>VLOOKUP(A125,[1]Index!$E:$M,8,)</f>
        <v>#N/A</v>
      </c>
      <c r="T125" s="77" t="e">
        <f t="shared" si="12"/>
        <v>#N/A</v>
      </c>
      <c r="U125" s="78" t="e">
        <f t="shared" si="13"/>
        <v>#N/A</v>
      </c>
      <c r="V125" s="79">
        <f t="shared" si="15"/>
        <v>0</v>
      </c>
      <c r="W125" s="80" t="e">
        <f t="shared" si="14"/>
        <v>#DIV/0!</v>
      </c>
      <c r="X125" s="53" t="s">
        <v>45</v>
      </c>
    </row>
    <row r="126" spans="1:24" ht="14.45" customHeight="1">
      <c r="A126" s="124" t="s">
        <v>214</v>
      </c>
      <c r="B126" s="208" t="s">
        <v>56</v>
      </c>
      <c r="C126" s="205">
        <v>97</v>
      </c>
      <c r="D126" s="205">
        <v>58</v>
      </c>
      <c r="E126" s="205">
        <v>5</v>
      </c>
      <c r="F126" s="205">
        <v>10805</v>
      </c>
      <c r="G126" s="206"/>
      <c r="H126" s="206"/>
      <c r="I126" s="206"/>
      <c r="J126" s="206"/>
      <c r="K126" s="207"/>
      <c r="L126" s="207"/>
      <c r="M126" s="207"/>
      <c r="N126" s="207"/>
      <c r="O126" s="191">
        <f t="shared" si="8"/>
        <v>5.9613095999999999</v>
      </c>
      <c r="P126" s="75">
        <f t="shared" si="9"/>
        <v>10805</v>
      </c>
      <c r="Q126" s="76">
        <f t="shared" si="10"/>
        <v>10.805</v>
      </c>
      <c r="R126" s="185">
        <f t="shared" si="11"/>
        <v>10.805</v>
      </c>
      <c r="S126" s="62">
        <f>VLOOKUP(A126,[1]Index!$E:$M,8,)</f>
        <v>9918.8895500000017</v>
      </c>
      <c r="T126" s="77">
        <f t="shared" si="12"/>
        <v>-886.11044999999831</v>
      </c>
      <c r="U126" s="78">
        <f t="shared" si="13"/>
        <v>-8.9335650481156756E-2</v>
      </c>
      <c r="V126" s="79">
        <f t="shared" si="15"/>
        <v>0.99355159999999998</v>
      </c>
      <c r="W126" s="80">
        <f t="shared" si="14"/>
        <v>10.875127170043307</v>
      </c>
      <c r="X126" s="53" t="s">
        <v>47</v>
      </c>
    </row>
    <row r="127" spans="1:24" ht="14.45" customHeight="1">
      <c r="A127" s="124" t="s">
        <v>216</v>
      </c>
      <c r="B127" s="208" t="s">
        <v>56</v>
      </c>
      <c r="C127" s="205">
        <v>87</v>
      </c>
      <c r="D127" s="205">
        <v>59</v>
      </c>
      <c r="E127" s="205">
        <v>5</v>
      </c>
      <c r="F127" s="205">
        <v>6415</v>
      </c>
      <c r="G127" s="206"/>
      <c r="H127" s="206"/>
      <c r="I127" s="206"/>
      <c r="J127" s="206"/>
      <c r="K127" s="207"/>
      <c r="L127" s="207"/>
      <c r="M127" s="207"/>
      <c r="N127" s="207"/>
      <c r="O127" s="191">
        <f t="shared" si="8"/>
        <v>5.4389268000000008</v>
      </c>
      <c r="P127" s="75">
        <f t="shared" si="9"/>
        <v>6415</v>
      </c>
      <c r="Q127" s="76">
        <f t="shared" si="10"/>
        <v>6.415</v>
      </c>
      <c r="R127" s="185">
        <f t="shared" si="11"/>
        <v>6.415</v>
      </c>
      <c r="S127" s="62">
        <f>VLOOKUP(A127,[1]Index!$E:$M,8,)</f>
        <v>6633.0811068999992</v>
      </c>
      <c r="T127" s="77">
        <f t="shared" si="12"/>
        <v>218.08110689999921</v>
      </c>
      <c r="U127" s="78">
        <f t="shared" si="13"/>
        <v>3.2877798927129422E-2</v>
      </c>
      <c r="V127" s="79">
        <f t="shared" si="15"/>
        <v>0.90648780000000007</v>
      </c>
      <c r="W127" s="80">
        <f t="shared" si="14"/>
        <v>7.0767637468479991</v>
      </c>
      <c r="X127" s="53" t="s">
        <v>45</v>
      </c>
    </row>
    <row r="128" spans="1:24" ht="14.45" customHeight="1">
      <c r="A128" s="124" t="s">
        <v>219</v>
      </c>
      <c r="B128" s="208" t="s">
        <v>56</v>
      </c>
      <c r="C128" s="205">
        <v>87</v>
      </c>
      <c r="D128" s="205">
        <v>58</v>
      </c>
      <c r="E128" s="205">
        <v>5</v>
      </c>
      <c r="F128" s="205">
        <v>6900</v>
      </c>
      <c r="G128" s="206"/>
      <c r="H128" s="206"/>
      <c r="I128" s="206"/>
      <c r="J128" s="206"/>
      <c r="K128" s="207"/>
      <c r="L128" s="207"/>
      <c r="M128" s="207"/>
      <c r="N128" s="207"/>
      <c r="O128" s="191">
        <f t="shared" si="8"/>
        <v>5.3467415999999997</v>
      </c>
      <c r="P128" s="75">
        <f t="shared" si="9"/>
        <v>6900</v>
      </c>
      <c r="Q128" s="76">
        <f t="shared" si="10"/>
        <v>6.9</v>
      </c>
      <c r="R128" s="185">
        <f t="shared" si="11"/>
        <v>6.9</v>
      </c>
      <c r="S128" s="62">
        <f>VLOOKUP(A128,[1]Index!$E:$M,8,)</f>
        <v>7126.2316637976373</v>
      </c>
      <c r="T128" s="77">
        <f t="shared" si="12"/>
        <v>226.23166379763734</v>
      </c>
      <c r="U128" s="78">
        <f t="shared" si="13"/>
        <v>3.1746324631421866E-2</v>
      </c>
      <c r="V128" s="79">
        <f t="shared" si="15"/>
        <v>0.89112360000000002</v>
      </c>
      <c r="W128" s="80">
        <f t="shared" si="14"/>
        <v>7.7430336263117709</v>
      </c>
      <c r="X128" s="53" t="s">
        <v>47</v>
      </c>
    </row>
    <row r="129" spans="1:24" ht="14.45" customHeight="1">
      <c r="A129" s="124" t="s">
        <v>220</v>
      </c>
      <c r="B129" s="208" t="s">
        <v>56</v>
      </c>
      <c r="C129" s="205">
        <v>86</v>
      </c>
      <c r="D129" s="205">
        <v>66</v>
      </c>
      <c r="E129" s="205">
        <v>5</v>
      </c>
      <c r="F129" s="205">
        <v>10210</v>
      </c>
      <c r="G129" s="206"/>
      <c r="H129" s="206"/>
      <c r="I129" s="206"/>
      <c r="J129" s="206"/>
      <c r="K129" s="207"/>
      <c r="L129" s="207"/>
      <c r="M129" s="207"/>
      <c r="N129" s="207"/>
      <c r="O129" s="191">
        <f t="shared" si="8"/>
        <v>6.0142895999999997</v>
      </c>
      <c r="P129" s="75">
        <f t="shared" si="9"/>
        <v>10210</v>
      </c>
      <c r="Q129" s="76">
        <f t="shared" si="10"/>
        <v>10.210000000000001</v>
      </c>
      <c r="R129" s="185">
        <f t="shared" si="11"/>
        <v>10.210000000000001</v>
      </c>
      <c r="S129" s="62">
        <f>VLOOKUP(A129,[1]Index!$E:$M,8,)</f>
        <v>8484.8912923182233</v>
      </c>
      <c r="T129" s="77">
        <f t="shared" si="12"/>
        <v>-1725.1087076817767</v>
      </c>
      <c r="U129" s="78">
        <f t="shared" si="13"/>
        <v>-0.20331535764560707</v>
      </c>
      <c r="V129" s="79">
        <f t="shared" si="15"/>
        <v>1.0023815999999999</v>
      </c>
      <c r="W129" s="80">
        <f t="shared" si="14"/>
        <v>10.185741637715619</v>
      </c>
      <c r="X129" s="53" t="s">
        <v>47</v>
      </c>
    </row>
    <row r="130" spans="1:24">
      <c r="A130" s="124" t="s">
        <v>222</v>
      </c>
      <c r="B130" s="208" t="s">
        <v>56</v>
      </c>
      <c r="C130" s="205">
        <v>110</v>
      </c>
      <c r="D130" s="205">
        <v>45</v>
      </c>
      <c r="E130" s="205">
        <v>8</v>
      </c>
      <c r="F130" s="205">
        <v>17500</v>
      </c>
      <c r="G130" s="206"/>
      <c r="H130" s="206"/>
      <c r="I130" s="206"/>
      <c r="J130" s="206"/>
      <c r="K130" s="207"/>
      <c r="L130" s="207"/>
      <c r="M130" s="207"/>
      <c r="N130" s="207"/>
      <c r="O130" s="191">
        <f t="shared" si="8"/>
        <v>8.3920320000000004</v>
      </c>
      <c r="P130" s="75">
        <f t="shared" si="9"/>
        <v>17500</v>
      </c>
      <c r="Q130" s="76">
        <f t="shared" si="10"/>
        <v>17.5</v>
      </c>
      <c r="R130" s="185">
        <f t="shared" si="11"/>
        <v>17.5</v>
      </c>
      <c r="S130" s="62">
        <f>VLOOKUP(A130,[1]Index!$E:$M,8,)</f>
        <v>19120.121426191999</v>
      </c>
      <c r="T130" s="77">
        <f t="shared" si="12"/>
        <v>1620.1214261919995</v>
      </c>
      <c r="U130" s="78">
        <f t="shared" si="13"/>
        <v>8.473384609224556E-2</v>
      </c>
      <c r="V130" s="79">
        <f t="shared" si="15"/>
        <v>1.3986720000000001</v>
      </c>
      <c r="W130" s="80">
        <f t="shared" si="14"/>
        <v>12.511868400883122</v>
      </c>
      <c r="X130" s="53" t="s">
        <v>47</v>
      </c>
    </row>
    <row r="131" spans="1:24" ht="12.4" customHeight="1">
      <c r="A131" s="124" t="s">
        <v>223</v>
      </c>
      <c r="B131" s="208" t="s">
        <v>56</v>
      </c>
      <c r="C131" s="205">
        <v>110</v>
      </c>
      <c r="D131" s="205">
        <v>46</v>
      </c>
      <c r="E131" s="205">
        <v>8</v>
      </c>
      <c r="F131" s="205">
        <v>18450</v>
      </c>
      <c r="G131" s="206"/>
      <c r="H131" s="206"/>
      <c r="I131" s="206"/>
      <c r="J131" s="206"/>
      <c r="K131" s="207"/>
      <c r="L131" s="207"/>
      <c r="M131" s="207"/>
      <c r="N131" s="207"/>
      <c r="O131" s="191">
        <f t="shared" si="8"/>
        <v>8.578521600000002</v>
      </c>
      <c r="P131" s="75">
        <f t="shared" si="9"/>
        <v>18450</v>
      </c>
      <c r="Q131" s="76">
        <f t="shared" si="10"/>
        <v>18.45</v>
      </c>
      <c r="R131" s="185">
        <f t="shared" si="11"/>
        <v>18.45</v>
      </c>
      <c r="S131" s="62">
        <f>VLOOKUP(A131,[1]Index!$E:$M,8,)</f>
        <v>17683.295463840001</v>
      </c>
      <c r="T131" s="77">
        <f t="shared" si="12"/>
        <v>-766.70453615999941</v>
      </c>
      <c r="U131" s="78">
        <f t="shared" si="13"/>
        <v>-4.3357559552618954E-2</v>
      </c>
      <c r="V131" s="79">
        <f t="shared" si="15"/>
        <v>1.4297536000000002</v>
      </c>
      <c r="W131" s="80">
        <f t="shared" si="14"/>
        <v>12.904321415941878</v>
      </c>
      <c r="X131" s="53" t="s">
        <v>47</v>
      </c>
    </row>
    <row r="132" spans="1:24">
      <c r="A132" s="124" t="s">
        <v>225</v>
      </c>
      <c r="B132" s="208" t="s">
        <v>56</v>
      </c>
      <c r="C132" s="205">
        <v>97</v>
      </c>
      <c r="D132" s="205">
        <v>50</v>
      </c>
      <c r="E132" s="205">
        <v>7</v>
      </c>
      <c r="F132" s="205">
        <v>17600</v>
      </c>
      <c r="G132" s="206"/>
      <c r="H132" s="206"/>
      <c r="I132" s="206"/>
      <c r="J132" s="206"/>
      <c r="K132" s="207"/>
      <c r="L132" s="207"/>
      <c r="M132" s="207"/>
      <c r="N132" s="207"/>
      <c r="O132" s="191">
        <f t="shared" ref="O132:O195" si="16">V132*$O$2</f>
        <v>7.1946840000000005</v>
      </c>
      <c r="P132" s="75">
        <f t="shared" ref="P132:P195" si="17">F132+J132+N132</f>
        <v>17600</v>
      </c>
      <c r="Q132" s="76">
        <f t="shared" ref="Q132:Q195" si="18">P132/1000</f>
        <v>17.600000000000001</v>
      </c>
      <c r="R132" s="185">
        <f t="shared" ref="R132:R195" si="19">MAX(Q132,O132)</f>
        <v>17.600000000000001</v>
      </c>
      <c r="S132" s="62">
        <f>VLOOKUP(A132,[1]Index!$E:$M,8,)</f>
        <v>16988.619626656357</v>
      </c>
      <c r="T132" s="77">
        <f t="shared" ref="T132:T195" si="20">S132-P132</f>
        <v>-611.38037334364344</v>
      </c>
      <c r="U132" s="78">
        <f t="shared" ref="U132:U195" si="21">T132/S132</f>
        <v>-3.5987642714911575E-2</v>
      </c>
      <c r="V132" s="79">
        <f t="shared" si="15"/>
        <v>1.199114</v>
      </c>
      <c r="W132" s="80">
        <f t="shared" ref="W132:W195" si="22">Q132/V132</f>
        <v>14.677503556792766</v>
      </c>
      <c r="X132" s="53" t="s">
        <v>47</v>
      </c>
    </row>
    <row r="133" spans="1:24">
      <c r="A133" s="124" t="s">
        <v>228</v>
      </c>
      <c r="B133" s="208" t="s">
        <v>56</v>
      </c>
      <c r="C133" s="205">
        <v>95</v>
      </c>
      <c r="D133" s="205">
        <v>22</v>
      </c>
      <c r="E133" s="205">
        <v>12</v>
      </c>
      <c r="F133" s="205">
        <v>2600</v>
      </c>
      <c r="G133" s="206"/>
      <c r="H133" s="206"/>
      <c r="I133" s="206"/>
      <c r="J133" s="206"/>
      <c r="K133" s="207"/>
      <c r="L133" s="207"/>
      <c r="M133" s="207"/>
      <c r="N133" s="207"/>
      <c r="O133" s="191">
        <f t="shared" si="16"/>
        <v>5.3149536000000008</v>
      </c>
      <c r="P133" s="75">
        <f t="shared" si="17"/>
        <v>2600</v>
      </c>
      <c r="Q133" s="76">
        <f t="shared" si="18"/>
        <v>2.6</v>
      </c>
      <c r="R133" s="185">
        <f t="shared" si="19"/>
        <v>5.3149536000000008</v>
      </c>
      <c r="S133" s="62">
        <f>VLOOKUP(A133,[1]Index!$E:$M,8,)</f>
        <v>8246</v>
      </c>
      <c r="T133" s="77">
        <f t="shared" si="20"/>
        <v>5646</v>
      </c>
      <c r="U133" s="78">
        <f t="shared" si="21"/>
        <v>0.68469560999272372</v>
      </c>
      <c r="V133" s="79">
        <f t="shared" ref="V133:V196" si="23">(((C133*D133*E133)+(G133*H133*I133)+(K133*L133*M133))/1000000)*35.32</f>
        <v>0.8858256000000001</v>
      </c>
      <c r="W133" s="80">
        <f t="shared" si="22"/>
        <v>2.9351149932898752</v>
      </c>
      <c r="X133" s="53" t="s">
        <v>47</v>
      </c>
    </row>
    <row r="134" spans="1:24">
      <c r="A134" s="124" t="s">
        <v>366</v>
      </c>
      <c r="B134" s="208" t="s">
        <v>56</v>
      </c>
      <c r="C134" s="205">
        <v>55</v>
      </c>
      <c r="D134" s="205">
        <v>29</v>
      </c>
      <c r="E134" s="205">
        <v>8</v>
      </c>
      <c r="F134" s="205"/>
      <c r="G134" s="206"/>
      <c r="H134" s="206"/>
      <c r="I134" s="206"/>
      <c r="J134" s="206"/>
      <c r="K134" s="207"/>
      <c r="L134" s="207"/>
      <c r="M134" s="207"/>
      <c r="N134" s="207"/>
      <c r="O134" s="191">
        <f t="shared" si="16"/>
        <v>2.7040991999999999</v>
      </c>
      <c r="P134" s="75">
        <f t="shared" si="17"/>
        <v>0</v>
      </c>
      <c r="Q134" s="76">
        <f t="shared" si="18"/>
        <v>0</v>
      </c>
      <c r="R134" s="185">
        <f t="shared" si="19"/>
        <v>2.7040991999999999</v>
      </c>
      <c r="S134" s="62" t="e">
        <f>VLOOKUP(A134,[1]Index!$E:$M,8,)</f>
        <v>#N/A</v>
      </c>
      <c r="T134" s="77" t="e">
        <f t="shared" si="20"/>
        <v>#N/A</v>
      </c>
      <c r="U134" s="78" t="e">
        <f t="shared" si="21"/>
        <v>#N/A</v>
      </c>
      <c r="V134" s="79">
        <f t="shared" si="23"/>
        <v>0.45068320000000001</v>
      </c>
      <c r="W134" s="80">
        <f t="shared" si="22"/>
        <v>0</v>
      </c>
      <c r="X134" s="53" t="s">
        <v>45</v>
      </c>
    </row>
    <row r="135" spans="1:24">
      <c r="A135" s="124" t="s">
        <v>231</v>
      </c>
      <c r="B135" s="208" t="s">
        <v>56</v>
      </c>
      <c r="C135" s="205">
        <v>36</v>
      </c>
      <c r="D135" s="205">
        <v>25</v>
      </c>
      <c r="E135" s="205">
        <v>4</v>
      </c>
      <c r="F135" s="205">
        <v>12500</v>
      </c>
      <c r="G135" s="206"/>
      <c r="H135" s="206"/>
      <c r="I135" s="206"/>
      <c r="J135" s="206"/>
      <c r="K135" s="207"/>
      <c r="L135" s="207"/>
      <c r="M135" s="207"/>
      <c r="N135" s="207"/>
      <c r="O135" s="191">
        <f t="shared" si="16"/>
        <v>0.76291199999999992</v>
      </c>
      <c r="P135" s="75">
        <f t="shared" si="17"/>
        <v>12500</v>
      </c>
      <c r="Q135" s="76">
        <f t="shared" si="18"/>
        <v>12.5</v>
      </c>
      <c r="R135" s="185">
        <f t="shared" si="19"/>
        <v>12.5</v>
      </c>
      <c r="S135" s="62">
        <f>VLOOKUP(A135,[1]Index!$E:$M,8,)</f>
        <v>1083.4392</v>
      </c>
      <c r="T135" s="77">
        <f t="shared" si="20"/>
        <v>-11416.560799999999</v>
      </c>
      <c r="U135" s="78">
        <f t="shared" si="21"/>
        <v>-10.53733407467627</v>
      </c>
      <c r="V135" s="79">
        <f t="shared" si="23"/>
        <v>0.12715199999999999</v>
      </c>
      <c r="W135" s="80">
        <f t="shared" si="22"/>
        <v>98.30753743551027</v>
      </c>
      <c r="X135" s="53" t="s">
        <v>47</v>
      </c>
    </row>
    <row r="136" spans="1:24">
      <c r="A136" s="124" t="s">
        <v>232</v>
      </c>
      <c r="B136" s="208" t="s">
        <v>56</v>
      </c>
      <c r="C136" s="205">
        <v>36</v>
      </c>
      <c r="D136" s="205">
        <v>25</v>
      </c>
      <c r="E136" s="205">
        <v>4</v>
      </c>
      <c r="F136" s="205">
        <v>1900</v>
      </c>
      <c r="G136" s="206"/>
      <c r="H136" s="206"/>
      <c r="I136" s="206"/>
      <c r="J136" s="206"/>
      <c r="K136" s="207"/>
      <c r="L136" s="207"/>
      <c r="M136" s="207"/>
      <c r="N136" s="207"/>
      <c r="O136" s="191">
        <f t="shared" si="16"/>
        <v>0.76291199999999992</v>
      </c>
      <c r="P136" s="75">
        <f t="shared" si="17"/>
        <v>1900</v>
      </c>
      <c r="Q136" s="76">
        <f t="shared" si="18"/>
        <v>1.9</v>
      </c>
      <c r="R136" s="185">
        <f t="shared" si="19"/>
        <v>1.9</v>
      </c>
      <c r="S136" s="62">
        <f>VLOOKUP(A136,[1]Index!$E:$M,8,)</f>
        <v>1281.1013680000001</v>
      </c>
      <c r="T136" s="77">
        <f t="shared" si="20"/>
        <v>-618.89863199999991</v>
      </c>
      <c r="U136" s="78">
        <f t="shared" si="21"/>
        <v>-0.48309887684079023</v>
      </c>
      <c r="V136" s="79">
        <f t="shared" si="23"/>
        <v>0.12715199999999999</v>
      </c>
      <c r="W136" s="80">
        <f t="shared" si="22"/>
        <v>14.94274569019756</v>
      </c>
      <c r="X136" s="53" t="s">
        <v>47</v>
      </c>
    </row>
    <row r="137" spans="1:24" ht="12.95" customHeight="1">
      <c r="A137" s="124" t="s">
        <v>233</v>
      </c>
      <c r="B137" s="208" t="s">
        <v>56</v>
      </c>
      <c r="C137" s="205">
        <v>46</v>
      </c>
      <c r="D137" s="205">
        <v>35</v>
      </c>
      <c r="E137" s="205">
        <v>9</v>
      </c>
      <c r="F137" s="205">
        <v>6860</v>
      </c>
      <c r="G137" s="206"/>
      <c r="H137" s="206"/>
      <c r="I137" s="206"/>
      <c r="J137" s="206"/>
      <c r="K137" s="207"/>
      <c r="L137" s="207"/>
      <c r="M137" s="207"/>
      <c r="N137" s="207"/>
      <c r="O137" s="191">
        <f t="shared" si="16"/>
        <v>3.0707208000000001</v>
      </c>
      <c r="P137" s="75">
        <f t="shared" si="17"/>
        <v>6860</v>
      </c>
      <c r="Q137" s="76">
        <f t="shared" si="18"/>
        <v>6.86</v>
      </c>
      <c r="R137" s="185">
        <f t="shared" si="19"/>
        <v>6.86</v>
      </c>
      <c r="S137" s="62">
        <f>VLOOKUP(A137,[1]Index!$E:$M,8,)</f>
        <v>6535.6482758508109</v>
      </c>
      <c r="T137" s="77">
        <f t="shared" si="20"/>
        <v>-324.35172414918907</v>
      </c>
      <c r="U137" s="78">
        <f t="shared" si="21"/>
        <v>-4.9628087445841775E-2</v>
      </c>
      <c r="V137" s="79">
        <f t="shared" si="23"/>
        <v>0.51178679999999999</v>
      </c>
      <c r="W137" s="80">
        <f t="shared" si="22"/>
        <v>13.404019017293921</v>
      </c>
      <c r="X137" s="53" t="s">
        <v>47</v>
      </c>
    </row>
    <row r="138" spans="1:24" ht="14.45" customHeight="1">
      <c r="A138" s="124" t="s">
        <v>235</v>
      </c>
      <c r="B138" s="208" t="s">
        <v>56</v>
      </c>
      <c r="C138" s="205">
        <v>175</v>
      </c>
      <c r="D138" s="205">
        <v>41</v>
      </c>
      <c r="E138" s="205">
        <v>7</v>
      </c>
      <c r="F138" s="205">
        <v>23150</v>
      </c>
      <c r="G138" s="206"/>
      <c r="H138" s="206"/>
      <c r="I138" s="206"/>
      <c r="J138" s="206"/>
      <c r="K138" s="207"/>
      <c r="L138" s="207"/>
      <c r="M138" s="207"/>
      <c r="N138" s="207"/>
      <c r="O138" s="191">
        <f t="shared" si="16"/>
        <v>10.643682</v>
      </c>
      <c r="P138" s="75">
        <f t="shared" si="17"/>
        <v>23150</v>
      </c>
      <c r="Q138" s="76">
        <f t="shared" si="18"/>
        <v>23.15</v>
      </c>
      <c r="R138" s="185">
        <f t="shared" si="19"/>
        <v>23.15</v>
      </c>
      <c r="S138" s="62">
        <f>VLOOKUP(A138,[1]Index!$E:$M,8,)</f>
        <v>20048.157132549994</v>
      </c>
      <c r="T138" s="77">
        <f t="shared" si="20"/>
        <v>-3101.8428674500065</v>
      </c>
      <c r="U138" s="78">
        <f t="shared" si="21"/>
        <v>-0.15471960075641489</v>
      </c>
      <c r="V138" s="79">
        <f t="shared" si="23"/>
        <v>1.7739469999999999</v>
      </c>
      <c r="W138" s="80">
        <f t="shared" si="22"/>
        <v>13.04999529298226</v>
      </c>
      <c r="X138" s="53" t="s">
        <v>47</v>
      </c>
    </row>
    <row r="139" spans="1:24">
      <c r="A139" s="124" t="s">
        <v>240</v>
      </c>
      <c r="B139" s="208" t="s">
        <v>56</v>
      </c>
      <c r="C139" s="205">
        <v>117</v>
      </c>
      <c r="D139" s="205">
        <v>28</v>
      </c>
      <c r="E139" s="205">
        <v>6</v>
      </c>
      <c r="F139" s="205">
        <v>8850</v>
      </c>
      <c r="G139" s="206"/>
      <c r="H139" s="206"/>
      <c r="I139" s="206"/>
      <c r="J139" s="206"/>
      <c r="K139" s="207"/>
      <c r="L139" s="207"/>
      <c r="M139" s="207"/>
      <c r="N139" s="207"/>
      <c r="O139" s="191">
        <f t="shared" si="16"/>
        <v>4.16549952</v>
      </c>
      <c r="P139" s="75">
        <f t="shared" si="17"/>
        <v>8850</v>
      </c>
      <c r="Q139" s="76">
        <f t="shared" si="18"/>
        <v>8.85</v>
      </c>
      <c r="R139" s="185">
        <f t="shared" si="19"/>
        <v>8.85</v>
      </c>
      <c r="S139" s="62">
        <f>VLOOKUP(A139,[1]Index!$E:$M,8,)</f>
        <v>8298.5044622708483</v>
      </c>
      <c r="T139" s="77">
        <f t="shared" si="20"/>
        <v>-551.49553772915169</v>
      </c>
      <c r="U139" s="78">
        <f t="shared" si="21"/>
        <v>-6.6457220121592539E-2</v>
      </c>
      <c r="V139" s="79">
        <f t="shared" si="23"/>
        <v>0.69424991999999996</v>
      </c>
      <c r="W139" s="80">
        <f t="shared" si="22"/>
        <v>12.747570788340891</v>
      </c>
      <c r="X139" s="53" t="s">
        <v>47</v>
      </c>
    </row>
    <row r="140" spans="1:24">
      <c r="A140" s="124" t="s">
        <v>242</v>
      </c>
      <c r="B140" s="208" t="s">
        <v>56</v>
      </c>
      <c r="C140" s="205">
        <v>144</v>
      </c>
      <c r="D140" s="205">
        <v>40</v>
      </c>
      <c r="E140" s="205">
        <v>10</v>
      </c>
      <c r="F140" s="205">
        <v>30000</v>
      </c>
      <c r="G140" s="206"/>
      <c r="H140" s="206"/>
      <c r="I140" s="206"/>
      <c r="J140" s="206"/>
      <c r="K140" s="207"/>
      <c r="L140" s="207"/>
      <c r="M140" s="207"/>
      <c r="N140" s="207"/>
      <c r="O140" s="191">
        <f t="shared" si="16"/>
        <v>12.206591999999999</v>
      </c>
      <c r="P140" s="75">
        <f t="shared" si="17"/>
        <v>30000</v>
      </c>
      <c r="Q140" s="76">
        <f t="shared" si="18"/>
        <v>30</v>
      </c>
      <c r="R140" s="185">
        <f t="shared" si="19"/>
        <v>30</v>
      </c>
      <c r="S140" s="62">
        <f>VLOOKUP(A140,[1]Index!$E:$M,8,)</f>
        <v>24666.917917480001</v>
      </c>
      <c r="T140" s="77">
        <f t="shared" si="20"/>
        <v>-5333.0820825199989</v>
      </c>
      <c r="U140" s="78">
        <f t="shared" si="21"/>
        <v>-0.21620382815401334</v>
      </c>
      <c r="V140" s="79">
        <f t="shared" si="23"/>
        <v>2.0344319999999998</v>
      </c>
      <c r="W140" s="80">
        <f t="shared" si="22"/>
        <v>14.746130615326539</v>
      </c>
      <c r="X140" s="53" t="s">
        <v>47</v>
      </c>
    </row>
    <row r="141" spans="1:24">
      <c r="A141" s="124" t="s">
        <v>246</v>
      </c>
      <c r="B141" s="208" t="s">
        <v>56</v>
      </c>
      <c r="C141" s="205">
        <v>127</v>
      </c>
      <c r="D141" s="205">
        <v>34</v>
      </c>
      <c r="E141" s="205">
        <v>8</v>
      </c>
      <c r="F141" s="205">
        <v>14700</v>
      </c>
      <c r="G141" s="206"/>
      <c r="H141" s="206"/>
      <c r="I141" s="206"/>
      <c r="J141" s="206"/>
      <c r="K141" s="207"/>
      <c r="L141" s="207"/>
      <c r="M141" s="207"/>
      <c r="N141" s="207"/>
      <c r="O141" s="191">
        <f t="shared" si="16"/>
        <v>7.3205644799999998</v>
      </c>
      <c r="P141" s="75">
        <f t="shared" si="17"/>
        <v>14700</v>
      </c>
      <c r="Q141" s="76">
        <f t="shared" si="18"/>
        <v>14.7</v>
      </c>
      <c r="R141" s="185">
        <f t="shared" si="19"/>
        <v>14.7</v>
      </c>
      <c r="S141" s="62">
        <f>VLOOKUP(A141,[1]Index!$E:$M,8,)</f>
        <v>13855.265305800001</v>
      </c>
      <c r="T141" s="77">
        <f t="shared" si="20"/>
        <v>-844.73469419999856</v>
      </c>
      <c r="U141" s="78">
        <f t="shared" si="21"/>
        <v>-6.0968496492548666E-2</v>
      </c>
      <c r="V141" s="79">
        <f t="shared" si="23"/>
        <v>1.22009408</v>
      </c>
      <c r="W141" s="80">
        <f t="shared" si="22"/>
        <v>12.048251229937939</v>
      </c>
      <c r="X141" s="53" t="s">
        <v>47</v>
      </c>
    </row>
    <row r="142" spans="1:24" ht="14.45" customHeight="1">
      <c r="A142" s="124" t="s">
        <v>247</v>
      </c>
      <c r="B142" s="208" t="s">
        <v>56</v>
      </c>
      <c r="C142" s="205">
        <v>99</v>
      </c>
      <c r="D142" s="205">
        <v>27</v>
      </c>
      <c r="E142" s="205">
        <v>6</v>
      </c>
      <c r="F142" s="205">
        <v>6600</v>
      </c>
      <c r="G142" s="206"/>
      <c r="H142" s="206"/>
      <c r="I142" s="206"/>
      <c r="J142" s="206"/>
      <c r="K142" s="207"/>
      <c r="L142" s="207"/>
      <c r="M142" s="207"/>
      <c r="N142" s="207"/>
      <c r="O142" s="191">
        <f t="shared" si="16"/>
        <v>3.3987729600000005</v>
      </c>
      <c r="P142" s="75">
        <f t="shared" si="17"/>
        <v>6600</v>
      </c>
      <c r="Q142" s="76">
        <f t="shared" si="18"/>
        <v>6.6</v>
      </c>
      <c r="R142" s="185">
        <f t="shared" si="19"/>
        <v>6.6</v>
      </c>
      <c r="S142" s="62">
        <f>VLOOKUP(A142,[1]Index!$E:$M,8,)</f>
        <v>5655.1775039999984</v>
      </c>
      <c r="T142" s="77">
        <f t="shared" si="20"/>
        <v>-944.82249600000159</v>
      </c>
      <c r="U142" s="78">
        <f t="shared" si="21"/>
        <v>-0.16707212025293872</v>
      </c>
      <c r="V142" s="79">
        <f t="shared" si="23"/>
        <v>0.56646216000000005</v>
      </c>
      <c r="W142" s="80">
        <f t="shared" si="22"/>
        <v>11.651263696060473</v>
      </c>
      <c r="X142" s="53" t="s">
        <v>47</v>
      </c>
    </row>
    <row r="143" spans="1:24" ht="14.45" customHeight="1">
      <c r="A143" s="124" t="s">
        <v>248</v>
      </c>
      <c r="B143" s="208" t="s">
        <v>56</v>
      </c>
      <c r="C143" s="205">
        <v>97</v>
      </c>
      <c r="D143" s="205">
        <v>28</v>
      </c>
      <c r="E143" s="205">
        <v>9</v>
      </c>
      <c r="F143" s="205">
        <v>11150</v>
      </c>
      <c r="G143" s="206"/>
      <c r="H143" s="206"/>
      <c r="I143" s="206"/>
      <c r="J143" s="206"/>
      <c r="K143" s="207"/>
      <c r="L143" s="207"/>
      <c r="M143" s="207"/>
      <c r="N143" s="207"/>
      <c r="O143" s="191">
        <f t="shared" si="16"/>
        <v>5.1801724800000004</v>
      </c>
      <c r="P143" s="75">
        <f t="shared" si="17"/>
        <v>11150</v>
      </c>
      <c r="Q143" s="76">
        <f t="shared" si="18"/>
        <v>11.15</v>
      </c>
      <c r="R143" s="185">
        <f t="shared" si="19"/>
        <v>11.15</v>
      </c>
      <c r="S143" s="62">
        <f>VLOOKUP(A143,[1]Index!$E:$M,8,)</f>
        <v>11053.271231799998</v>
      </c>
      <c r="T143" s="77">
        <f t="shared" si="20"/>
        <v>-96.728768200002378</v>
      </c>
      <c r="U143" s="78">
        <f t="shared" si="21"/>
        <v>-8.7511439981420181E-3</v>
      </c>
      <c r="V143" s="79">
        <f t="shared" si="23"/>
        <v>0.86336208000000003</v>
      </c>
      <c r="W143" s="80">
        <f t="shared" si="22"/>
        <v>12.914627892853483</v>
      </c>
      <c r="X143" s="53" t="s">
        <v>47</v>
      </c>
    </row>
    <row r="144" spans="1:24" ht="14.45" customHeight="1">
      <c r="A144" s="124" t="s">
        <v>249</v>
      </c>
      <c r="B144" s="208" t="s">
        <v>44</v>
      </c>
      <c r="C144" s="205">
        <v>228</v>
      </c>
      <c r="D144" s="205">
        <v>46</v>
      </c>
      <c r="E144" s="205">
        <v>9</v>
      </c>
      <c r="F144" s="205">
        <v>49050</v>
      </c>
      <c r="G144" s="206">
        <v>148</v>
      </c>
      <c r="H144" s="206">
        <v>26</v>
      </c>
      <c r="I144" s="206">
        <v>9</v>
      </c>
      <c r="J144" s="206">
        <v>19850</v>
      </c>
      <c r="K144" s="207">
        <v>158</v>
      </c>
      <c r="L144" s="207">
        <v>29</v>
      </c>
      <c r="M144" s="207">
        <v>7</v>
      </c>
      <c r="N144" s="207">
        <v>15000</v>
      </c>
      <c r="O144" s="191">
        <f t="shared" si="16"/>
        <v>34.139888159999998</v>
      </c>
      <c r="P144" s="75">
        <f t="shared" si="17"/>
        <v>83900</v>
      </c>
      <c r="Q144" s="76">
        <f t="shared" si="18"/>
        <v>83.9</v>
      </c>
      <c r="R144" s="185">
        <f t="shared" si="19"/>
        <v>83.9</v>
      </c>
      <c r="S144" s="62">
        <f>VLOOKUP(A144,[1]Index!$E:$M,8,)</f>
        <v>71563.038988735992</v>
      </c>
      <c r="T144" s="77">
        <f t="shared" si="20"/>
        <v>-12336.961011264008</v>
      </c>
      <c r="U144" s="78">
        <f t="shared" si="21"/>
        <v>-0.17239291658932823</v>
      </c>
      <c r="V144" s="79">
        <f t="shared" si="23"/>
        <v>5.68998136</v>
      </c>
      <c r="W144" s="80">
        <f t="shared" si="22"/>
        <v>14.745215263763185</v>
      </c>
      <c r="X144" s="53" t="s">
        <v>47</v>
      </c>
    </row>
    <row r="145" spans="1:24" ht="14.45" customHeight="1">
      <c r="A145" s="124" t="s">
        <v>250</v>
      </c>
      <c r="B145" s="208" t="s">
        <v>56</v>
      </c>
      <c r="C145" s="205">
        <v>91</v>
      </c>
      <c r="D145" s="205">
        <v>53</v>
      </c>
      <c r="E145" s="205">
        <v>9</v>
      </c>
      <c r="F145" s="205">
        <v>19750</v>
      </c>
      <c r="G145" s="206"/>
      <c r="H145" s="206"/>
      <c r="I145" s="206"/>
      <c r="J145" s="206"/>
      <c r="K145" s="207"/>
      <c r="L145" s="207"/>
      <c r="M145" s="207"/>
      <c r="N145" s="207"/>
      <c r="O145" s="191">
        <f t="shared" si="16"/>
        <v>9.1988114400000001</v>
      </c>
      <c r="P145" s="75">
        <f t="shared" si="17"/>
        <v>19750</v>
      </c>
      <c r="Q145" s="76">
        <f t="shared" si="18"/>
        <v>19.75</v>
      </c>
      <c r="R145" s="185">
        <f t="shared" si="19"/>
        <v>19.75</v>
      </c>
      <c r="S145" s="62">
        <f>VLOOKUP(A145,[1]Index!$E:$M,8,)</f>
        <v>19574</v>
      </c>
      <c r="T145" s="77">
        <f t="shared" si="20"/>
        <v>-176</v>
      </c>
      <c r="U145" s="78">
        <f t="shared" si="21"/>
        <v>-8.9915193624195353E-3</v>
      </c>
      <c r="V145" s="79">
        <f t="shared" si="23"/>
        <v>1.53313524</v>
      </c>
      <c r="W145" s="80">
        <f t="shared" si="22"/>
        <v>12.882099037786125</v>
      </c>
      <c r="X145" s="53" t="s">
        <v>47</v>
      </c>
    </row>
    <row r="146" spans="1:24" ht="15" customHeight="1">
      <c r="A146" s="124" t="s">
        <v>251</v>
      </c>
      <c r="B146" s="208" t="s">
        <v>56</v>
      </c>
      <c r="C146" s="205">
        <v>153</v>
      </c>
      <c r="D146" s="205">
        <v>45</v>
      </c>
      <c r="E146" s="205">
        <v>9</v>
      </c>
      <c r="F146" s="205">
        <v>30700</v>
      </c>
      <c r="G146" s="206"/>
      <c r="H146" s="206"/>
      <c r="I146" s="206"/>
      <c r="J146" s="206"/>
      <c r="K146" s="207"/>
      <c r="L146" s="207"/>
      <c r="M146" s="207"/>
      <c r="N146" s="207"/>
      <c r="O146" s="191">
        <f t="shared" si="16"/>
        <v>13.131622800000001</v>
      </c>
      <c r="P146" s="75">
        <f t="shared" si="17"/>
        <v>30700</v>
      </c>
      <c r="Q146" s="76">
        <f t="shared" si="18"/>
        <v>30.7</v>
      </c>
      <c r="R146" s="185">
        <f t="shared" si="19"/>
        <v>30.7</v>
      </c>
      <c r="S146" s="62">
        <f>VLOOKUP(A146,[1]Index!$E:$M,8,)</f>
        <v>28017.14444964</v>
      </c>
      <c r="T146" s="77">
        <f t="shared" si="20"/>
        <v>-2682.8555503600001</v>
      </c>
      <c r="U146" s="78">
        <f t="shared" si="21"/>
        <v>-9.5757637084762676E-2</v>
      </c>
      <c r="V146" s="79">
        <f t="shared" si="23"/>
        <v>2.1886038000000001</v>
      </c>
      <c r="W146" s="80">
        <f t="shared" si="22"/>
        <v>14.027207665453197</v>
      </c>
      <c r="X146" s="53" t="s">
        <v>47</v>
      </c>
    </row>
    <row r="147" spans="1:24" ht="14.45" customHeight="1">
      <c r="A147" s="124" t="s">
        <v>252</v>
      </c>
      <c r="B147" s="208" t="s">
        <v>56</v>
      </c>
      <c r="C147" s="205">
        <v>145</v>
      </c>
      <c r="D147" s="205">
        <v>30</v>
      </c>
      <c r="E147" s="205">
        <v>7</v>
      </c>
      <c r="F147" s="205">
        <v>15050</v>
      </c>
      <c r="G147" s="206"/>
      <c r="H147" s="206"/>
      <c r="I147" s="206"/>
      <c r="J147" s="206"/>
      <c r="K147" s="207"/>
      <c r="L147" s="207"/>
      <c r="M147" s="207"/>
      <c r="N147" s="207"/>
      <c r="O147" s="191">
        <f t="shared" si="16"/>
        <v>6.4529639999999997</v>
      </c>
      <c r="P147" s="75">
        <f t="shared" si="17"/>
        <v>15050</v>
      </c>
      <c r="Q147" s="76">
        <f t="shared" si="18"/>
        <v>15.05</v>
      </c>
      <c r="R147" s="185">
        <f t="shared" si="19"/>
        <v>15.05</v>
      </c>
      <c r="S147" s="62">
        <f>VLOOKUP(A147,[1]Index!$E:$M,8,)</f>
        <v>12739.110340423653</v>
      </c>
      <c r="T147" s="77">
        <f t="shared" si="20"/>
        <v>-2310.8896595763472</v>
      </c>
      <c r="U147" s="78">
        <f t="shared" si="21"/>
        <v>-0.18140118091633517</v>
      </c>
      <c r="V147" s="79">
        <f t="shared" si="23"/>
        <v>1.075494</v>
      </c>
      <c r="W147" s="80">
        <f t="shared" si="22"/>
        <v>13.993569466682288</v>
      </c>
      <c r="X147" s="53" t="s">
        <v>45</v>
      </c>
    </row>
    <row r="148" spans="1:24" ht="14.45" customHeight="1">
      <c r="A148" s="124" t="s">
        <v>253</v>
      </c>
      <c r="B148" s="208" t="s">
        <v>56</v>
      </c>
      <c r="C148" s="205">
        <v>70</v>
      </c>
      <c r="D148" s="205">
        <v>30</v>
      </c>
      <c r="E148" s="205">
        <v>6</v>
      </c>
      <c r="F148" s="205">
        <v>3310</v>
      </c>
      <c r="G148" s="206"/>
      <c r="H148" s="206"/>
      <c r="I148" s="206"/>
      <c r="J148" s="206"/>
      <c r="K148" s="207"/>
      <c r="L148" s="207"/>
      <c r="M148" s="207"/>
      <c r="N148" s="207"/>
      <c r="O148" s="191">
        <f t="shared" si="16"/>
        <v>2.6701920000000001</v>
      </c>
      <c r="P148" s="75">
        <f t="shared" si="17"/>
        <v>3310</v>
      </c>
      <c r="Q148" s="76">
        <f t="shared" si="18"/>
        <v>3.31</v>
      </c>
      <c r="R148" s="185">
        <f t="shared" si="19"/>
        <v>3.31</v>
      </c>
      <c r="S148" s="62">
        <f>VLOOKUP(A148,[1]Index!$E:$M,8,)</f>
        <v>6355.8931959390311</v>
      </c>
      <c r="T148" s="77">
        <f t="shared" si="20"/>
        <v>3045.8931959390311</v>
      </c>
      <c r="U148" s="78">
        <f t="shared" si="21"/>
        <v>0.47922347057139708</v>
      </c>
      <c r="V148" s="79">
        <f t="shared" si="23"/>
        <v>0.44503199999999998</v>
      </c>
      <c r="W148" s="80">
        <f t="shared" si="22"/>
        <v>7.4376674036923189</v>
      </c>
      <c r="X148" s="53" t="s">
        <v>45</v>
      </c>
    </row>
    <row r="149" spans="1:24">
      <c r="A149" s="124" t="s">
        <v>254</v>
      </c>
      <c r="B149" s="208" t="s">
        <v>56</v>
      </c>
      <c r="C149" s="205">
        <v>97</v>
      </c>
      <c r="D149" s="205">
        <v>30</v>
      </c>
      <c r="E149" s="205">
        <v>6</v>
      </c>
      <c r="F149" s="205">
        <v>4800</v>
      </c>
      <c r="G149" s="206"/>
      <c r="H149" s="206"/>
      <c r="I149" s="206"/>
      <c r="J149" s="206"/>
      <c r="K149" s="207"/>
      <c r="L149" s="207"/>
      <c r="M149" s="207"/>
      <c r="N149" s="207"/>
      <c r="O149" s="191">
        <f t="shared" si="16"/>
        <v>3.7001232000000002</v>
      </c>
      <c r="P149" s="75">
        <f t="shared" si="17"/>
        <v>4800</v>
      </c>
      <c r="Q149" s="76">
        <f t="shared" si="18"/>
        <v>4.8</v>
      </c>
      <c r="R149" s="185">
        <f t="shared" si="19"/>
        <v>4.8</v>
      </c>
      <c r="S149" s="62">
        <f>VLOOKUP(A149,[1]Index!$E:$M,8,)</f>
        <v>1658.5727156</v>
      </c>
      <c r="T149" s="77">
        <f t="shared" si="20"/>
        <v>-3141.4272843999997</v>
      </c>
      <c r="U149" s="78">
        <f t="shared" si="21"/>
        <v>-1.8940546017987321</v>
      </c>
      <c r="V149" s="79">
        <f t="shared" si="23"/>
        <v>0.61668719999999999</v>
      </c>
      <c r="W149" s="80">
        <f t="shared" si="22"/>
        <v>7.7835246134507088</v>
      </c>
      <c r="X149" s="53" t="s">
        <v>47</v>
      </c>
    </row>
    <row r="150" spans="1:24" ht="14.45" customHeight="1">
      <c r="A150" s="124" t="s">
        <v>255</v>
      </c>
      <c r="B150" s="208" t="s">
        <v>56</v>
      </c>
      <c r="C150" s="205">
        <v>65</v>
      </c>
      <c r="D150" s="205">
        <v>28</v>
      </c>
      <c r="E150" s="205">
        <v>5</v>
      </c>
      <c r="F150" s="205">
        <v>3500</v>
      </c>
      <c r="G150" s="206"/>
      <c r="H150" s="206"/>
      <c r="I150" s="206"/>
      <c r="J150" s="206"/>
      <c r="K150" s="207"/>
      <c r="L150" s="207"/>
      <c r="M150" s="207"/>
      <c r="N150" s="207"/>
      <c r="O150" s="191">
        <f t="shared" si="16"/>
        <v>1.9284720000000002</v>
      </c>
      <c r="P150" s="75">
        <f t="shared" si="17"/>
        <v>3500</v>
      </c>
      <c r="Q150" s="76">
        <f t="shared" si="18"/>
        <v>3.5</v>
      </c>
      <c r="R150" s="185">
        <f t="shared" si="19"/>
        <v>3.5</v>
      </c>
      <c r="S150" s="62">
        <f>VLOOKUP(A150,[1]Index!$E:$M,8,)</f>
        <v>1429.1156484000001</v>
      </c>
      <c r="T150" s="77">
        <f t="shared" si="20"/>
        <v>-2070.8843515999997</v>
      </c>
      <c r="U150" s="78">
        <f t="shared" si="21"/>
        <v>-1.4490670184169538</v>
      </c>
      <c r="V150" s="79">
        <f t="shared" si="23"/>
        <v>0.32141200000000003</v>
      </c>
      <c r="W150" s="80">
        <f t="shared" si="22"/>
        <v>10.889450300548827</v>
      </c>
      <c r="X150" s="53" t="s">
        <v>47</v>
      </c>
    </row>
    <row r="151" spans="1:24" ht="14.45" customHeight="1">
      <c r="A151" s="124" t="s">
        <v>256</v>
      </c>
      <c r="B151" s="208" t="s">
        <v>56</v>
      </c>
      <c r="C151" s="205">
        <v>125</v>
      </c>
      <c r="D151" s="205">
        <v>42</v>
      </c>
      <c r="E151" s="205">
        <v>8</v>
      </c>
      <c r="F151" s="205">
        <v>16900</v>
      </c>
      <c r="G151" s="206"/>
      <c r="H151" s="206"/>
      <c r="I151" s="206"/>
      <c r="J151" s="206"/>
      <c r="K151" s="207"/>
      <c r="L151" s="207"/>
      <c r="M151" s="207"/>
      <c r="N151" s="207"/>
      <c r="O151" s="191">
        <f t="shared" si="16"/>
        <v>8.900640000000001</v>
      </c>
      <c r="P151" s="75">
        <f t="shared" si="17"/>
        <v>16900</v>
      </c>
      <c r="Q151" s="76">
        <f t="shared" si="18"/>
        <v>16.899999999999999</v>
      </c>
      <c r="R151" s="185">
        <f t="shared" si="19"/>
        <v>16.899999999999999</v>
      </c>
      <c r="S151" s="62">
        <f>VLOOKUP(A151,[1]Index!$E:$M,8,)</f>
        <v>16103.083993481443</v>
      </c>
      <c r="T151" s="77">
        <f t="shared" si="20"/>
        <v>-796.91600651855697</v>
      </c>
      <c r="U151" s="78">
        <f t="shared" si="21"/>
        <v>-4.9488408980612034E-2</v>
      </c>
      <c r="V151" s="79">
        <f t="shared" si="23"/>
        <v>1.4834400000000001</v>
      </c>
      <c r="W151" s="80">
        <f t="shared" si="22"/>
        <v>11.392439195383702</v>
      </c>
      <c r="X151" s="53" t="s">
        <v>45</v>
      </c>
    </row>
    <row r="152" spans="1:24" ht="14.45" customHeight="1">
      <c r="A152" s="124" t="s">
        <v>257</v>
      </c>
      <c r="B152" s="208" t="s">
        <v>56</v>
      </c>
      <c r="C152" s="205">
        <v>96</v>
      </c>
      <c r="D152" s="205">
        <v>30</v>
      </c>
      <c r="E152" s="205">
        <v>4</v>
      </c>
      <c r="F152" s="205">
        <v>5200</v>
      </c>
      <c r="G152" s="206"/>
      <c r="H152" s="206"/>
      <c r="I152" s="206"/>
      <c r="J152" s="206"/>
      <c r="K152" s="207"/>
      <c r="L152" s="207"/>
      <c r="M152" s="207"/>
      <c r="N152" s="207"/>
      <c r="O152" s="191">
        <f t="shared" si="16"/>
        <v>2.4413184000000001</v>
      </c>
      <c r="P152" s="75">
        <f t="shared" si="17"/>
        <v>5200</v>
      </c>
      <c r="Q152" s="76">
        <f t="shared" si="18"/>
        <v>5.2</v>
      </c>
      <c r="R152" s="185">
        <f t="shared" si="19"/>
        <v>5.2</v>
      </c>
      <c r="S152" s="62">
        <f>VLOOKUP(A152,[1]Index!$E:$M,8,)</f>
        <v>5448</v>
      </c>
      <c r="T152" s="77">
        <f t="shared" si="20"/>
        <v>248</v>
      </c>
      <c r="U152" s="78">
        <f t="shared" si="21"/>
        <v>4.552129221732746E-2</v>
      </c>
      <c r="V152" s="79">
        <f t="shared" si="23"/>
        <v>0.40688640000000004</v>
      </c>
      <c r="W152" s="80">
        <f t="shared" si="22"/>
        <v>12.779979866616333</v>
      </c>
      <c r="X152" s="53" t="s">
        <v>47</v>
      </c>
    </row>
    <row r="153" spans="1:24">
      <c r="A153" s="124" t="s">
        <v>258</v>
      </c>
      <c r="B153" s="208" t="s">
        <v>56</v>
      </c>
      <c r="C153" s="205">
        <v>67</v>
      </c>
      <c r="D153" s="205">
        <v>29</v>
      </c>
      <c r="E153" s="205">
        <v>4</v>
      </c>
      <c r="F153" s="205">
        <v>3200</v>
      </c>
      <c r="G153" s="206"/>
      <c r="H153" s="206"/>
      <c r="I153" s="206"/>
      <c r="J153" s="206"/>
      <c r="K153" s="207"/>
      <c r="L153" s="207"/>
      <c r="M153" s="207"/>
      <c r="N153" s="207"/>
      <c r="O153" s="191">
        <f t="shared" si="16"/>
        <v>1.6470422400000002</v>
      </c>
      <c r="P153" s="75">
        <f t="shared" si="17"/>
        <v>3200</v>
      </c>
      <c r="Q153" s="76">
        <f t="shared" si="18"/>
        <v>3.2</v>
      </c>
      <c r="R153" s="185">
        <f t="shared" si="19"/>
        <v>3.2</v>
      </c>
      <c r="S153" s="62">
        <f>VLOOKUP(A153,[1]Index!$E:$M,8,)</f>
        <v>4182</v>
      </c>
      <c r="T153" s="77">
        <f t="shared" si="20"/>
        <v>982</v>
      </c>
      <c r="U153" s="78">
        <f t="shared" si="21"/>
        <v>0.2348158775705404</v>
      </c>
      <c r="V153" s="79">
        <f t="shared" si="23"/>
        <v>0.27450704000000004</v>
      </c>
      <c r="W153" s="80">
        <f t="shared" si="22"/>
        <v>11.657260229100135</v>
      </c>
      <c r="X153" s="53" t="s">
        <v>47</v>
      </c>
    </row>
    <row r="154" spans="1:24" ht="14.45" customHeight="1">
      <c r="A154" s="124" t="s">
        <v>259</v>
      </c>
      <c r="B154" s="208" t="s">
        <v>56</v>
      </c>
      <c r="C154" s="205">
        <v>125</v>
      </c>
      <c r="D154" s="205">
        <v>34</v>
      </c>
      <c r="E154" s="205">
        <v>6</v>
      </c>
      <c r="F154" s="205">
        <v>8750</v>
      </c>
      <c r="G154" s="206"/>
      <c r="H154" s="206"/>
      <c r="I154" s="206"/>
      <c r="J154" s="206"/>
      <c r="K154" s="207"/>
      <c r="L154" s="207"/>
      <c r="M154" s="207"/>
      <c r="N154" s="207"/>
      <c r="O154" s="191">
        <f t="shared" si="16"/>
        <v>5.4039599999999997</v>
      </c>
      <c r="P154" s="75">
        <f t="shared" si="17"/>
        <v>8750</v>
      </c>
      <c r="Q154" s="76">
        <f t="shared" si="18"/>
        <v>8.75</v>
      </c>
      <c r="R154" s="185">
        <f t="shared" si="19"/>
        <v>8.75</v>
      </c>
      <c r="S154" s="62">
        <f>VLOOKUP(A154,[1]Index!$E:$M,8,)</f>
        <v>3700.9682400000006</v>
      </c>
      <c r="T154" s="77">
        <f t="shared" si="20"/>
        <v>-5049.0317599999998</v>
      </c>
      <c r="U154" s="78">
        <f t="shared" si="21"/>
        <v>-1.3642461735905085</v>
      </c>
      <c r="V154" s="79">
        <f t="shared" si="23"/>
        <v>0.90065999999999991</v>
      </c>
      <c r="W154" s="80">
        <f t="shared" si="22"/>
        <v>9.7150978171563089</v>
      </c>
      <c r="X154" s="53" t="s">
        <v>45</v>
      </c>
    </row>
    <row r="155" spans="1:24">
      <c r="A155" s="124" t="s">
        <v>261</v>
      </c>
      <c r="B155" s="208" t="s">
        <v>56</v>
      </c>
      <c r="C155" s="205">
        <v>127</v>
      </c>
      <c r="D155" s="205">
        <v>46</v>
      </c>
      <c r="E155" s="205">
        <v>7</v>
      </c>
      <c r="F155" s="205">
        <v>22400</v>
      </c>
      <c r="G155" s="206"/>
      <c r="H155" s="206"/>
      <c r="I155" s="206"/>
      <c r="J155" s="206"/>
      <c r="K155" s="207"/>
      <c r="L155" s="207"/>
      <c r="M155" s="207"/>
      <c r="N155" s="207"/>
      <c r="O155" s="191">
        <f t="shared" si="16"/>
        <v>8.6662564800000013</v>
      </c>
      <c r="P155" s="75">
        <f t="shared" si="17"/>
        <v>22400</v>
      </c>
      <c r="Q155" s="76">
        <f t="shared" si="18"/>
        <v>22.4</v>
      </c>
      <c r="R155" s="185">
        <f t="shared" si="19"/>
        <v>22.4</v>
      </c>
      <c r="S155" s="62">
        <f>VLOOKUP(A155,[1]Index!$E:$M,8,)</f>
        <v>20079.078807711998</v>
      </c>
      <c r="T155" s="77">
        <f t="shared" si="20"/>
        <v>-2320.9211922880022</v>
      </c>
      <c r="U155" s="78">
        <f t="shared" si="21"/>
        <v>-0.11558902749047331</v>
      </c>
      <c r="V155" s="79">
        <f t="shared" si="23"/>
        <v>1.4443760800000001</v>
      </c>
      <c r="W155" s="80">
        <f t="shared" si="22"/>
        <v>15.508426309579979</v>
      </c>
      <c r="X155" s="53" t="s">
        <v>45</v>
      </c>
    </row>
    <row r="156" spans="1:24">
      <c r="A156" s="124" t="s">
        <v>263</v>
      </c>
      <c r="B156" s="208" t="s">
        <v>56</v>
      </c>
      <c r="C156" s="205">
        <v>116</v>
      </c>
      <c r="D156" s="205">
        <v>9</v>
      </c>
      <c r="E156" s="205">
        <v>7</v>
      </c>
      <c r="F156" s="205">
        <v>12250</v>
      </c>
      <c r="G156" s="206"/>
      <c r="H156" s="206"/>
      <c r="I156" s="206"/>
      <c r="J156" s="206"/>
      <c r="K156" s="207"/>
      <c r="L156" s="207"/>
      <c r="M156" s="207"/>
      <c r="N156" s="207"/>
      <c r="O156" s="191">
        <f t="shared" si="16"/>
        <v>1.54871136</v>
      </c>
      <c r="P156" s="75">
        <f t="shared" si="17"/>
        <v>12250</v>
      </c>
      <c r="Q156" s="76">
        <f t="shared" si="18"/>
        <v>12.25</v>
      </c>
      <c r="R156" s="185">
        <f t="shared" si="19"/>
        <v>12.25</v>
      </c>
      <c r="S156" s="62">
        <f>VLOOKUP(A156,[1]Index!$E:$M,8,)</f>
        <v>12126.538757706037</v>
      </c>
      <c r="T156" s="77">
        <f t="shared" si="20"/>
        <v>-123.46124229396264</v>
      </c>
      <c r="U156" s="78">
        <f t="shared" si="21"/>
        <v>-1.0181078439674873E-2</v>
      </c>
      <c r="V156" s="79">
        <f t="shared" si="23"/>
        <v>0.25811856</v>
      </c>
      <c r="W156" s="80">
        <f t="shared" si="22"/>
        <v>47.458811175763572</v>
      </c>
      <c r="X156" s="53" t="s">
        <v>47</v>
      </c>
    </row>
    <row r="157" spans="1:24" ht="14.45" customHeight="1">
      <c r="A157" s="124" t="s">
        <v>264</v>
      </c>
      <c r="B157" s="208" t="s">
        <v>56</v>
      </c>
      <c r="C157" s="205">
        <v>164</v>
      </c>
      <c r="D157" s="205">
        <v>28</v>
      </c>
      <c r="E157" s="205">
        <v>9</v>
      </c>
      <c r="F157" s="205">
        <v>21150</v>
      </c>
      <c r="G157" s="206"/>
      <c r="H157" s="206"/>
      <c r="I157" s="206"/>
      <c r="J157" s="206"/>
      <c r="K157" s="207"/>
      <c r="L157" s="207"/>
      <c r="M157" s="207"/>
      <c r="N157" s="207"/>
      <c r="O157" s="191">
        <f t="shared" si="16"/>
        <v>8.758229759999999</v>
      </c>
      <c r="P157" s="75">
        <f t="shared" si="17"/>
        <v>21150</v>
      </c>
      <c r="Q157" s="76">
        <f t="shared" si="18"/>
        <v>21.15</v>
      </c>
      <c r="R157" s="185">
        <f t="shared" si="19"/>
        <v>21.15</v>
      </c>
      <c r="S157" s="62">
        <f>VLOOKUP(A157,[1]Index!$E:$M,8,)</f>
        <v>19554.898739519995</v>
      </c>
      <c r="T157" s="77">
        <f t="shared" si="20"/>
        <v>-1595.1012604800053</v>
      </c>
      <c r="U157" s="78">
        <f t="shared" si="21"/>
        <v>-8.1570417813329951E-2</v>
      </c>
      <c r="V157" s="79">
        <f t="shared" si="23"/>
        <v>1.4597049599999998</v>
      </c>
      <c r="W157" s="80">
        <f t="shared" si="22"/>
        <v>14.489229385094369</v>
      </c>
      <c r="X157" s="53" t="s">
        <v>47</v>
      </c>
    </row>
    <row r="158" spans="1:24" ht="12.95" customHeight="1">
      <c r="A158" s="124" t="s">
        <v>265</v>
      </c>
      <c r="B158" s="208" t="s">
        <v>56</v>
      </c>
      <c r="C158" s="205">
        <v>126</v>
      </c>
      <c r="D158" s="205">
        <v>32</v>
      </c>
      <c r="E158" s="205">
        <v>9</v>
      </c>
      <c r="F158" s="205">
        <v>16650</v>
      </c>
      <c r="G158" s="206"/>
      <c r="H158" s="206"/>
      <c r="I158" s="206"/>
      <c r="J158" s="206"/>
      <c r="K158" s="207"/>
      <c r="L158" s="207"/>
      <c r="M158" s="207"/>
      <c r="N158" s="207"/>
      <c r="O158" s="191">
        <f t="shared" si="16"/>
        <v>7.6901529599999998</v>
      </c>
      <c r="P158" s="75">
        <f t="shared" si="17"/>
        <v>16650</v>
      </c>
      <c r="Q158" s="76">
        <f t="shared" si="18"/>
        <v>16.649999999999999</v>
      </c>
      <c r="R158" s="185">
        <f t="shared" si="19"/>
        <v>16.649999999999999</v>
      </c>
      <c r="S158" s="62">
        <f>VLOOKUP(A158,[1]Index!$E:$M,8,)</f>
        <v>15160.749681179999</v>
      </c>
      <c r="T158" s="77">
        <f t="shared" si="20"/>
        <v>-1489.2503188200008</v>
      </c>
      <c r="U158" s="78">
        <f t="shared" si="21"/>
        <v>-9.8230651526995505E-2</v>
      </c>
      <c r="V158" s="79">
        <f t="shared" si="23"/>
        <v>1.28169216</v>
      </c>
      <c r="W158" s="80">
        <f t="shared" si="22"/>
        <v>12.990638875406711</v>
      </c>
      <c r="X158" s="53" t="s">
        <v>47</v>
      </c>
    </row>
    <row r="159" spans="1:24" ht="12.95" customHeight="1">
      <c r="A159" s="124" t="s">
        <v>266</v>
      </c>
      <c r="B159" s="208" t="s">
        <v>56</v>
      </c>
      <c r="C159" s="205">
        <v>164</v>
      </c>
      <c r="D159" s="205">
        <v>33</v>
      </c>
      <c r="E159" s="205">
        <v>6</v>
      </c>
      <c r="F159" s="205">
        <v>15600</v>
      </c>
      <c r="G159" s="206"/>
      <c r="H159" s="206"/>
      <c r="I159" s="206"/>
      <c r="J159" s="206"/>
      <c r="K159" s="207"/>
      <c r="L159" s="207"/>
      <c r="M159" s="207"/>
      <c r="N159" s="207"/>
      <c r="O159" s="191">
        <f t="shared" si="16"/>
        <v>6.88146624</v>
      </c>
      <c r="P159" s="75">
        <f t="shared" si="17"/>
        <v>15600</v>
      </c>
      <c r="Q159" s="76">
        <f t="shared" si="18"/>
        <v>15.6</v>
      </c>
      <c r="R159" s="185">
        <f t="shared" si="19"/>
        <v>15.6</v>
      </c>
      <c r="S159" s="62">
        <f>VLOOKUP(A159,[1]Index!$E:$M,8,)</f>
        <v>15550.432856239999</v>
      </c>
      <c r="T159" s="77">
        <f t="shared" si="20"/>
        <v>-49.567143760001272</v>
      </c>
      <c r="U159" s="78">
        <f t="shared" si="21"/>
        <v>-3.1875089406344865E-3</v>
      </c>
      <c r="V159" s="79">
        <f t="shared" si="23"/>
        <v>1.14691104</v>
      </c>
      <c r="W159" s="80">
        <f t="shared" si="22"/>
        <v>13.601752407928691</v>
      </c>
      <c r="X159" s="53" t="s">
        <v>45</v>
      </c>
    </row>
    <row r="160" spans="1:24" ht="12.95" customHeight="1">
      <c r="A160" s="124" t="s">
        <v>367</v>
      </c>
      <c r="B160" s="208" t="s">
        <v>56</v>
      </c>
      <c r="C160" s="205"/>
      <c r="D160" s="205"/>
      <c r="E160" s="205"/>
      <c r="F160" s="205"/>
      <c r="G160" s="206"/>
      <c r="H160" s="206"/>
      <c r="I160" s="206"/>
      <c r="J160" s="206"/>
      <c r="K160" s="207"/>
      <c r="L160" s="207"/>
      <c r="M160" s="207"/>
      <c r="N160" s="207"/>
      <c r="O160" s="191">
        <f t="shared" si="16"/>
        <v>0</v>
      </c>
      <c r="P160" s="75">
        <f t="shared" si="17"/>
        <v>0</v>
      </c>
      <c r="Q160" s="76">
        <f t="shared" si="18"/>
        <v>0</v>
      </c>
      <c r="R160" s="185">
        <f t="shared" si="19"/>
        <v>0</v>
      </c>
      <c r="S160" s="62">
        <f>VLOOKUP(A160,[1]Index!$E:$M,8,)</f>
        <v>15087.44167532</v>
      </c>
      <c r="T160" s="77">
        <f t="shared" si="20"/>
        <v>15087.44167532</v>
      </c>
      <c r="U160" s="78">
        <f t="shared" si="21"/>
        <v>1</v>
      </c>
      <c r="V160" s="79">
        <f t="shared" si="23"/>
        <v>0</v>
      </c>
      <c r="W160" s="80" t="e">
        <f t="shared" si="22"/>
        <v>#DIV/0!</v>
      </c>
      <c r="X160" s="53" t="s">
        <v>45</v>
      </c>
    </row>
    <row r="161" spans="1:24">
      <c r="A161" s="124" t="s">
        <v>267</v>
      </c>
      <c r="B161" s="208" t="s">
        <v>56</v>
      </c>
      <c r="C161" s="205">
        <v>164</v>
      </c>
      <c r="D161" s="205">
        <v>20</v>
      </c>
      <c r="E161" s="205">
        <v>9</v>
      </c>
      <c r="F161" s="205">
        <v>20600</v>
      </c>
      <c r="G161" s="206"/>
      <c r="H161" s="206"/>
      <c r="I161" s="206"/>
      <c r="J161" s="206"/>
      <c r="K161" s="207"/>
      <c r="L161" s="207"/>
      <c r="M161" s="207"/>
      <c r="N161" s="207"/>
      <c r="O161" s="191">
        <f t="shared" si="16"/>
        <v>6.2558784000000003</v>
      </c>
      <c r="P161" s="75">
        <f t="shared" si="17"/>
        <v>20600</v>
      </c>
      <c r="Q161" s="76">
        <f t="shared" si="18"/>
        <v>20.6</v>
      </c>
      <c r="R161" s="185">
        <f t="shared" si="19"/>
        <v>20.6</v>
      </c>
      <c r="S161" s="62">
        <f>VLOOKUP(A161,[1]Index!$E:$M,8,)</f>
        <v>18770.268022139997</v>
      </c>
      <c r="T161" s="77">
        <f t="shared" si="20"/>
        <v>-1829.7319778600031</v>
      </c>
      <c r="U161" s="78">
        <f t="shared" si="21"/>
        <v>-9.7480333029970001E-2</v>
      </c>
      <c r="V161" s="79">
        <f t="shared" si="23"/>
        <v>1.0426464</v>
      </c>
      <c r="W161" s="80">
        <f t="shared" si="22"/>
        <v>19.757417279722063</v>
      </c>
      <c r="X161" s="53" t="s">
        <v>45</v>
      </c>
    </row>
    <row r="162" spans="1:24" ht="14.45" customHeight="1">
      <c r="A162" s="124" t="s">
        <v>268</v>
      </c>
      <c r="B162" s="208" t="s">
        <v>56</v>
      </c>
      <c r="C162" s="205"/>
      <c r="D162" s="205"/>
      <c r="E162" s="205"/>
      <c r="F162" s="205"/>
      <c r="G162" s="206"/>
      <c r="H162" s="206"/>
      <c r="I162" s="206"/>
      <c r="J162" s="206"/>
      <c r="K162" s="207"/>
      <c r="L162" s="207"/>
      <c r="M162" s="207"/>
      <c r="N162" s="207"/>
      <c r="O162" s="191">
        <f t="shared" si="16"/>
        <v>0</v>
      </c>
      <c r="P162" s="75">
        <f t="shared" si="17"/>
        <v>0</v>
      </c>
      <c r="Q162" s="76">
        <f t="shared" si="18"/>
        <v>0</v>
      </c>
      <c r="R162" s="185">
        <f t="shared" si="19"/>
        <v>0</v>
      </c>
      <c r="S162" s="62">
        <f>VLOOKUP(A162,[1]Index!$E:$M,8,)</f>
        <v>18534.571649099991</v>
      </c>
      <c r="T162" s="77">
        <f t="shared" si="20"/>
        <v>18534.571649099991</v>
      </c>
      <c r="U162" s="78">
        <f t="shared" si="21"/>
        <v>1</v>
      </c>
      <c r="V162" s="79">
        <f t="shared" si="23"/>
        <v>0</v>
      </c>
      <c r="W162" s="80" t="e">
        <f t="shared" si="22"/>
        <v>#DIV/0!</v>
      </c>
      <c r="X162" s="53" t="s">
        <v>45</v>
      </c>
    </row>
    <row r="163" spans="1:24" ht="14.45" customHeight="1">
      <c r="A163" s="124" t="s">
        <v>269</v>
      </c>
      <c r="B163" s="208" t="s">
        <v>56</v>
      </c>
      <c r="C163" s="205">
        <v>165</v>
      </c>
      <c r="D163" s="205">
        <v>33</v>
      </c>
      <c r="E163" s="205">
        <v>5</v>
      </c>
      <c r="F163" s="205">
        <v>11750</v>
      </c>
      <c r="G163" s="206"/>
      <c r="H163" s="206"/>
      <c r="I163" s="206"/>
      <c r="J163" s="206"/>
      <c r="K163" s="207"/>
      <c r="L163" s="207"/>
      <c r="M163" s="207"/>
      <c r="N163" s="207"/>
      <c r="O163" s="191">
        <f t="shared" si="16"/>
        <v>5.7695220000000003</v>
      </c>
      <c r="P163" s="75">
        <f t="shared" si="17"/>
        <v>11750</v>
      </c>
      <c r="Q163" s="76">
        <f t="shared" si="18"/>
        <v>11.75</v>
      </c>
      <c r="R163" s="185">
        <f t="shared" si="19"/>
        <v>11.75</v>
      </c>
      <c r="S163" s="62">
        <f>VLOOKUP(A163,[1]Index!$E:$M,8,)</f>
        <v>11078.0083724</v>
      </c>
      <c r="T163" s="77">
        <f t="shared" si="20"/>
        <v>-671.99162760000036</v>
      </c>
      <c r="U163" s="78">
        <f t="shared" si="21"/>
        <v>-6.0659967478830894E-2</v>
      </c>
      <c r="V163" s="79">
        <f t="shared" si="23"/>
        <v>0.96158699999999997</v>
      </c>
      <c r="W163" s="80">
        <f t="shared" si="22"/>
        <v>12.219383165537804</v>
      </c>
      <c r="X163" s="53" t="s">
        <v>47</v>
      </c>
    </row>
    <row r="164" spans="1:24">
      <c r="A164" s="124" t="s">
        <v>270</v>
      </c>
      <c r="B164" s="208" t="s">
        <v>56</v>
      </c>
      <c r="C164" s="205">
        <v>137</v>
      </c>
      <c r="D164" s="205">
        <v>30</v>
      </c>
      <c r="E164" s="205">
        <v>6</v>
      </c>
      <c r="F164" s="205">
        <v>8760</v>
      </c>
      <c r="G164" s="206"/>
      <c r="H164" s="206"/>
      <c r="I164" s="206"/>
      <c r="J164" s="206"/>
      <c r="K164" s="207"/>
      <c r="L164" s="207"/>
      <c r="M164" s="207"/>
      <c r="N164" s="207"/>
      <c r="O164" s="191">
        <f t="shared" si="16"/>
        <v>5.2259472000000002</v>
      </c>
      <c r="P164" s="75">
        <f t="shared" si="17"/>
        <v>8760</v>
      </c>
      <c r="Q164" s="76">
        <f t="shared" si="18"/>
        <v>8.76</v>
      </c>
      <c r="R164" s="185">
        <f t="shared" si="19"/>
        <v>8.76</v>
      </c>
      <c r="S164" s="62">
        <f>VLOOKUP(A164,[1]Index!$E:$M,8,)</f>
        <v>8735.3525671999996</v>
      </c>
      <c r="T164" s="77">
        <f t="shared" si="20"/>
        <v>-24.647432800000388</v>
      </c>
      <c r="U164" s="78">
        <f t="shared" si="21"/>
        <v>-2.8215727539776672E-3</v>
      </c>
      <c r="V164" s="79">
        <f t="shared" si="23"/>
        <v>0.87099120000000008</v>
      </c>
      <c r="W164" s="80">
        <f t="shared" si="22"/>
        <v>10.057506895592056</v>
      </c>
      <c r="X164" s="53" t="s">
        <v>47</v>
      </c>
    </row>
    <row r="165" spans="1:24" ht="14.45" customHeight="1">
      <c r="A165" s="124" t="s">
        <v>271</v>
      </c>
      <c r="B165" s="208" t="s">
        <v>56</v>
      </c>
      <c r="C165" s="205">
        <v>136</v>
      </c>
      <c r="D165" s="205">
        <v>33</v>
      </c>
      <c r="E165" s="205">
        <v>8</v>
      </c>
      <c r="F165" s="205">
        <v>12100</v>
      </c>
      <c r="G165" s="206"/>
      <c r="H165" s="206"/>
      <c r="I165" s="206"/>
      <c r="J165" s="206"/>
      <c r="K165" s="207"/>
      <c r="L165" s="207"/>
      <c r="M165" s="207"/>
      <c r="N165" s="207"/>
      <c r="O165" s="191">
        <f t="shared" si="16"/>
        <v>7.608775679999999</v>
      </c>
      <c r="P165" s="75">
        <f t="shared" si="17"/>
        <v>12100</v>
      </c>
      <c r="Q165" s="76">
        <f t="shared" si="18"/>
        <v>12.1</v>
      </c>
      <c r="R165" s="185">
        <f t="shared" si="19"/>
        <v>12.1</v>
      </c>
      <c r="S165" s="62">
        <f>VLOOKUP(A165,[1]Index!$E:$M,8,)</f>
        <v>11839.2643032</v>
      </c>
      <c r="T165" s="77">
        <f t="shared" si="20"/>
        <v>-260.73569680000037</v>
      </c>
      <c r="U165" s="78">
        <f t="shared" si="21"/>
        <v>-2.202296444463419E-2</v>
      </c>
      <c r="V165" s="79">
        <f t="shared" si="23"/>
        <v>1.2681292799999999</v>
      </c>
      <c r="W165" s="80">
        <f t="shared" si="22"/>
        <v>9.5416139275642315</v>
      </c>
      <c r="X165" s="53" t="s">
        <v>47</v>
      </c>
    </row>
    <row r="166" spans="1:24" ht="14.45" customHeight="1">
      <c r="A166" s="124" t="s">
        <v>272</v>
      </c>
      <c r="B166" s="208" t="s">
        <v>56</v>
      </c>
      <c r="C166" s="205">
        <v>127</v>
      </c>
      <c r="D166" s="205">
        <v>30</v>
      </c>
      <c r="E166" s="205">
        <v>6</v>
      </c>
      <c r="F166" s="205">
        <v>8360</v>
      </c>
      <c r="G166" s="206"/>
      <c r="H166" s="206"/>
      <c r="I166" s="206"/>
      <c r="J166" s="206"/>
      <c r="K166" s="207"/>
      <c r="L166" s="207"/>
      <c r="M166" s="207"/>
      <c r="N166" s="207"/>
      <c r="O166" s="191">
        <f t="shared" si="16"/>
        <v>4.8444912000000002</v>
      </c>
      <c r="P166" s="75">
        <f t="shared" si="17"/>
        <v>8360</v>
      </c>
      <c r="Q166" s="76">
        <f t="shared" si="18"/>
        <v>8.36</v>
      </c>
      <c r="R166" s="185">
        <f t="shared" si="19"/>
        <v>8.36</v>
      </c>
      <c r="S166" s="62">
        <f>VLOOKUP(A166,[1]Index!$E:$M,8,)</f>
        <v>7098.1725015200009</v>
      </c>
      <c r="T166" s="77">
        <f t="shared" si="20"/>
        <v>-1261.8274984799991</v>
      </c>
      <c r="U166" s="78">
        <f t="shared" si="21"/>
        <v>-0.17776793931251905</v>
      </c>
      <c r="V166" s="79">
        <f t="shared" si="23"/>
        <v>0.8074152</v>
      </c>
      <c r="W166" s="80">
        <f t="shared" si="22"/>
        <v>10.354028509743189</v>
      </c>
      <c r="X166" s="53" t="s">
        <v>47</v>
      </c>
    </row>
    <row r="167" spans="1:24" ht="14.45" customHeight="1">
      <c r="A167" s="124" t="s">
        <v>274</v>
      </c>
      <c r="B167" s="208" t="s">
        <v>56</v>
      </c>
      <c r="C167" s="205">
        <v>150</v>
      </c>
      <c r="D167" s="205">
        <v>36</v>
      </c>
      <c r="E167" s="205">
        <v>5</v>
      </c>
      <c r="F167" s="205">
        <v>14050</v>
      </c>
      <c r="G167" s="206"/>
      <c r="H167" s="206"/>
      <c r="I167" s="206"/>
      <c r="J167" s="206"/>
      <c r="K167" s="207"/>
      <c r="L167" s="207"/>
      <c r="M167" s="207"/>
      <c r="N167" s="207"/>
      <c r="O167" s="191">
        <f t="shared" si="16"/>
        <v>5.7218400000000003</v>
      </c>
      <c r="P167" s="75">
        <f t="shared" si="17"/>
        <v>14050</v>
      </c>
      <c r="Q167" s="76">
        <f t="shared" si="18"/>
        <v>14.05</v>
      </c>
      <c r="R167" s="185">
        <f t="shared" si="19"/>
        <v>14.05</v>
      </c>
      <c r="S167" s="62">
        <f>VLOOKUP(A167,[1]Index!$E:$M,8,)</f>
        <v>14034.912323055623</v>
      </c>
      <c r="T167" s="77">
        <f t="shared" si="20"/>
        <v>-15.087676944376653</v>
      </c>
      <c r="U167" s="78">
        <f t="shared" si="21"/>
        <v>-1.0750104166729719E-3</v>
      </c>
      <c r="V167" s="79">
        <f t="shared" si="23"/>
        <v>0.95364000000000004</v>
      </c>
      <c r="W167" s="80">
        <f t="shared" si="22"/>
        <v>14.73302294366847</v>
      </c>
      <c r="X167" s="53" t="s">
        <v>47</v>
      </c>
    </row>
    <row r="168" spans="1:24">
      <c r="A168" s="124" t="s">
        <v>276</v>
      </c>
      <c r="B168" s="208" t="s">
        <v>44</v>
      </c>
      <c r="C168" s="205">
        <v>188</v>
      </c>
      <c r="D168" s="205">
        <v>48</v>
      </c>
      <c r="E168" s="205">
        <v>9</v>
      </c>
      <c r="F168" s="205">
        <v>48350</v>
      </c>
      <c r="G168" s="206">
        <v>148</v>
      </c>
      <c r="H168" s="206">
        <v>52</v>
      </c>
      <c r="I168" s="206">
        <v>9</v>
      </c>
      <c r="J168" s="206">
        <v>30700</v>
      </c>
      <c r="K168" s="207"/>
      <c r="L168" s="207"/>
      <c r="M168" s="207"/>
      <c r="N168" s="207"/>
      <c r="O168" s="191">
        <f t="shared" si="16"/>
        <v>31.889721600000001</v>
      </c>
      <c r="P168" s="75">
        <f t="shared" si="17"/>
        <v>79050</v>
      </c>
      <c r="Q168" s="76">
        <f t="shared" si="18"/>
        <v>79.05</v>
      </c>
      <c r="R168" s="185">
        <f t="shared" si="19"/>
        <v>79.05</v>
      </c>
      <c r="S168" s="62">
        <f>VLOOKUP(A168,[1]Index!$E:$M,8,)</f>
        <v>66955.838600514719</v>
      </c>
      <c r="T168" s="77">
        <f t="shared" si="20"/>
        <v>-12094.161399485281</v>
      </c>
      <c r="U168" s="78">
        <f t="shared" si="21"/>
        <v>-0.18062892874277744</v>
      </c>
      <c r="V168" s="79">
        <f t="shared" si="23"/>
        <v>5.3149535999999999</v>
      </c>
      <c r="W168" s="80">
        <f t="shared" si="22"/>
        <v>14.873130783305427</v>
      </c>
      <c r="X168" s="53" t="s">
        <v>47</v>
      </c>
    </row>
    <row r="169" spans="1:24" ht="14.45" customHeight="1">
      <c r="A169" s="124" t="s">
        <v>277</v>
      </c>
      <c r="B169" s="208" t="s">
        <v>56</v>
      </c>
      <c r="C169" s="205">
        <v>154</v>
      </c>
      <c r="D169" s="205">
        <v>45</v>
      </c>
      <c r="E169" s="205">
        <v>13</v>
      </c>
      <c r="F169" s="205">
        <v>43500</v>
      </c>
      <c r="G169" s="206"/>
      <c r="H169" s="206"/>
      <c r="I169" s="206"/>
      <c r="J169" s="206"/>
      <c r="K169" s="207"/>
      <c r="L169" s="207"/>
      <c r="M169" s="207"/>
      <c r="N169" s="207"/>
      <c r="O169" s="191">
        <f t="shared" si="16"/>
        <v>19.091872800000001</v>
      </c>
      <c r="P169" s="75">
        <f t="shared" si="17"/>
        <v>43500</v>
      </c>
      <c r="Q169" s="76">
        <f t="shared" si="18"/>
        <v>43.5</v>
      </c>
      <c r="R169" s="185">
        <f t="shared" si="19"/>
        <v>43.5</v>
      </c>
      <c r="S169" s="62">
        <f>VLOOKUP(A169,[1]Index!$E:$M,8,)</f>
        <v>41292.035197599987</v>
      </c>
      <c r="T169" s="77">
        <f t="shared" si="20"/>
        <v>-2207.9648024000126</v>
      </c>
      <c r="U169" s="78">
        <f t="shared" si="21"/>
        <v>-5.3471929679270107E-2</v>
      </c>
      <c r="V169" s="79">
        <f t="shared" si="23"/>
        <v>3.1819788</v>
      </c>
      <c r="W169" s="80">
        <f t="shared" si="22"/>
        <v>13.670738472550477</v>
      </c>
      <c r="X169" s="53" t="s">
        <v>47</v>
      </c>
    </row>
    <row r="170" spans="1:24" ht="14.45" customHeight="1">
      <c r="A170" s="124" t="s">
        <v>278</v>
      </c>
      <c r="B170" s="208" t="s">
        <v>56</v>
      </c>
      <c r="C170" s="205">
        <v>158</v>
      </c>
      <c r="D170" s="205">
        <v>37</v>
      </c>
      <c r="E170" s="205">
        <v>10</v>
      </c>
      <c r="F170" s="205">
        <v>28300</v>
      </c>
      <c r="G170" s="206"/>
      <c r="H170" s="206"/>
      <c r="I170" s="206"/>
      <c r="J170" s="206"/>
      <c r="K170" s="207"/>
      <c r="L170" s="207"/>
      <c r="M170" s="207"/>
      <c r="N170" s="207"/>
      <c r="O170" s="191">
        <f t="shared" si="16"/>
        <v>12.388843199999998</v>
      </c>
      <c r="P170" s="75">
        <f t="shared" si="17"/>
        <v>28300</v>
      </c>
      <c r="Q170" s="76">
        <f t="shared" si="18"/>
        <v>28.3</v>
      </c>
      <c r="R170" s="185">
        <f t="shared" si="19"/>
        <v>28.3</v>
      </c>
      <c r="S170" s="62">
        <f>VLOOKUP(A170,[1]Index!$E:$M,8,)</f>
        <v>29392.67108</v>
      </c>
      <c r="T170" s="77">
        <f t="shared" si="20"/>
        <v>1092.6710800000001</v>
      </c>
      <c r="U170" s="78">
        <f t="shared" si="21"/>
        <v>3.7174950076024192E-2</v>
      </c>
      <c r="V170" s="79">
        <f t="shared" si="23"/>
        <v>2.0648071999999997</v>
      </c>
      <c r="W170" s="80">
        <f t="shared" si="22"/>
        <v>13.70588014222345</v>
      </c>
      <c r="X170" s="53" t="s">
        <v>47</v>
      </c>
    </row>
    <row r="171" spans="1:24" ht="14.45" customHeight="1">
      <c r="A171" s="124" t="s">
        <v>279</v>
      </c>
      <c r="B171" s="208" t="s">
        <v>56</v>
      </c>
      <c r="C171" s="205">
        <v>138</v>
      </c>
      <c r="D171" s="205">
        <v>30</v>
      </c>
      <c r="E171" s="205">
        <v>10</v>
      </c>
      <c r="F171" s="205">
        <v>20600</v>
      </c>
      <c r="G171" s="206"/>
      <c r="H171" s="206"/>
      <c r="I171" s="206"/>
      <c r="J171" s="206"/>
      <c r="K171" s="207"/>
      <c r="L171" s="207"/>
      <c r="M171" s="207"/>
      <c r="N171" s="207"/>
      <c r="O171" s="191">
        <f t="shared" si="16"/>
        <v>8.7734880000000004</v>
      </c>
      <c r="P171" s="75">
        <f t="shared" si="17"/>
        <v>20600</v>
      </c>
      <c r="Q171" s="76">
        <f t="shared" si="18"/>
        <v>20.6</v>
      </c>
      <c r="R171" s="185">
        <f t="shared" si="19"/>
        <v>20.6</v>
      </c>
      <c r="S171" s="62">
        <f>VLOOKUP(A171,[1]Index!$E:$M,8,)</f>
        <v>21543.485940000006</v>
      </c>
      <c r="T171" s="77">
        <f t="shared" si="20"/>
        <v>943.48594000000594</v>
      </c>
      <c r="U171" s="78">
        <f t="shared" si="21"/>
        <v>4.3794488163506826E-2</v>
      </c>
      <c r="V171" s="79">
        <f t="shared" si="23"/>
        <v>1.462248</v>
      </c>
      <c r="W171" s="80">
        <f t="shared" si="22"/>
        <v>14.087897538584427</v>
      </c>
      <c r="X171" s="53" t="s">
        <v>47</v>
      </c>
    </row>
    <row r="172" spans="1:24" ht="14.45" customHeight="1">
      <c r="A172" s="124" t="s">
        <v>280</v>
      </c>
      <c r="B172" s="208" t="s">
        <v>56</v>
      </c>
      <c r="C172" s="205">
        <v>153</v>
      </c>
      <c r="D172" s="205">
        <v>43</v>
      </c>
      <c r="E172" s="205">
        <v>9</v>
      </c>
      <c r="F172" s="205">
        <v>30200</v>
      </c>
      <c r="G172" s="206"/>
      <c r="H172" s="206"/>
      <c r="I172" s="206"/>
      <c r="J172" s="206"/>
      <c r="K172" s="207"/>
      <c r="L172" s="207"/>
      <c r="M172" s="207"/>
      <c r="N172" s="207"/>
      <c r="O172" s="191">
        <f t="shared" si="16"/>
        <v>12.54799512</v>
      </c>
      <c r="P172" s="75">
        <f t="shared" si="17"/>
        <v>30200</v>
      </c>
      <c r="Q172" s="76">
        <f t="shared" si="18"/>
        <v>30.2</v>
      </c>
      <c r="R172" s="185">
        <f t="shared" si="19"/>
        <v>30.2</v>
      </c>
      <c r="S172" s="62">
        <f>VLOOKUP(A172,[1]Index!$E:$M,8,)</f>
        <v>26928.730719120009</v>
      </c>
      <c r="T172" s="77">
        <f t="shared" si="20"/>
        <v>-3271.2692808799911</v>
      </c>
      <c r="U172" s="78">
        <f t="shared" si="21"/>
        <v>-0.12147877725842146</v>
      </c>
      <c r="V172" s="79">
        <f t="shared" si="23"/>
        <v>2.0913325199999999</v>
      </c>
      <c r="W172" s="80">
        <f t="shared" si="22"/>
        <v>14.440553910575636</v>
      </c>
      <c r="X172" s="53" t="s">
        <v>47</v>
      </c>
    </row>
    <row r="173" spans="1:24" ht="14.45" customHeight="1">
      <c r="A173" s="124" t="s">
        <v>282</v>
      </c>
      <c r="B173" s="208" t="s">
        <v>56</v>
      </c>
      <c r="C173" s="205">
        <v>83</v>
      </c>
      <c r="D173" s="205">
        <v>28</v>
      </c>
      <c r="E173" s="205">
        <v>8</v>
      </c>
      <c r="F173" s="205">
        <v>8150</v>
      </c>
      <c r="G173" s="206"/>
      <c r="H173" s="206"/>
      <c r="I173" s="206"/>
      <c r="J173" s="206"/>
      <c r="K173" s="207"/>
      <c r="L173" s="207"/>
      <c r="M173" s="207"/>
      <c r="N173" s="207"/>
      <c r="O173" s="191">
        <f t="shared" si="16"/>
        <v>3.9400166400000005</v>
      </c>
      <c r="P173" s="75">
        <f t="shared" si="17"/>
        <v>8150</v>
      </c>
      <c r="Q173" s="76">
        <f t="shared" si="18"/>
        <v>8.15</v>
      </c>
      <c r="R173" s="185">
        <f t="shared" si="19"/>
        <v>8.15</v>
      </c>
      <c r="S173" s="62">
        <f>VLOOKUP(A173,[1]Index!$E:$M,8,)</f>
        <v>8247.8435119999995</v>
      </c>
      <c r="T173" s="77">
        <f t="shared" si="20"/>
        <v>97.843511999999464</v>
      </c>
      <c r="U173" s="78">
        <f t="shared" si="21"/>
        <v>1.1862920514634452E-2</v>
      </c>
      <c r="V173" s="79">
        <f t="shared" si="23"/>
        <v>0.65666944000000005</v>
      </c>
      <c r="W173" s="80">
        <f t="shared" si="22"/>
        <v>12.411115096204263</v>
      </c>
      <c r="X173" s="53" t="s">
        <v>47</v>
      </c>
    </row>
    <row r="174" spans="1:24" ht="14.45" customHeight="1">
      <c r="A174" s="124" t="s">
        <v>283</v>
      </c>
      <c r="B174" s="208" t="s">
        <v>56</v>
      </c>
      <c r="C174" s="205">
        <v>57</v>
      </c>
      <c r="D174" s="205">
        <v>29</v>
      </c>
      <c r="E174" s="205">
        <v>9</v>
      </c>
      <c r="F174" s="205">
        <v>6550</v>
      </c>
      <c r="G174" s="206"/>
      <c r="H174" s="206"/>
      <c r="I174" s="206"/>
      <c r="J174" s="206"/>
      <c r="K174" s="207"/>
      <c r="L174" s="207"/>
      <c r="M174" s="207"/>
      <c r="N174" s="207"/>
      <c r="O174" s="191">
        <f t="shared" si="16"/>
        <v>3.1527338399999998</v>
      </c>
      <c r="P174" s="75">
        <f t="shared" si="17"/>
        <v>6550</v>
      </c>
      <c r="Q174" s="76">
        <f t="shared" si="18"/>
        <v>6.55</v>
      </c>
      <c r="R174" s="185">
        <f t="shared" si="19"/>
        <v>6.55</v>
      </c>
      <c r="S174" s="62">
        <f>VLOOKUP(A174,[1]Index!$E:$M,8,)</f>
        <v>5853.3314039999996</v>
      </c>
      <c r="T174" s="77">
        <f t="shared" si="20"/>
        <v>-696.66859600000043</v>
      </c>
      <c r="U174" s="78">
        <f t="shared" si="21"/>
        <v>-0.11902086998250552</v>
      </c>
      <c r="V174" s="79">
        <f t="shared" si="23"/>
        <v>0.52545564</v>
      </c>
      <c r="W174" s="80">
        <f t="shared" si="22"/>
        <v>12.465371957944917</v>
      </c>
      <c r="X174" s="53" t="s">
        <v>47</v>
      </c>
    </row>
    <row r="175" spans="1:24" ht="14.45" customHeight="1">
      <c r="A175" s="124" t="s">
        <v>284</v>
      </c>
      <c r="B175" s="208" t="s">
        <v>56</v>
      </c>
      <c r="C175" s="205">
        <v>45</v>
      </c>
      <c r="D175" s="205">
        <v>24.5</v>
      </c>
      <c r="E175" s="205">
        <v>5</v>
      </c>
      <c r="F175" s="205">
        <v>2000</v>
      </c>
      <c r="G175" s="206"/>
      <c r="H175" s="206"/>
      <c r="I175" s="206"/>
      <c r="J175" s="206"/>
      <c r="K175" s="207"/>
      <c r="L175" s="207"/>
      <c r="M175" s="207"/>
      <c r="N175" s="207"/>
      <c r="O175" s="191">
        <f t="shared" si="16"/>
        <v>1.1682090000000001</v>
      </c>
      <c r="P175" s="75">
        <f t="shared" si="17"/>
        <v>2000</v>
      </c>
      <c r="Q175" s="76">
        <f t="shared" si="18"/>
        <v>2</v>
      </c>
      <c r="R175" s="185">
        <f t="shared" si="19"/>
        <v>2</v>
      </c>
      <c r="S175" s="62">
        <f>VLOOKUP(A175,[1]Index!$E:$M,8,)</f>
        <v>2114.3267673164914</v>
      </c>
      <c r="T175" s="77">
        <f t="shared" si="20"/>
        <v>114.32676731649144</v>
      </c>
      <c r="U175" s="78">
        <f t="shared" si="21"/>
        <v>5.407242110527468E-2</v>
      </c>
      <c r="V175" s="79">
        <f t="shared" si="23"/>
        <v>0.1947015</v>
      </c>
      <c r="W175" s="80">
        <f t="shared" si="22"/>
        <v>10.272134523873724</v>
      </c>
      <c r="X175" s="53" t="s">
        <v>45</v>
      </c>
    </row>
    <row r="176" spans="1:24" ht="14.45" customHeight="1">
      <c r="A176" s="124" t="s">
        <v>285</v>
      </c>
      <c r="B176" s="208" t="s">
        <v>56</v>
      </c>
      <c r="C176" s="205">
        <v>55</v>
      </c>
      <c r="D176" s="205">
        <v>32</v>
      </c>
      <c r="E176" s="205">
        <v>3.5</v>
      </c>
      <c r="F176" s="205">
        <v>2000</v>
      </c>
      <c r="G176" s="206"/>
      <c r="H176" s="206"/>
      <c r="I176" s="206"/>
      <c r="J176" s="206"/>
      <c r="K176" s="207"/>
      <c r="L176" s="207"/>
      <c r="M176" s="207"/>
      <c r="N176" s="207"/>
      <c r="O176" s="191">
        <f t="shared" si="16"/>
        <v>1.3054272</v>
      </c>
      <c r="P176" s="75">
        <f t="shared" si="17"/>
        <v>2000</v>
      </c>
      <c r="Q176" s="76">
        <f t="shared" si="18"/>
        <v>2</v>
      </c>
      <c r="R176" s="185">
        <f t="shared" si="19"/>
        <v>2</v>
      </c>
      <c r="S176" s="62">
        <f>VLOOKUP(A176,[1]Index!$E:$M,8,)</f>
        <v>2995.6343667730857</v>
      </c>
      <c r="T176" s="77">
        <f t="shared" si="20"/>
        <v>995.63436677308573</v>
      </c>
      <c r="U176" s="78">
        <f t="shared" si="21"/>
        <v>0.33236177879932277</v>
      </c>
      <c r="V176" s="79">
        <f t="shared" si="23"/>
        <v>0.21757119999999999</v>
      </c>
      <c r="W176" s="80">
        <f t="shared" si="22"/>
        <v>9.1923931108529064</v>
      </c>
      <c r="X176" s="53" t="s">
        <v>45</v>
      </c>
    </row>
    <row r="177" spans="1:24" ht="14.45" customHeight="1">
      <c r="A177" s="124" t="s">
        <v>286</v>
      </c>
      <c r="B177" s="208" t="s">
        <v>56</v>
      </c>
      <c r="C177" s="205">
        <v>41</v>
      </c>
      <c r="D177" s="205">
        <v>25</v>
      </c>
      <c r="E177" s="205">
        <v>4</v>
      </c>
      <c r="F177" s="205">
        <v>1000</v>
      </c>
      <c r="G177" s="206"/>
      <c r="H177" s="206"/>
      <c r="I177" s="206"/>
      <c r="J177" s="206"/>
      <c r="K177" s="207"/>
      <c r="L177" s="207"/>
      <c r="M177" s="207"/>
      <c r="N177" s="207"/>
      <c r="O177" s="191">
        <f t="shared" si="16"/>
        <v>0.86887200000000009</v>
      </c>
      <c r="P177" s="75">
        <f t="shared" si="17"/>
        <v>1000</v>
      </c>
      <c r="Q177" s="76">
        <f t="shared" si="18"/>
        <v>1</v>
      </c>
      <c r="R177" s="185">
        <f t="shared" si="19"/>
        <v>1</v>
      </c>
      <c r="S177" s="62">
        <f>VLOOKUP(A177,[1]Index!$E:$M,8,)</f>
        <v>1605.9583883462319</v>
      </c>
      <c r="T177" s="77">
        <f t="shared" si="20"/>
        <v>605.95838834623191</v>
      </c>
      <c r="U177" s="78">
        <f t="shared" si="21"/>
        <v>0.37731886002988518</v>
      </c>
      <c r="V177" s="79">
        <f t="shared" si="23"/>
        <v>0.14481200000000002</v>
      </c>
      <c r="W177" s="80">
        <f t="shared" si="22"/>
        <v>6.9055050686407196</v>
      </c>
      <c r="X177" s="53" t="s">
        <v>45</v>
      </c>
    </row>
    <row r="178" spans="1:24">
      <c r="A178" s="124" t="s">
        <v>287</v>
      </c>
      <c r="B178" s="208" t="s">
        <v>56</v>
      </c>
      <c r="C178" s="205">
        <v>147</v>
      </c>
      <c r="D178" s="205">
        <v>47</v>
      </c>
      <c r="E178" s="205">
        <v>7</v>
      </c>
      <c r="F178" s="205">
        <v>13700</v>
      </c>
      <c r="G178" s="206"/>
      <c r="H178" s="206"/>
      <c r="I178" s="206"/>
      <c r="J178" s="206"/>
      <c r="K178" s="207"/>
      <c r="L178" s="207"/>
      <c r="M178" s="207"/>
      <c r="N178" s="207"/>
      <c r="O178" s="191">
        <f t="shared" si="16"/>
        <v>10.24908696</v>
      </c>
      <c r="P178" s="75">
        <f t="shared" si="17"/>
        <v>13700</v>
      </c>
      <c r="Q178" s="76">
        <f t="shared" si="18"/>
        <v>13.7</v>
      </c>
      <c r="R178" s="185">
        <f t="shared" si="19"/>
        <v>13.7</v>
      </c>
      <c r="S178" s="62">
        <f>VLOOKUP(A178,[1]Index!$E:$M,8,)</f>
        <v>0</v>
      </c>
      <c r="T178" s="77">
        <f t="shared" si="20"/>
        <v>-13700</v>
      </c>
      <c r="U178" s="78" t="e">
        <f t="shared" si="21"/>
        <v>#DIV/0!</v>
      </c>
      <c r="V178" s="79">
        <f t="shared" si="23"/>
        <v>1.7081811600000001</v>
      </c>
      <c r="W178" s="80">
        <f t="shared" si="22"/>
        <v>8.0202266134348417</v>
      </c>
      <c r="X178" s="53" t="s">
        <v>45</v>
      </c>
    </row>
    <row r="179" spans="1:24" ht="14.45" customHeight="1">
      <c r="A179" s="124" t="s">
        <v>289</v>
      </c>
      <c r="B179" s="208" t="s">
        <v>54</v>
      </c>
      <c r="C179" s="205"/>
      <c r="D179" s="205"/>
      <c r="E179" s="205"/>
      <c r="F179" s="205"/>
      <c r="G179" s="206"/>
      <c r="H179" s="206"/>
      <c r="I179" s="206"/>
      <c r="J179" s="206"/>
      <c r="K179" s="207"/>
      <c r="L179" s="207"/>
      <c r="M179" s="207"/>
      <c r="N179" s="207"/>
      <c r="O179" s="191">
        <f t="shared" si="16"/>
        <v>0</v>
      </c>
      <c r="P179" s="75">
        <f t="shared" si="17"/>
        <v>0</v>
      </c>
      <c r="Q179" s="76">
        <f t="shared" si="18"/>
        <v>0</v>
      </c>
      <c r="R179" s="185">
        <f t="shared" si="19"/>
        <v>0</v>
      </c>
      <c r="S179" s="62" t="e">
        <f>VLOOKUP(A179,[1]Index!$E:$M,8,)</f>
        <v>#N/A</v>
      </c>
      <c r="T179" s="77" t="e">
        <f t="shared" si="20"/>
        <v>#N/A</v>
      </c>
      <c r="U179" s="78" t="e">
        <f t="shared" si="21"/>
        <v>#N/A</v>
      </c>
      <c r="V179" s="79">
        <f t="shared" si="23"/>
        <v>0</v>
      </c>
      <c r="W179" s="80" t="e">
        <f t="shared" si="22"/>
        <v>#DIV/0!</v>
      </c>
      <c r="X179" s="53" t="s">
        <v>45</v>
      </c>
    </row>
    <row r="180" spans="1:24">
      <c r="A180" s="124" t="s">
        <v>292</v>
      </c>
      <c r="B180" s="208" t="s">
        <v>56</v>
      </c>
      <c r="C180" s="205">
        <v>186</v>
      </c>
      <c r="D180" s="205">
        <v>51</v>
      </c>
      <c r="E180" s="205">
        <v>9</v>
      </c>
      <c r="F180" s="205">
        <v>45450</v>
      </c>
      <c r="G180" s="206"/>
      <c r="H180" s="206"/>
      <c r="I180" s="206"/>
      <c r="J180" s="206"/>
      <c r="K180" s="207"/>
      <c r="L180" s="207"/>
      <c r="M180" s="207"/>
      <c r="N180" s="207"/>
      <c r="O180" s="191">
        <f t="shared" si="16"/>
        <v>18.09245808</v>
      </c>
      <c r="P180" s="75">
        <f t="shared" si="17"/>
        <v>45450</v>
      </c>
      <c r="Q180" s="76">
        <f t="shared" si="18"/>
        <v>45.45</v>
      </c>
      <c r="R180" s="185">
        <f t="shared" si="19"/>
        <v>45.45</v>
      </c>
      <c r="S180" s="62">
        <f>VLOOKUP(A180,[1]Index!$E:$M,8,)</f>
        <v>41683</v>
      </c>
      <c r="T180" s="77">
        <f t="shared" si="20"/>
        <v>-3767</v>
      </c>
      <c r="U180" s="78">
        <f t="shared" si="21"/>
        <v>-9.0372573951011198E-2</v>
      </c>
      <c r="V180" s="79">
        <f t="shared" si="23"/>
        <v>3.0154096800000003</v>
      </c>
      <c r="W180" s="80">
        <f t="shared" si="22"/>
        <v>15.072578794666468</v>
      </c>
      <c r="X180" s="53" t="s">
        <v>47</v>
      </c>
    </row>
    <row r="181" spans="1:24">
      <c r="A181" s="124" t="s">
        <v>293</v>
      </c>
      <c r="B181" s="208" t="s">
        <v>56</v>
      </c>
      <c r="C181" s="205">
        <v>188</v>
      </c>
      <c r="D181" s="205">
        <v>50</v>
      </c>
      <c r="E181" s="205">
        <v>10</v>
      </c>
      <c r="F181" s="205">
        <v>50710</v>
      </c>
      <c r="G181" s="206"/>
      <c r="H181" s="206"/>
      <c r="I181" s="206"/>
      <c r="J181" s="206"/>
      <c r="K181" s="207"/>
      <c r="L181" s="207"/>
      <c r="M181" s="207"/>
      <c r="N181" s="207"/>
      <c r="O181" s="191">
        <f t="shared" si="16"/>
        <v>19.920479999999998</v>
      </c>
      <c r="P181" s="75">
        <f t="shared" si="17"/>
        <v>50710</v>
      </c>
      <c r="Q181" s="76">
        <f t="shared" si="18"/>
        <v>50.71</v>
      </c>
      <c r="R181" s="185">
        <f t="shared" si="19"/>
        <v>50.71</v>
      </c>
      <c r="S181" s="62">
        <f>VLOOKUP(A181,[1]Index!$E:$M,8,)</f>
        <v>44775</v>
      </c>
      <c r="T181" s="77">
        <f t="shared" si="20"/>
        <v>-5935</v>
      </c>
      <c r="U181" s="78">
        <f t="shared" si="21"/>
        <v>-0.13255164712451145</v>
      </c>
      <c r="V181" s="79">
        <f t="shared" si="23"/>
        <v>3.3200799999999999</v>
      </c>
      <c r="W181" s="80">
        <f t="shared" si="22"/>
        <v>15.273728343895328</v>
      </c>
      <c r="X181" s="53" t="s">
        <v>47</v>
      </c>
    </row>
    <row r="182" spans="1:24">
      <c r="A182" s="124" t="s">
        <v>294</v>
      </c>
      <c r="B182" s="208" t="s">
        <v>56</v>
      </c>
      <c r="C182" s="205">
        <v>186</v>
      </c>
      <c r="D182" s="205">
        <v>53</v>
      </c>
      <c r="E182" s="205">
        <v>10</v>
      </c>
      <c r="F182" s="205">
        <v>52050</v>
      </c>
      <c r="G182" s="206"/>
      <c r="H182" s="206"/>
      <c r="I182" s="206"/>
      <c r="J182" s="206"/>
      <c r="K182" s="207"/>
      <c r="L182" s="207"/>
      <c r="M182" s="207"/>
      <c r="N182" s="207"/>
      <c r="O182" s="191">
        <f t="shared" si="16"/>
        <v>20.891073600000002</v>
      </c>
      <c r="P182" s="75">
        <f t="shared" si="17"/>
        <v>52050</v>
      </c>
      <c r="Q182" s="76">
        <f t="shared" si="18"/>
        <v>52.05</v>
      </c>
      <c r="R182" s="185">
        <f t="shared" si="19"/>
        <v>52.05</v>
      </c>
      <c r="S182" s="62">
        <f>VLOOKUP(A182,[1]Index!$E:$M,8,)</f>
        <v>45976</v>
      </c>
      <c r="T182" s="77">
        <f t="shared" si="20"/>
        <v>-6074</v>
      </c>
      <c r="U182" s="78">
        <f t="shared" si="21"/>
        <v>-0.1321124064729424</v>
      </c>
      <c r="V182" s="79">
        <f t="shared" si="23"/>
        <v>3.4818456000000002</v>
      </c>
      <c r="W182" s="80">
        <f t="shared" si="22"/>
        <v>14.948968443632307</v>
      </c>
      <c r="X182" s="53" t="s">
        <v>47</v>
      </c>
    </row>
    <row r="183" spans="1:24">
      <c r="A183" s="124" t="s">
        <v>295</v>
      </c>
      <c r="B183" s="208" t="s">
        <v>44</v>
      </c>
      <c r="C183" s="205">
        <v>124</v>
      </c>
      <c r="D183" s="205">
        <v>52</v>
      </c>
      <c r="E183" s="205">
        <v>12</v>
      </c>
      <c r="F183" s="205">
        <v>33500</v>
      </c>
      <c r="G183" s="206">
        <v>188</v>
      </c>
      <c r="H183" s="206">
        <v>53</v>
      </c>
      <c r="I183" s="206">
        <v>10</v>
      </c>
      <c r="J183" s="206">
        <v>47200</v>
      </c>
      <c r="K183" s="207"/>
      <c r="L183" s="207"/>
      <c r="M183" s="207"/>
      <c r="N183" s="207"/>
      <c r="O183" s="191">
        <f t="shared" si="16"/>
        <v>37.513230720000003</v>
      </c>
      <c r="P183" s="75">
        <f t="shared" si="17"/>
        <v>80700</v>
      </c>
      <c r="Q183" s="76">
        <f t="shared" si="18"/>
        <v>80.7</v>
      </c>
      <c r="R183" s="185">
        <f t="shared" si="19"/>
        <v>80.7</v>
      </c>
      <c r="S183" s="62">
        <f>VLOOKUP(A183,[1]Index!$E:$M,8,)</f>
        <v>77355.107445756046</v>
      </c>
      <c r="T183" s="77">
        <f t="shared" si="20"/>
        <v>-3344.8925542439538</v>
      </c>
      <c r="U183" s="78">
        <f t="shared" si="21"/>
        <v>-4.3240746017830858E-2</v>
      </c>
      <c r="V183" s="79">
        <f t="shared" si="23"/>
        <v>6.2522051200000002</v>
      </c>
      <c r="W183" s="80">
        <f t="shared" si="22"/>
        <v>12.907446005226394</v>
      </c>
      <c r="X183" s="53" t="s">
        <v>47</v>
      </c>
    </row>
    <row r="184" spans="1:24">
      <c r="A184" s="124" t="s">
        <v>296</v>
      </c>
      <c r="B184" s="208" t="s">
        <v>44</v>
      </c>
      <c r="C184" s="205">
        <v>124</v>
      </c>
      <c r="D184" s="205">
        <v>52</v>
      </c>
      <c r="E184" s="205">
        <v>12</v>
      </c>
      <c r="F184" s="205">
        <v>33500</v>
      </c>
      <c r="G184" s="206">
        <v>186</v>
      </c>
      <c r="H184" s="206">
        <v>52</v>
      </c>
      <c r="I184" s="206">
        <v>10</v>
      </c>
      <c r="J184" s="206">
        <v>43800</v>
      </c>
      <c r="K184" s="207"/>
      <c r="L184" s="207"/>
      <c r="M184" s="207"/>
      <c r="N184" s="207"/>
      <c r="O184" s="191">
        <f t="shared" si="16"/>
        <v>36.894424319999999</v>
      </c>
      <c r="P184" s="75">
        <f t="shared" si="17"/>
        <v>77300</v>
      </c>
      <c r="Q184" s="76">
        <f t="shared" si="18"/>
        <v>77.3</v>
      </c>
      <c r="R184" s="185">
        <f t="shared" si="19"/>
        <v>77.3</v>
      </c>
      <c r="S184" s="62">
        <f>VLOOKUP(A184,[1]Index!$E:$M,8,)</f>
        <v>74375.364986956032</v>
      </c>
      <c r="T184" s="77">
        <f t="shared" si="20"/>
        <v>-2924.6350130439678</v>
      </c>
      <c r="U184" s="78">
        <f t="shared" si="21"/>
        <v>-3.932263073340065E-2</v>
      </c>
      <c r="V184" s="79">
        <f t="shared" si="23"/>
        <v>6.1490707200000001</v>
      </c>
      <c r="W184" s="80">
        <f t="shared" si="22"/>
        <v>12.571005200603709</v>
      </c>
      <c r="X184" s="53" t="s">
        <v>47</v>
      </c>
    </row>
    <row r="185" spans="1:24">
      <c r="A185" s="124" t="s">
        <v>297</v>
      </c>
      <c r="B185" s="208" t="s">
        <v>44</v>
      </c>
      <c r="C185" s="205">
        <v>126</v>
      </c>
      <c r="D185" s="205">
        <v>54</v>
      </c>
      <c r="E185" s="205">
        <v>9</v>
      </c>
      <c r="F185" s="205">
        <v>29500</v>
      </c>
      <c r="G185" s="206">
        <v>185</v>
      </c>
      <c r="H185" s="206">
        <v>50</v>
      </c>
      <c r="I185" s="206">
        <v>10</v>
      </c>
      <c r="J185" s="206">
        <v>39150</v>
      </c>
      <c r="K185" s="207">
        <v>189</v>
      </c>
      <c r="L185" s="207">
        <v>49</v>
      </c>
      <c r="M185" s="207">
        <v>8</v>
      </c>
      <c r="N185" s="207">
        <v>36100</v>
      </c>
      <c r="O185" s="191">
        <f t="shared" si="16"/>
        <v>48.280462080000007</v>
      </c>
      <c r="P185" s="75">
        <f t="shared" si="17"/>
        <v>104750</v>
      </c>
      <c r="Q185" s="76">
        <f t="shared" si="18"/>
        <v>104.75</v>
      </c>
      <c r="R185" s="185">
        <f t="shared" si="19"/>
        <v>104.75</v>
      </c>
      <c r="S185" s="62">
        <f>VLOOKUP(A185,[1]Index!$E:$M,8,)</f>
        <v>100722.88016723203</v>
      </c>
      <c r="T185" s="77">
        <f t="shared" si="20"/>
        <v>-4027.119832767974</v>
      </c>
      <c r="U185" s="78">
        <f t="shared" si="21"/>
        <v>-3.9982175113357304E-2</v>
      </c>
      <c r="V185" s="79">
        <f t="shared" si="23"/>
        <v>8.0467436800000005</v>
      </c>
      <c r="W185" s="80">
        <f t="shared" si="22"/>
        <v>13.017688168737592</v>
      </c>
      <c r="X185" s="53" t="s">
        <v>47</v>
      </c>
    </row>
    <row r="186" spans="1:24">
      <c r="A186" s="124" t="s">
        <v>298</v>
      </c>
      <c r="B186" s="208" t="s">
        <v>44</v>
      </c>
      <c r="C186" s="205">
        <v>126</v>
      </c>
      <c r="D186" s="205">
        <v>54</v>
      </c>
      <c r="E186" s="205">
        <v>9</v>
      </c>
      <c r="F186" s="205">
        <v>29500</v>
      </c>
      <c r="G186" s="206">
        <v>180</v>
      </c>
      <c r="H186" s="206">
        <v>49</v>
      </c>
      <c r="I186" s="206">
        <v>10</v>
      </c>
      <c r="J186" s="206">
        <v>34250</v>
      </c>
      <c r="K186" s="207">
        <v>189</v>
      </c>
      <c r="L186" s="207">
        <v>49</v>
      </c>
      <c r="M186" s="207">
        <v>8</v>
      </c>
      <c r="N186" s="207">
        <v>36100</v>
      </c>
      <c r="O186" s="191">
        <f t="shared" si="16"/>
        <v>47.369206079999998</v>
      </c>
      <c r="P186" s="75">
        <f t="shared" si="17"/>
        <v>99850</v>
      </c>
      <c r="Q186" s="76">
        <f t="shared" si="18"/>
        <v>99.85</v>
      </c>
      <c r="R186" s="185">
        <f t="shared" si="19"/>
        <v>99.85</v>
      </c>
      <c r="S186" s="62">
        <f>VLOOKUP(A186,[1]Index!$E:$M,8,)</f>
        <v>97826.793607232015</v>
      </c>
      <c r="T186" s="77">
        <f t="shared" si="20"/>
        <v>-2023.2063927679847</v>
      </c>
      <c r="U186" s="78">
        <f t="shared" si="21"/>
        <v>-2.0681515954524912E-2</v>
      </c>
      <c r="V186" s="79">
        <f t="shared" si="23"/>
        <v>7.8948676799999999</v>
      </c>
      <c r="W186" s="80">
        <f t="shared" si="22"/>
        <v>12.647457062890254</v>
      </c>
      <c r="X186" s="53" t="s">
        <v>47</v>
      </c>
    </row>
    <row r="187" spans="1:24">
      <c r="A187" s="124" t="s">
        <v>299</v>
      </c>
      <c r="B187" s="208" t="s">
        <v>44</v>
      </c>
      <c r="C187" s="205">
        <v>164</v>
      </c>
      <c r="D187" s="205">
        <v>51</v>
      </c>
      <c r="E187" s="205">
        <v>11</v>
      </c>
      <c r="F187" s="205">
        <v>45760</v>
      </c>
      <c r="G187" s="206">
        <v>178</v>
      </c>
      <c r="H187" s="206">
        <v>48</v>
      </c>
      <c r="I187" s="206">
        <v>12</v>
      </c>
      <c r="J187" s="206">
        <v>49600</v>
      </c>
      <c r="K187" s="207">
        <v>188</v>
      </c>
      <c r="L187" s="207">
        <v>50</v>
      </c>
      <c r="M187" s="207">
        <v>8</v>
      </c>
      <c r="N187" s="207">
        <v>46000</v>
      </c>
      <c r="O187" s="191">
        <f t="shared" si="16"/>
        <v>57.161605440000002</v>
      </c>
      <c r="P187" s="75">
        <f t="shared" si="17"/>
        <v>141360</v>
      </c>
      <c r="Q187" s="76">
        <f t="shared" si="18"/>
        <v>141.36000000000001</v>
      </c>
      <c r="R187" s="185">
        <f t="shared" si="19"/>
        <v>141.36000000000001</v>
      </c>
      <c r="S187" s="62">
        <f>VLOOKUP(A187,[1]Index!$E:$M,8,)</f>
        <v>134012.77975610146</v>
      </c>
      <c r="T187" s="77">
        <f t="shared" si="20"/>
        <v>-7347.2202438985405</v>
      </c>
      <c r="U187" s="78">
        <f t="shared" si="21"/>
        <v>-5.482477310947674E-2</v>
      </c>
      <c r="V187" s="79">
        <f t="shared" si="23"/>
        <v>9.526934240000001</v>
      </c>
      <c r="W187" s="80">
        <f t="shared" si="22"/>
        <v>14.83793174581627</v>
      </c>
      <c r="X187" s="53" t="s">
        <v>47</v>
      </c>
    </row>
    <row r="188" spans="1:24">
      <c r="A188" s="124" t="s">
        <v>300</v>
      </c>
      <c r="B188" s="208" t="s">
        <v>44</v>
      </c>
      <c r="C188" s="205">
        <v>164</v>
      </c>
      <c r="D188" s="205">
        <v>51</v>
      </c>
      <c r="E188" s="205">
        <v>11</v>
      </c>
      <c r="F188" s="205">
        <v>45760</v>
      </c>
      <c r="G188" s="206">
        <v>179</v>
      </c>
      <c r="H188" s="206">
        <v>48</v>
      </c>
      <c r="I188" s="206">
        <v>12</v>
      </c>
      <c r="J188" s="206">
        <v>46750</v>
      </c>
      <c r="K188" s="207">
        <v>188</v>
      </c>
      <c r="L188" s="207">
        <v>50</v>
      </c>
      <c r="M188" s="207">
        <v>8</v>
      </c>
      <c r="N188" s="207">
        <v>46000</v>
      </c>
      <c r="O188" s="191">
        <f t="shared" si="16"/>
        <v>57.28367136</v>
      </c>
      <c r="P188" s="75">
        <f t="shared" si="17"/>
        <v>138510</v>
      </c>
      <c r="Q188" s="76">
        <f t="shared" si="18"/>
        <v>138.51</v>
      </c>
      <c r="R188" s="185">
        <f t="shared" si="19"/>
        <v>138.51</v>
      </c>
      <c r="S188" s="62">
        <f>VLOOKUP(A188,[1]Index!$E:$M,8,)</f>
        <v>131155.04334207645</v>
      </c>
      <c r="T188" s="77">
        <f t="shared" si="20"/>
        <v>-7354.9566579235543</v>
      </c>
      <c r="U188" s="78">
        <f t="shared" si="21"/>
        <v>-5.6078336528321497E-2</v>
      </c>
      <c r="V188" s="79">
        <f t="shared" si="23"/>
        <v>9.5472785600000005</v>
      </c>
      <c r="W188" s="80">
        <f t="shared" si="22"/>
        <v>14.507799173296561</v>
      </c>
      <c r="X188" s="53" t="s">
        <v>47</v>
      </c>
    </row>
    <row r="189" spans="1:24">
      <c r="A189" s="124" t="s">
        <v>301</v>
      </c>
      <c r="B189" s="208" t="s">
        <v>56</v>
      </c>
      <c r="C189" s="239">
        <v>1</v>
      </c>
      <c r="D189" s="239">
        <v>1</v>
      </c>
      <c r="E189" s="239">
        <v>1</v>
      </c>
      <c r="F189" s="275">
        <v>47000</v>
      </c>
      <c r="G189" s="206"/>
      <c r="H189" s="206"/>
      <c r="I189" s="206"/>
      <c r="J189" s="206"/>
      <c r="K189" s="207"/>
      <c r="L189" s="207"/>
      <c r="M189" s="207"/>
      <c r="N189" s="207"/>
      <c r="O189" s="191">
        <f t="shared" si="16"/>
        <v>2.1191999999999999E-4</v>
      </c>
      <c r="P189" s="75">
        <f t="shared" si="17"/>
        <v>47000</v>
      </c>
      <c r="Q189" s="76">
        <f t="shared" si="18"/>
        <v>47</v>
      </c>
      <c r="R189" s="185">
        <f t="shared" si="19"/>
        <v>47</v>
      </c>
      <c r="S189" s="62">
        <f>VLOOKUP(A189,[1]Index!$E:$M,8,)</f>
        <v>51685.688050727993</v>
      </c>
      <c r="T189" s="77">
        <f t="shared" si="20"/>
        <v>4685.688050727993</v>
      </c>
      <c r="U189" s="78">
        <f t="shared" si="21"/>
        <v>9.0657360430785539E-2</v>
      </c>
      <c r="V189" s="79">
        <f t="shared" si="23"/>
        <v>3.5320000000000001E-5</v>
      </c>
      <c r="W189" s="80">
        <f t="shared" si="22"/>
        <v>1330690.8267270669</v>
      </c>
      <c r="X189" s="53" t="s">
        <v>45</v>
      </c>
    </row>
    <row r="190" spans="1:24">
      <c r="A190" s="124" t="s">
        <v>302</v>
      </c>
      <c r="B190" s="208" t="s">
        <v>44</v>
      </c>
      <c r="C190" s="239">
        <v>1</v>
      </c>
      <c r="D190" s="239">
        <v>1</v>
      </c>
      <c r="E190" s="239">
        <v>1</v>
      </c>
      <c r="F190" s="275">
        <v>65000</v>
      </c>
      <c r="G190" s="206"/>
      <c r="H190" s="206"/>
      <c r="I190" s="206"/>
      <c r="J190" s="206"/>
      <c r="K190" s="207"/>
      <c r="L190" s="207"/>
      <c r="M190" s="207"/>
      <c r="N190" s="207"/>
      <c r="O190" s="191">
        <f t="shared" si="16"/>
        <v>2.1191999999999999E-4</v>
      </c>
      <c r="P190" s="75">
        <f t="shared" si="17"/>
        <v>65000</v>
      </c>
      <c r="Q190" s="76">
        <f t="shared" si="18"/>
        <v>65</v>
      </c>
      <c r="R190" s="185">
        <f t="shared" si="19"/>
        <v>65</v>
      </c>
      <c r="S190" s="62">
        <f>VLOOKUP(A190,[1]Index!$E:$M,8,)</f>
        <v>72445.742531127966</v>
      </c>
      <c r="T190" s="77">
        <f t="shared" si="20"/>
        <v>7445.7425311279658</v>
      </c>
      <c r="U190" s="78">
        <f t="shared" si="21"/>
        <v>0.10277681297736348</v>
      </c>
      <c r="V190" s="79">
        <f t="shared" si="23"/>
        <v>3.5320000000000001E-5</v>
      </c>
      <c r="W190" s="80">
        <f t="shared" si="22"/>
        <v>1840317.1007927519</v>
      </c>
      <c r="X190" s="53" t="s">
        <v>47</v>
      </c>
    </row>
    <row r="191" spans="1:24">
      <c r="A191" s="124" t="s">
        <v>303</v>
      </c>
      <c r="B191" s="208" t="s">
        <v>44</v>
      </c>
      <c r="C191" s="239">
        <v>1</v>
      </c>
      <c r="D191" s="239">
        <v>1</v>
      </c>
      <c r="E191" s="239">
        <v>1</v>
      </c>
      <c r="F191" s="275">
        <v>98500</v>
      </c>
      <c r="G191" s="206"/>
      <c r="H191" s="206"/>
      <c r="I191" s="206"/>
      <c r="J191" s="206"/>
      <c r="K191" s="207"/>
      <c r="L191" s="207"/>
      <c r="M191" s="207"/>
      <c r="N191" s="207"/>
      <c r="O191" s="191">
        <f t="shared" si="16"/>
        <v>2.1191999999999999E-4</v>
      </c>
      <c r="P191" s="75">
        <f t="shared" si="17"/>
        <v>98500</v>
      </c>
      <c r="Q191" s="76">
        <f t="shared" si="18"/>
        <v>98.5</v>
      </c>
      <c r="R191" s="185">
        <f t="shared" si="19"/>
        <v>98.5</v>
      </c>
      <c r="S191" s="62">
        <f>VLOOKUP(A191,[1]Index!$E:$M,8,)</f>
        <v>100594.17783481549</v>
      </c>
      <c r="T191" s="77">
        <f t="shared" si="20"/>
        <v>2094.1778348154912</v>
      </c>
      <c r="U191" s="78">
        <f t="shared" si="21"/>
        <v>2.0818081919754004E-2</v>
      </c>
      <c r="V191" s="79">
        <f t="shared" si="23"/>
        <v>3.5320000000000001E-5</v>
      </c>
      <c r="W191" s="80">
        <f t="shared" si="22"/>
        <v>2788788.2219705549</v>
      </c>
      <c r="X191" s="53" t="s">
        <v>45</v>
      </c>
    </row>
    <row r="192" spans="1:24">
      <c r="A192" s="124" t="s">
        <v>188</v>
      </c>
      <c r="B192" s="208" t="s">
        <v>56</v>
      </c>
      <c r="C192" s="205">
        <v>144</v>
      </c>
      <c r="D192" s="205">
        <v>20</v>
      </c>
      <c r="E192" s="205">
        <v>8</v>
      </c>
      <c r="F192" s="205">
        <v>11500</v>
      </c>
      <c r="G192" s="206"/>
      <c r="H192" s="206"/>
      <c r="I192" s="206"/>
      <c r="J192" s="206"/>
      <c r="K192" s="207"/>
      <c r="L192" s="207"/>
      <c r="M192" s="207"/>
      <c r="N192" s="207"/>
      <c r="O192" s="191">
        <f t="shared" si="16"/>
        <v>4.8826368000000002</v>
      </c>
      <c r="P192" s="75">
        <f t="shared" si="17"/>
        <v>11500</v>
      </c>
      <c r="Q192" s="76">
        <f t="shared" si="18"/>
        <v>11.5</v>
      </c>
      <c r="R192" s="185">
        <f t="shared" si="19"/>
        <v>11.5</v>
      </c>
      <c r="S192" s="62" t="e">
        <f>VLOOKUP(A192,[1]Index!$E:$M,8,)</f>
        <v>#N/A</v>
      </c>
      <c r="T192" s="77" t="e">
        <f t="shared" si="20"/>
        <v>#N/A</v>
      </c>
      <c r="U192" s="78" t="e">
        <f t="shared" si="21"/>
        <v>#N/A</v>
      </c>
      <c r="V192" s="79">
        <f t="shared" si="23"/>
        <v>0.81377280000000007</v>
      </c>
      <c r="W192" s="80">
        <f t="shared" si="22"/>
        <v>14.131708506354597</v>
      </c>
      <c r="X192" s="53" t="s">
        <v>47</v>
      </c>
    </row>
    <row r="193" spans="1:24">
      <c r="A193" s="124" t="s">
        <v>368</v>
      </c>
      <c r="B193" s="208" t="s">
        <v>54</v>
      </c>
      <c r="C193" s="205"/>
      <c r="D193" s="205"/>
      <c r="E193" s="205"/>
      <c r="F193" s="205"/>
      <c r="G193" s="206"/>
      <c r="H193" s="206"/>
      <c r="I193" s="206"/>
      <c r="J193" s="206"/>
      <c r="K193" s="207"/>
      <c r="L193" s="207"/>
      <c r="M193" s="207"/>
      <c r="N193" s="207"/>
      <c r="O193" s="191">
        <f t="shared" si="16"/>
        <v>0</v>
      </c>
      <c r="P193" s="75">
        <f t="shared" si="17"/>
        <v>0</v>
      </c>
      <c r="Q193" s="76">
        <f t="shared" si="18"/>
        <v>0</v>
      </c>
      <c r="R193" s="185">
        <f t="shared" si="19"/>
        <v>0</v>
      </c>
      <c r="S193" s="62" t="e">
        <f>VLOOKUP(A193,[1]Index!$E:$M,8,)</f>
        <v>#N/A</v>
      </c>
      <c r="T193" s="77" t="e">
        <f t="shared" si="20"/>
        <v>#N/A</v>
      </c>
      <c r="U193" s="78" t="e">
        <f t="shared" si="21"/>
        <v>#N/A</v>
      </c>
      <c r="V193" s="79">
        <f t="shared" si="23"/>
        <v>0</v>
      </c>
      <c r="W193" s="80" t="e">
        <f t="shared" si="22"/>
        <v>#DIV/0!</v>
      </c>
      <c r="X193" s="53" t="s">
        <v>45</v>
      </c>
    </row>
    <row r="194" spans="1:24">
      <c r="A194" s="124" t="s">
        <v>90</v>
      </c>
      <c r="B194" s="208" t="s">
        <v>56</v>
      </c>
      <c r="C194" s="205">
        <v>87</v>
      </c>
      <c r="D194" s="205">
        <v>45</v>
      </c>
      <c r="E194" s="205">
        <v>3</v>
      </c>
      <c r="F194" s="205">
        <v>13400</v>
      </c>
      <c r="G194" s="206"/>
      <c r="H194" s="206"/>
      <c r="I194" s="206"/>
      <c r="J194" s="206"/>
      <c r="K194" s="207"/>
      <c r="L194" s="207"/>
      <c r="M194" s="207"/>
      <c r="N194" s="207"/>
      <c r="O194" s="191">
        <f t="shared" si="16"/>
        <v>2.4890004000000001</v>
      </c>
      <c r="P194" s="75">
        <f t="shared" si="17"/>
        <v>13400</v>
      </c>
      <c r="Q194" s="76">
        <f t="shared" si="18"/>
        <v>13.4</v>
      </c>
      <c r="R194" s="185">
        <f t="shared" si="19"/>
        <v>13.4</v>
      </c>
      <c r="S194" s="62">
        <f>VLOOKUP(A194,[1]Index!$E:$M,8,)</f>
        <v>12260</v>
      </c>
      <c r="T194" s="77">
        <f t="shared" si="20"/>
        <v>-1140</v>
      </c>
      <c r="U194" s="78">
        <f t="shared" si="21"/>
        <v>-9.2985318107667206E-2</v>
      </c>
      <c r="V194" s="79">
        <f t="shared" si="23"/>
        <v>0.41483340000000002</v>
      </c>
      <c r="W194" s="80">
        <f t="shared" si="22"/>
        <v>32.30212417804352</v>
      </c>
      <c r="X194" s="53" t="s">
        <v>47</v>
      </c>
    </row>
    <row r="195" spans="1:24">
      <c r="A195" s="124" t="s">
        <v>92</v>
      </c>
      <c r="B195" s="208" t="s">
        <v>54</v>
      </c>
      <c r="C195" s="205">
        <v>87</v>
      </c>
      <c r="D195" s="205">
        <v>45</v>
      </c>
      <c r="E195" s="205">
        <v>8</v>
      </c>
      <c r="F195" s="205">
        <v>11600</v>
      </c>
      <c r="G195" s="206"/>
      <c r="H195" s="206"/>
      <c r="I195" s="206"/>
      <c r="J195" s="206"/>
      <c r="K195" s="207"/>
      <c r="L195" s="207"/>
      <c r="M195" s="207"/>
      <c r="N195" s="207"/>
      <c r="O195" s="191">
        <f t="shared" si="16"/>
        <v>6.6373344000000003</v>
      </c>
      <c r="P195" s="75">
        <f t="shared" si="17"/>
        <v>11600</v>
      </c>
      <c r="Q195" s="76">
        <f t="shared" si="18"/>
        <v>11.6</v>
      </c>
      <c r="R195" s="185">
        <f t="shared" si="19"/>
        <v>11.6</v>
      </c>
      <c r="S195" s="62">
        <f>VLOOKUP(A195,[1]Index!$E:$M,8,)</f>
        <v>13437.934720799998</v>
      </c>
      <c r="T195" s="77">
        <f t="shared" si="20"/>
        <v>1837.9347207999981</v>
      </c>
      <c r="U195" s="78">
        <f t="shared" si="21"/>
        <v>0.13677211260411457</v>
      </c>
      <c r="V195" s="79">
        <f t="shared" si="23"/>
        <v>1.1062224000000001</v>
      </c>
      <c r="W195" s="80">
        <f t="shared" si="22"/>
        <v>10.486137326454427</v>
      </c>
      <c r="X195" s="53" t="s">
        <v>45</v>
      </c>
    </row>
    <row r="196" spans="1:24">
      <c r="A196" s="124" t="s">
        <v>97</v>
      </c>
      <c r="B196" s="208" t="s">
        <v>56</v>
      </c>
      <c r="C196" s="205">
        <v>89</v>
      </c>
      <c r="D196" s="205">
        <v>50</v>
      </c>
      <c r="E196" s="205">
        <v>17</v>
      </c>
      <c r="F196" s="205">
        <v>39400</v>
      </c>
      <c r="G196" s="206"/>
      <c r="H196" s="206"/>
      <c r="I196" s="206"/>
      <c r="J196" s="206"/>
      <c r="K196" s="207"/>
      <c r="L196" s="207"/>
      <c r="M196" s="207"/>
      <c r="N196" s="207"/>
      <c r="O196" s="191">
        <f t="shared" ref="O196:O214" si="24">V196*$O$2</f>
        <v>16.031748</v>
      </c>
      <c r="P196" s="75">
        <f t="shared" ref="P196:P247" si="25">F196+J196+N196</f>
        <v>39400</v>
      </c>
      <c r="Q196" s="76">
        <f t="shared" ref="Q196:Q214" si="26">P196/1000</f>
        <v>39.4</v>
      </c>
      <c r="R196" s="185">
        <f t="shared" ref="R196:R214" si="27">MAX(Q196,O196)</f>
        <v>39.4</v>
      </c>
      <c r="S196" s="62">
        <f>VLOOKUP(A196,[1]Index!$E:$M,8,)</f>
        <v>36590.880657599992</v>
      </c>
      <c r="T196" s="77">
        <f t="shared" ref="T196:T247" si="28">S196-P196</f>
        <v>-2809.1193424000085</v>
      </c>
      <c r="U196" s="78">
        <f t="shared" ref="U196:U241" si="29">T196/S196</f>
        <v>-7.6771023050426351E-2</v>
      </c>
      <c r="V196" s="79">
        <f t="shared" si="23"/>
        <v>2.6719580000000001</v>
      </c>
      <c r="W196" s="80">
        <f t="shared" ref="W196:W247" si="30">Q196/V196</f>
        <v>14.745740763889252</v>
      </c>
      <c r="X196" s="53" t="s">
        <v>47</v>
      </c>
    </row>
    <row r="197" spans="1:24">
      <c r="A197" s="124" t="s">
        <v>98</v>
      </c>
      <c r="B197" s="208" t="s">
        <v>44</v>
      </c>
      <c r="C197" s="205">
        <v>126</v>
      </c>
      <c r="D197" s="205">
        <v>46</v>
      </c>
      <c r="E197" s="205">
        <v>13</v>
      </c>
      <c r="F197" s="205">
        <v>45000</v>
      </c>
      <c r="G197" s="206">
        <v>79</v>
      </c>
      <c r="H197" s="206">
        <v>46</v>
      </c>
      <c r="I197" s="206">
        <v>15</v>
      </c>
      <c r="J197" s="206">
        <v>24900</v>
      </c>
      <c r="K197" s="207"/>
      <c r="L197" s="207"/>
      <c r="M197" s="207"/>
      <c r="N197" s="207"/>
      <c r="O197" s="191">
        <f t="shared" si="24"/>
        <v>27.519507360000002</v>
      </c>
      <c r="P197" s="75">
        <f t="shared" si="25"/>
        <v>69900</v>
      </c>
      <c r="Q197" s="76">
        <f t="shared" si="26"/>
        <v>69.900000000000006</v>
      </c>
      <c r="R197" s="185">
        <f t="shared" si="27"/>
        <v>69.900000000000006</v>
      </c>
      <c r="S197" s="62">
        <f>VLOOKUP(A197,[1]Index!$E:$M,8,)</f>
        <v>60545.831617440002</v>
      </c>
      <c r="T197" s="77">
        <f t="shared" si="28"/>
        <v>-9354.1683825599976</v>
      </c>
      <c r="U197" s="78">
        <f t="shared" si="29"/>
        <v>-0.15449731439258263</v>
      </c>
      <c r="V197" s="79">
        <f t="shared" ref="V197:V247" si="31">(((C197*D197*E197)+(G197*H197*I197)+(K197*L197*M197))/1000000)*35.32</f>
        <v>4.5865845600000004</v>
      </c>
      <c r="W197" s="80">
        <f t="shared" si="30"/>
        <v>15.240098396877698</v>
      </c>
      <c r="X197" s="53" t="s">
        <v>47</v>
      </c>
    </row>
    <row r="198" spans="1:24">
      <c r="A198" s="124" t="s">
        <v>99</v>
      </c>
      <c r="B198" s="208" t="s">
        <v>56</v>
      </c>
      <c r="C198" s="205">
        <v>85</v>
      </c>
      <c r="D198" s="205">
        <v>49</v>
      </c>
      <c r="E198" s="205">
        <v>18</v>
      </c>
      <c r="F198" s="205">
        <v>40350</v>
      </c>
      <c r="G198" s="206"/>
      <c r="H198" s="206"/>
      <c r="I198" s="206"/>
      <c r="J198" s="206"/>
      <c r="K198" s="207"/>
      <c r="L198" s="207"/>
      <c r="M198" s="207"/>
      <c r="N198" s="207"/>
      <c r="O198" s="191">
        <f t="shared" si="24"/>
        <v>15.887642400000001</v>
      </c>
      <c r="P198" s="75">
        <f t="shared" si="25"/>
        <v>40350</v>
      </c>
      <c r="Q198" s="76">
        <f t="shared" si="26"/>
        <v>40.35</v>
      </c>
      <c r="R198" s="185">
        <f t="shared" si="27"/>
        <v>40.35</v>
      </c>
      <c r="S198" s="62">
        <f>VLOOKUP(A198,[1]Index!$E:$M,8,)</f>
        <v>38098.171315200008</v>
      </c>
      <c r="T198" s="77">
        <f t="shared" si="28"/>
        <v>-2251.8286847999916</v>
      </c>
      <c r="U198" s="78">
        <f t="shared" si="29"/>
        <v>-5.9105951993595571E-2</v>
      </c>
      <c r="V198" s="79">
        <f t="shared" si="31"/>
        <v>2.6479404</v>
      </c>
      <c r="W198" s="80">
        <f t="shared" si="30"/>
        <v>15.238258383761206</v>
      </c>
      <c r="X198" s="53" t="s">
        <v>47</v>
      </c>
    </row>
    <row r="199" spans="1:24">
      <c r="A199" s="124" t="s">
        <v>369</v>
      </c>
      <c r="B199" s="208" t="s">
        <v>56</v>
      </c>
      <c r="C199" s="205">
        <v>68</v>
      </c>
      <c r="D199" s="205">
        <v>46</v>
      </c>
      <c r="E199" s="205">
        <v>7</v>
      </c>
      <c r="F199" s="205">
        <v>8800</v>
      </c>
      <c r="G199" s="206"/>
      <c r="H199" s="206"/>
      <c r="I199" s="206"/>
      <c r="J199" s="206"/>
      <c r="K199" s="207"/>
      <c r="L199" s="207"/>
      <c r="M199" s="207"/>
      <c r="N199" s="207"/>
      <c r="O199" s="191">
        <f t="shared" si="24"/>
        <v>4.6402003199999999</v>
      </c>
      <c r="P199" s="75">
        <f t="shared" si="25"/>
        <v>8800</v>
      </c>
      <c r="Q199" s="76">
        <f t="shared" si="26"/>
        <v>8.8000000000000007</v>
      </c>
      <c r="R199" s="185">
        <f t="shared" si="27"/>
        <v>8.8000000000000007</v>
      </c>
      <c r="S199" s="62" t="e">
        <f>VLOOKUP(A199,[1]Index!$E:$M,8,)</f>
        <v>#N/A</v>
      </c>
      <c r="T199" s="77" t="e">
        <f t="shared" si="28"/>
        <v>#N/A</v>
      </c>
      <c r="U199" s="78" t="e">
        <f t="shared" si="29"/>
        <v>#N/A</v>
      </c>
      <c r="V199" s="79">
        <f t="shared" si="31"/>
        <v>0.77336671999999995</v>
      </c>
      <c r="W199" s="80">
        <f t="shared" si="30"/>
        <v>11.378819093741196</v>
      </c>
      <c r="X199" s="53" t="s">
        <v>45</v>
      </c>
    </row>
    <row r="200" spans="1:24">
      <c r="A200" s="124" t="s">
        <v>108</v>
      </c>
      <c r="B200" s="208" t="s">
        <v>56</v>
      </c>
      <c r="C200" s="205">
        <v>26</v>
      </c>
      <c r="D200" s="205">
        <v>26</v>
      </c>
      <c r="E200" s="205">
        <v>5</v>
      </c>
      <c r="F200" s="205">
        <v>840</v>
      </c>
      <c r="G200" s="206"/>
      <c r="H200" s="206"/>
      <c r="I200" s="206"/>
      <c r="J200" s="206"/>
      <c r="K200" s="207"/>
      <c r="L200" s="207"/>
      <c r="M200" s="207"/>
      <c r="N200" s="207"/>
      <c r="O200" s="191">
        <f t="shared" si="24"/>
        <v>0.71628960000000008</v>
      </c>
      <c r="P200" s="75">
        <f t="shared" si="25"/>
        <v>840</v>
      </c>
      <c r="Q200" s="76">
        <f t="shared" si="26"/>
        <v>0.84</v>
      </c>
      <c r="R200" s="185">
        <f t="shared" si="27"/>
        <v>0.84</v>
      </c>
      <c r="S200" s="62">
        <f>VLOOKUP(A200,[1]Index!$E:$M,8,)</f>
        <v>1194.0518644067797</v>
      </c>
      <c r="T200" s="77">
        <f t="shared" si="28"/>
        <v>354.05186440677971</v>
      </c>
      <c r="U200" s="78">
        <f t="shared" si="29"/>
        <v>0.29651296979690012</v>
      </c>
      <c r="V200" s="79">
        <f t="shared" si="31"/>
        <v>0.1193816</v>
      </c>
      <c r="W200" s="80">
        <f t="shared" si="30"/>
        <v>7.0362601942007812</v>
      </c>
      <c r="X200" s="53" t="s">
        <v>45</v>
      </c>
    </row>
    <row r="201" spans="1:24">
      <c r="A201" s="124" t="s">
        <v>370</v>
      </c>
      <c r="B201" s="208" t="s">
        <v>54</v>
      </c>
      <c r="C201" s="205"/>
      <c r="D201" s="205"/>
      <c r="E201" s="205"/>
      <c r="F201" s="205"/>
      <c r="G201" s="206"/>
      <c r="H201" s="206"/>
      <c r="I201" s="206"/>
      <c r="J201" s="206"/>
      <c r="K201" s="207"/>
      <c r="L201" s="207"/>
      <c r="M201" s="207"/>
      <c r="N201" s="207"/>
      <c r="O201" s="191">
        <f t="shared" si="24"/>
        <v>0</v>
      </c>
      <c r="P201" s="75">
        <f t="shared" si="25"/>
        <v>0</v>
      </c>
      <c r="Q201" s="76">
        <f t="shared" si="26"/>
        <v>0</v>
      </c>
      <c r="R201" s="185">
        <f t="shared" si="27"/>
        <v>0</v>
      </c>
      <c r="S201" s="62" t="e">
        <f>VLOOKUP(A201,[1]Index!$E:$M,8,)</f>
        <v>#N/A</v>
      </c>
      <c r="T201" s="77" t="e">
        <f t="shared" si="28"/>
        <v>#N/A</v>
      </c>
      <c r="U201" s="78" t="e">
        <f t="shared" si="29"/>
        <v>#N/A</v>
      </c>
      <c r="V201" s="79">
        <f t="shared" si="31"/>
        <v>0</v>
      </c>
      <c r="W201" s="80" t="e">
        <f t="shared" si="30"/>
        <v>#DIV/0!</v>
      </c>
      <c r="X201" s="53" t="s">
        <v>45</v>
      </c>
    </row>
    <row r="202" spans="1:24">
      <c r="A202" s="124" t="s">
        <v>151</v>
      </c>
      <c r="B202" s="208" t="s">
        <v>54</v>
      </c>
      <c r="C202" s="205"/>
      <c r="D202" s="205"/>
      <c r="E202" s="205"/>
      <c r="F202" s="205"/>
      <c r="G202" s="206"/>
      <c r="H202" s="206"/>
      <c r="I202" s="206"/>
      <c r="J202" s="206"/>
      <c r="K202" s="207"/>
      <c r="L202" s="207"/>
      <c r="M202" s="207"/>
      <c r="N202" s="207"/>
      <c r="O202" s="191">
        <f t="shared" si="24"/>
        <v>0</v>
      </c>
      <c r="P202" s="75">
        <f t="shared" si="25"/>
        <v>0</v>
      </c>
      <c r="Q202" s="76">
        <f t="shared" si="26"/>
        <v>0</v>
      </c>
      <c r="R202" s="185">
        <f t="shared" si="27"/>
        <v>0</v>
      </c>
      <c r="S202" s="62" t="e">
        <f>VLOOKUP(A202,[1]Index!$E:$M,8,)</f>
        <v>#N/A</v>
      </c>
      <c r="T202" s="77" t="e">
        <f t="shared" si="28"/>
        <v>#N/A</v>
      </c>
      <c r="U202" s="78" t="e">
        <f t="shared" si="29"/>
        <v>#N/A</v>
      </c>
      <c r="V202" s="79">
        <f t="shared" si="31"/>
        <v>0</v>
      </c>
      <c r="W202" s="80" t="e">
        <f t="shared" si="30"/>
        <v>#DIV/0!</v>
      </c>
      <c r="X202" s="53" t="s">
        <v>45</v>
      </c>
    </row>
    <row r="203" spans="1:24">
      <c r="A203" s="124" t="s">
        <v>155</v>
      </c>
      <c r="B203" s="208" t="s">
        <v>56</v>
      </c>
      <c r="C203" s="205">
        <v>143</v>
      </c>
      <c r="D203" s="205">
        <v>26</v>
      </c>
      <c r="E203" s="205">
        <v>17</v>
      </c>
      <c r="F203" s="205">
        <v>13350</v>
      </c>
      <c r="G203" s="206"/>
      <c r="H203" s="206"/>
      <c r="I203" s="206"/>
      <c r="J203" s="206"/>
      <c r="K203" s="207"/>
      <c r="L203" s="207"/>
      <c r="M203" s="207"/>
      <c r="N203" s="207"/>
      <c r="O203" s="191">
        <f t="shared" si="24"/>
        <v>13.394615519999999</v>
      </c>
      <c r="P203" s="75">
        <f t="shared" si="25"/>
        <v>13350</v>
      </c>
      <c r="Q203" s="76">
        <f t="shared" si="26"/>
        <v>13.35</v>
      </c>
      <c r="R203" s="185">
        <f t="shared" si="27"/>
        <v>13.394615519999999</v>
      </c>
      <c r="S203" s="62">
        <f>VLOOKUP(A203,[1]Index!$E:$M,8,)</f>
        <v>12946</v>
      </c>
      <c r="T203" s="77">
        <f t="shared" si="28"/>
        <v>-404</v>
      </c>
      <c r="U203" s="78">
        <f t="shared" si="29"/>
        <v>-3.1206550285802565E-2</v>
      </c>
      <c r="V203" s="79">
        <f t="shared" si="31"/>
        <v>2.2324359199999999</v>
      </c>
      <c r="W203" s="80">
        <f t="shared" si="30"/>
        <v>5.9800148709307637</v>
      </c>
      <c r="X203" s="53" t="s">
        <v>47</v>
      </c>
    </row>
    <row r="204" spans="1:24">
      <c r="A204" s="124" t="s">
        <v>160</v>
      </c>
      <c r="B204" s="208" t="s">
        <v>56</v>
      </c>
      <c r="C204" s="205">
        <v>165</v>
      </c>
      <c r="D204" s="205">
        <v>36</v>
      </c>
      <c r="E204" s="205">
        <v>9</v>
      </c>
      <c r="F204" s="205">
        <v>25119</v>
      </c>
      <c r="G204" s="206"/>
      <c r="H204" s="206"/>
      <c r="I204" s="206"/>
      <c r="J204" s="206"/>
      <c r="K204" s="207"/>
      <c r="L204" s="207"/>
      <c r="M204" s="207"/>
      <c r="N204" s="207"/>
      <c r="O204" s="191">
        <f t="shared" si="24"/>
        <v>11.329243200000001</v>
      </c>
      <c r="P204" s="75">
        <f t="shared" si="25"/>
        <v>25119</v>
      </c>
      <c r="Q204" s="76">
        <f t="shared" si="26"/>
        <v>25.119</v>
      </c>
      <c r="R204" s="185">
        <f t="shared" si="27"/>
        <v>25.119</v>
      </c>
      <c r="S204" s="62">
        <f>VLOOKUP(A204,[1]Index!$E:$M,8,)</f>
        <v>25424</v>
      </c>
      <c r="T204" s="77">
        <f t="shared" si="28"/>
        <v>305</v>
      </c>
      <c r="U204" s="78">
        <f t="shared" si="29"/>
        <v>1.1996538703587162E-2</v>
      </c>
      <c r="V204" s="79">
        <f t="shared" si="31"/>
        <v>1.8882072000000001</v>
      </c>
      <c r="W204" s="80">
        <f t="shared" si="30"/>
        <v>13.303095126424685</v>
      </c>
      <c r="X204" s="53" t="s">
        <v>47</v>
      </c>
    </row>
    <row r="205" spans="1:24">
      <c r="A205" s="124" t="s">
        <v>175</v>
      </c>
      <c r="B205" s="208" t="s">
        <v>56</v>
      </c>
      <c r="C205" s="205">
        <v>69</v>
      </c>
      <c r="D205" s="205">
        <v>35</v>
      </c>
      <c r="E205" s="205">
        <v>9</v>
      </c>
      <c r="F205" s="205">
        <v>10400</v>
      </c>
      <c r="G205" s="206"/>
      <c r="H205" s="206"/>
      <c r="I205" s="206"/>
      <c r="J205" s="206"/>
      <c r="K205" s="207"/>
      <c r="L205" s="207"/>
      <c r="M205" s="207"/>
      <c r="N205" s="207"/>
      <c r="O205" s="191">
        <f t="shared" si="24"/>
        <v>4.6060812000000002</v>
      </c>
      <c r="P205" s="75">
        <f t="shared" si="25"/>
        <v>10400</v>
      </c>
      <c r="Q205" s="76">
        <f t="shared" si="26"/>
        <v>10.4</v>
      </c>
      <c r="R205" s="185">
        <f t="shared" si="27"/>
        <v>10.4</v>
      </c>
      <c r="S205" s="62">
        <f>VLOOKUP(A205,[1]Index!$E:$M,8,)</f>
        <v>10324</v>
      </c>
      <c r="T205" s="77">
        <f t="shared" si="28"/>
        <v>-76</v>
      </c>
      <c r="U205" s="78">
        <f t="shared" si="29"/>
        <v>-7.3614877954281286E-3</v>
      </c>
      <c r="V205" s="79">
        <f t="shared" si="31"/>
        <v>0.76768020000000003</v>
      </c>
      <c r="W205" s="80">
        <f t="shared" si="30"/>
        <v>13.547307850326217</v>
      </c>
      <c r="X205" s="53" t="s">
        <v>47</v>
      </c>
    </row>
    <row r="206" spans="1:24">
      <c r="A206" s="124" t="s">
        <v>204</v>
      </c>
      <c r="B206" s="208" t="s">
        <v>56</v>
      </c>
      <c r="C206" s="205">
        <v>153</v>
      </c>
      <c r="D206" s="205">
        <v>57</v>
      </c>
      <c r="E206" s="205">
        <v>10</v>
      </c>
      <c r="F206" s="205">
        <v>33300</v>
      </c>
      <c r="G206" s="206"/>
      <c r="H206" s="206"/>
      <c r="I206" s="206"/>
      <c r="J206" s="206"/>
      <c r="K206" s="207"/>
      <c r="L206" s="207"/>
      <c r="M206" s="207"/>
      <c r="N206" s="207"/>
      <c r="O206" s="191">
        <f t="shared" si="24"/>
        <v>18.481543199999997</v>
      </c>
      <c r="P206" s="75">
        <f t="shared" si="25"/>
        <v>33300</v>
      </c>
      <c r="Q206" s="76">
        <f t="shared" si="26"/>
        <v>33.299999999999997</v>
      </c>
      <c r="R206" s="185">
        <f t="shared" si="27"/>
        <v>33.299999999999997</v>
      </c>
      <c r="S206" s="62">
        <f>VLOOKUP(A206,[1]Index!$E:$M,8,)</f>
        <v>26113.615866451993</v>
      </c>
      <c r="T206" s="77">
        <f t="shared" si="28"/>
        <v>-7186.3841335480065</v>
      </c>
      <c r="U206" s="78">
        <f t="shared" si="29"/>
        <v>-0.27519682338516405</v>
      </c>
      <c r="V206" s="79">
        <f t="shared" si="31"/>
        <v>3.0802571999999997</v>
      </c>
      <c r="W206" s="80">
        <f t="shared" si="30"/>
        <v>10.810785540895742</v>
      </c>
      <c r="X206" s="53" t="s">
        <v>47</v>
      </c>
    </row>
    <row r="207" spans="1:24">
      <c r="A207" s="124" t="s">
        <v>227</v>
      </c>
      <c r="B207" s="208" t="s">
        <v>56</v>
      </c>
      <c r="C207" s="205">
        <v>126</v>
      </c>
      <c r="D207" s="205">
        <v>70</v>
      </c>
      <c r="E207" s="205">
        <v>12</v>
      </c>
      <c r="F207" s="205">
        <v>49000</v>
      </c>
      <c r="G207" s="206"/>
      <c r="H207" s="206"/>
      <c r="I207" s="206"/>
      <c r="J207" s="206"/>
      <c r="K207" s="207"/>
      <c r="L207" s="207"/>
      <c r="M207" s="207"/>
      <c r="N207" s="207"/>
      <c r="O207" s="191">
        <f t="shared" si="24"/>
        <v>22.429612800000001</v>
      </c>
      <c r="P207" s="75">
        <f t="shared" si="25"/>
        <v>49000</v>
      </c>
      <c r="Q207" s="76">
        <f t="shared" si="26"/>
        <v>49</v>
      </c>
      <c r="R207" s="185">
        <f t="shared" si="27"/>
        <v>49</v>
      </c>
      <c r="S207" s="62">
        <f>VLOOKUP(A207,[1]Index!$E:$M,8,)</f>
        <v>43405.831073696005</v>
      </c>
      <c r="T207" s="77">
        <f t="shared" si="28"/>
        <v>-5594.1689263039952</v>
      </c>
      <c r="U207" s="78">
        <f t="shared" si="29"/>
        <v>-0.12888058557860604</v>
      </c>
      <c r="V207" s="79">
        <f t="shared" si="31"/>
        <v>3.7382688000000002</v>
      </c>
      <c r="W207" s="80">
        <f t="shared" si="30"/>
        <v>13.107671658068034</v>
      </c>
      <c r="X207" s="53" t="s">
        <v>45</v>
      </c>
    </row>
    <row r="208" spans="1:24">
      <c r="A208" s="124" t="s">
        <v>244</v>
      </c>
      <c r="B208" s="208" t="s">
        <v>56</v>
      </c>
      <c r="C208" s="205">
        <v>166</v>
      </c>
      <c r="D208" s="205">
        <v>31</v>
      </c>
      <c r="E208" s="205">
        <v>7</v>
      </c>
      <c r="F208" s="205">
        <v>17950</v>
      </c>
      <c r="G208" s="206"/>
      <c r="H208" s="206"/>
      <c r="I208" s="206"/>
      <c r="J208" s="206"/>
      <c r="K208" s="207"/>
      <c r="L208" s="207"/>
      <c r="M208" s="207"/>
      <c r="N208" s="207"/>
      <c r="O208" s="191">
        <f t="shared" si="24"/>
        <v>7.6337822400000004</v>
      </c>
      <c r="P208" s="75">
        <f t="shared" si="25"/>
        <v>17950</v>
      </c>
      <c r="Q208" s="76">
        <f t="shared" si="26"/>
        <v>17.95</v>
      </c>
      <c r="R208" s="185">
        <f t="shared" si="27"/>
        <v>17.95</v>
      </c>
      <c r="S208" s="62">
        <f>VLOOKUP(A208,[1]Index!$E:$M,8,)</f>
        <v>15626.329231599995</v>
      </c>
      <c r="T208" s="77">
        <f t="shared" si="28"/>
        <v>-2323.6707684000048</v>
      </c>
      <c r="U208" s="78">
        <f t="shared" si="29"/>
        <v>-0.14870227895243712</v>
      </c>
      <c r="V208" s="79">
        <f t="shared" si="31"/>
        <v>1.27229704</v>
      </c>
      <c r="W208" s="80">
        <f t="shared" si="30"/>
        <v>14.108340612031919</v>
      </c>
      <c r="X208" s="53" t="s">
        <v>47</v>
      </c>
    </row>
    <row r="209" spans="1:24">
      <c r="A209" s="124" t="s">
        <v>125</v>
      </c>
      <c r="B209" s="234" t="s">
        <v>56</v>
      </c>
      <c r="C209" s="205">
        <v>74</v>
      </c>
      <c r="D209" s="205">
        <v>51</v>
      </c>
      <c r="E209" s="205">
        <v>8</v>
      </c>
      <c r="F209" s="205">
        <v>8555</v>
      </c>
      <c r="G209" s="206"/>
      <c r="H209" s="206"/>
      <c r="I209" s="206"/>
      <c r="J209" s="206"/>
      <c r="K209" s="207"/>
      <c r="L209" s="207"/>
      <c r="M209" s="207"/>
      <c r="N209" s="207"/>
      <c r="O209" s="191">
        <f t="shared" si="24"/>
        <v>6.3982886400000005</v>
      </c>
      <c r="P209" s="75">
        <f t="shared" si="25"/>
        <v>8555</v>
      </c>
      <c r="Q209" s="76">
        <f t="shared" si="26"/>
        <v>8.5549999999999997</v>
      </c>
      <c r="R209" s="185">
        <f t="shared" si="27"/>
        <v>8.5549999999999997</v>
      </c>
      <c r="S209" s="62">
        <f>VLOOKUP(A209,[1]Index!$E:$M,8,)</f>
        <v>367.55697413932501</v>
      </c>
      <c r="T209" s="77">
        <f t="shared" si="28"/>
        <v>-8187.4430258606753</v>
      </c>
      <c r="U209" s="78">
        <f t="shared" si="29"/>
        <v>-22.275303155469903</v>
      </c>
      <c r="V209" s="79">
        <f t="shared" si="31"/>
        <v>1.06638144</v>
      </c>
      <c r="W209" s="80">
        <f t="shared" si="30"/>
        <v>8.0224577051903676</v>
      </c>
      <c r="X209" s="53" t="s">
        <v>371</v>
      </c>
    </row>
    <row r="210" spans="1:24">
      <c r="A210" s="233" t="s">
        <v>372</v>
      </c>
      <c r="B210" s="234" t="s">
        <v>56</v>
      </c>
      <c r="C210" s="205">
        <v>154</v>
      </c>
      <c r="D210" s="205">
        <v>45</v>
      </c>
      <c r="E210" s="205">
        <v>9</v>
      </c>
      <c r="F210" s="205">
        <v>30350</v>
      </c>
      <c r="G210" s="206"/>
      <c r="H210" s="206"/>
      <c r="I210" s="206"/>
      <c r="J210" s="206"/>
      <c r="K210" s="207"/>
      <c r="L210" s="207"/>
      <c r="M210" s="207"/>
      <c r="N210" s="207"/>
      <c r="O210" s="191">
        <f t="shared" si="24"/>
        <v>13.217450400000001</v>
      </c>
      <c r="P210" s="75">
        <f t="shared" si="25"/>
        <v>30350</v>
      </c>
      <c r="Q210" s="76">
        <f t="shared" si="26"/>
        <v>30.35</v>
      </c>
      <c r="R210" s="185">
        <f t="shared" si="27"/>
        <v>30.35</v>
      </c>
      <c r="S210" s="62" t="e">
        <f>VLOOKUP(A210,[1]Index!$E:$M,8,)</f>
        <v>#N/A</v>
      </c>
      <c r="T210" s="77" t="e">
        <f t="shared" si="28"/>
        <v>#N/A</v>
      </c>
      <c r="U210" s="78" t="e">
        <f t="shared" si="29"/>
        <v>#N/A</v>
      </c>
      <c r="V210" s="79">
        <f t="shared" si="31"/>
        <v>2.2029084000000001</v>
      </c>
      <c r="W210" s="80">
        <f t="shared" si="30"/>
        <v>13.777241032809172</v>
      </c>
      <c r="X210" s="53" t="s">
        <v>373</v>
      </c>
    </row>
    <row r="211" spans="1:24">
      <c r="A211" s="124" t="s">
        <v>260</v>
      </c>
      <c r="B211" s="208" t="s">
        <v>56</v>
      </c>
      <c r="C211" s="205">
        <v>166</v>
      </c>
      <c r="D211" s="205">
        <v>45</v>
      </c>
      <c r="E211" s="205">
        <v>12</v>
      </c>
      <c r="F211" s="205">
        <v>48800</v>
      </c>
      <c r="G211" s="206"/>
      <c r="H211" s="206"/>
      <c r="I211" s="206"/>
      <c r="J211" s="206"/>
      <c r="K211" s="207"/>
      <c r="L211" s="207"/>
      <c r="M211" s="207"/>
      <c r="N211" s="207"/>
      <c r="O211" s="191">
        <f t="shared" si="24"/>
        <v>18.996508800000001</v>
      </c>
      <c r="P211" s="75">
        <f t="shared" si="25"/>
        <v>48800</v>
      </c>
      <c r="Q211" s="76">
        <f t="shared" si="26"/>
        <v>48.8</v>
      </c>
      <c r="R211" s="185">
        <f t="shared" si="27"/>
        <v>48.8</v>
      </c>
      <c r="S211" s="62">
        <f>VLOOKUP(A211,[1]Index!$E:$M,8,)</f>
        <v>43885.071975488005</v>
      </c>
      <c r="T211" s="77">
        <f t="shared" si="28"/>
        <v>-4914.9280245119953</v>
      </c>
      <c r="U211" s="78">
        <f t="shared" si="29"/>
        <v>-0.11199544180438457</v>
      </c>
      <c r="V211" s="79">
        <f t="shared" si="31"/>
        <v>3.1660848000000001</v>
      </c>
      <c r="W211" s="80">
        <f t="shared" si="30"/>
        <v>15.413358479848675</v>
      </c>
      <c r="X211" s="53" t="s">
        <v>47</v>
      </c>
    </row>
    <row r="212" spans="1:24">
      <c r="A212" s="124" t="s">
        <v>281</v>
      </c>
      <c r="B212" s="208" t="s">
        <v>54</v>
      </c>
      <c r="C212" s="205">
        <v>162</v>
      </c>
      <c r="D212" s="205">
        <v>29</v>
      </c>
      <c r="E212" s="205">
        <v>8</v>
      </c>
      <c r="F212" s="205">
        <v>15800</v>
      </c>
      <c r="G212" s="206"/>
      <c r="H212" s="206"/>
      <c r="I212" s="206"/>
      <c r="J212" s="206"/>
      <c r="K212" s="207"/>
      <c r="L212" s="207"/>
      <c r="M212" s="207"/>
      <c r="N212" s="207"/>
      <c r="O212" s="191">
        <f t="shared" si="24"/>
        <v>7.9648012799999997</v>
      </c>
      <c r="P212" s="75">
        <f t="shared" si="25"/>
        <v>15800</v>
      </c>
      <c r="Q212" s="76">
        <f t="shared" si="26"/>
        <v>15.8</v>
      </c>
      <c r="R212" s="185">
        <f t="shared" si="27"/>
        <v>15.8</v>
      </c>
      <c r="S212" s="62">
        <f>VLOOKUP(A212,[1]Index!$E:$M,8,)</f>
        <v>13723.544336400004</v>
      </c>
      <c r="T212" s="77">
        <f t="shared" si="28"/>
        <v>-2076.4556635999961</v>
      </c>
      <c r="U212" s="78">
        <f t="shared" si="29"/>
        <v>-0.15130607754823616</v>
      </c>
      <c r="V212" s="79">
        <f t="shared" si="31"/>
        <v>1.32746688</v>
      </c>
      <c r="W212" s="80">
        <f t="shared" si="30"/>
        <v>11.902368517096262</v>
      </c>
      <c r="X212" s="53" t="s">
        <v>45</v>
      </c>
    </row>
    <row r="213" spans="1:24">
      <c r="A213" s="124" t="s">
        <v>374</v>
      </c>
      <c r="B213" s="208" t="s">
        <v>54</v>
      </c>
      <c r="C213" s="205"/>
      <c r="D213" s="205"/>
      <c r="E213" s="205"/>
      <c r="F213" s="205"/>
      <c r="G213" s="206"/>
      <c r="H213" s="206"/>
      <c r="I213" s="206"/>
      <c r="J213" s="206"/>
      <c r="K213" s="207"/>
      <c r="L213" s="207"/>
      <c r="M213" s="207"/>
      <c r="N213" s="207"/>
      <c r="O213" s="191">
        <f t="shared" si="24"/>
        <v>0</v>
      </c>
      <c r="P213" s="75">
        <f t="shared" si="25"/>
        <v>0</v>
      </c>
      <c r="Q213" s="76">
        <f t="shared" si="26"/>
        <v>0</v>
      </c>
      <c r="R213" s="185">
        <f t="shared" si="27"/>
        <v>0</v>
      </c>
      <c r="S213" s="62">
        <f>VLOOKUP(A213,[1]Index!$E:$M,8,)</f>
        <v>12274.32677966102</v>
      </c>
      <c r="T213" s="77">
        <f t="shared" si="28"/>
        <v>12274.32677966102</v>
      </c>
      <c r="U213" s="78">
        <f t="shared" si="29"/>
        <v>1</v>
      </c>
      <c r="V213" s="79">
        <f t="shared" si="31"/>
        <v>0</v>
      </c>
      <c r="W213" s="80" t="e">
        <f t="shared" si="30"/>
        <v>#DIV/0!</v>
      </c>
      <c r="X213" s="53" t="s">
        <v>45</v>
      </c>
    </row>
    <row r="214" spans="1:24">
      <c r="A214" s="124" t="s">
        <v>288</v>
      </c>
      <c r="B214" s="208" t="s">
        <v>56</v>
      </c>
      <c r="C214" s="205">
        <v>195</v>
      </c>
      <c r="D214" s="205">
        <v>44</v>
      </c>
      <c r="E214" s="205">
        <v>7</v>
      </c>
      <c r="F214" s="205">
        <v>33900</v>
      </c>
      <c r="G214" s="206"/>
      <c r="H214" s="206"/>
      <c r="I214" s="206"/>
      <c r="J214" s="206"/>
      <c r="K214" s="207"/>
      <c r="L214" s="207"/>
      <c r="M214" s="207"/>
      <c r="N214" s="207"/>
      <c r="O214" s="191">
        <f t="shared" si="24"/>
        <v>12.727915200000002</v>
      </c>
      <c r="P214" s="75">
        <f t="shared" si="25"/>
        <v>33900</v>
      </c>
      <c r="Q214" s="76">
        <f t="shared" si="26"/>
        <v>33.9</v>
      </c>
      <c r="R214" s="185">
        <f t="shared" si="27"/>
        <v>33.9</v>
      </c>
      <c r="S214" s="62">
        <f>VLOOKUP(A214,[1]Index!$E:$M,8,)</f>
        <v>29223.856316510002</v>
      </c>
      <c r="T214" s="77">
        <f t="shared" si="28"/>
        <v>-4676.1436834899978</v>
      </c>
      <c r="U214" s="78">
        <f t="shared" si="29"/>
        <v>-0.160011178293681</v>
      </c>
      <c r="V214" s="79">
        <f t="shared" si="31"/>
        <v>2.1213192000000003</v>
      </c>
      <c r="W214" s="80">
        <f t="shared" si="30"/>
        <v>15.98062186963659</v>
      </c>
      <c r="X214" s="53" t="s">
        <v>47</v>
      </c>
    </row>
    <row r="215" spans="1:24">
      <c r="A215" s="124" t="s">
        <v>190</v>
      </c>
      <c r="B215" s="208" t="s">
        <v>56</v>
      </c>
      <c r="C215" s="205">
        <v>82</v>
      </c>
      <c r="D215" s="205">
        <v>41</v>
      </c>
      <c r="E215" s="205">
        <v>14</v>
      </c>
      <c r="F215" s="205">
        <v>21450</v>
      </c>
      <c r="G215" s="206"/>
      <c r="H215" s="206"/>
      <c r="I215" s="206"/>
      <c r="J215" s="206"/>
      <c r="K215" s="207"/>
      <c r="L215" s="207"/>
      <c r="M215" s="207"/>
      <c r="N215" s="207"/>
      <c r="O215" s="191">
        <f t="shared" ref="O215:O247" si="32">V215*$O$2</f>
        <v>9.9746505599999988</v>
      </c>
      <c r="P215" s="75">
        <f t="shared" si="25"/>
        <v>21450</v>
      </c>
      <c r="Q215" s="76">
        <f t="shared" ref="Q215:Q247" si="33">P215/1000</f>
        <v>21.45</v>
      </c>
      <c r="R215" s="185">
        <f t="shared" ref="R215:R247" si="34">MAX(Q215,O215)</f>
        <v>21.45</v>
      </c>
      <c r="S215" s="62">
        <f>VLOOKUP(A215,[1]Index!$E:$M,8,)</f>
        <v>21457</v>
      </c>
      <c r="T215" s="77">
        <f t="shared" si="28"/>
        <v>7</v>
      </c>
      <c r="U215" s="78">
        <f t="shared" si="29"/>
        <v>3.2623386307498718E-4</v>
      </c>
      <c r="V215" s="79">
        <f t="shared" si="31"/>
        <v>1.6624417599999999</v>
      </c>
      <c r="W215" s="80">
        <f t="shared" si="30"/>
        <v>12.902707641319116</v>
      </c>
      <c r="X215" s="53" t="s">
        <v>47</v>
      </c>
    </row>
    <row r="216" spans="1:24">
      <c r="A216" s="124" t="s">
        <v>236</v>
      </c>
      <c r="B216" s="208" t="s">
        <v>56</v>
      </c>
      <c r="C216" s="205">
        <v>155</v>
      </c>
      <c r="D216" s="205">
        <v>41</v>
      </c>
      <c r="E216" s="205">
        <v>6</v>
      </c>
      <c r="F216" s="205">
        <v>17300</v>
      </c>
      <c r="G216" s="206"/>
      <c r="H216" s="206"/>
      <c r="I216" s="206"/>
      <c r="J216" s="206"/>
      <c r="K216" s="207"/>
      <c r="L216" s="207"/>
      <c r="M216" s="207"/>
      <c r="N216" s="207"/>
      <c r="O216" s="191">
        <f t="shared" si="32"/>
        <v>8.0805095999999992</v>
      </c>
      <c r="P216" s="75">
        <f t="shared" si="25"/>
        <v>17300</v>
      </c>
      <c r="Q216" s="76">
        <f t="shared" si="33"/>
        <v>17.3</v>
      </c>
      <c r="R216" s="185">
        <f t="shared" si="34"/>
        <v>17.3</v>
      </c>
      <c r="S216" s="62">
        <f>VLOOKUP(A216,[1]Index!$E:$M,8,)</f>
        <v>16312.793256000001</v>
      </c>
      <c r="T216" s="77">
        <f t="shared" si="28"/>
        <v>-987.20674399999916</v>
      </c>
      <c r="U216" s="78">
        <f t="shared" si="29"/>
        <v>-6.0517333145069754E-2</v>
      </c>
      <c r="V216" s="79">
        <f t="shared" si="31"/>
        <v>1.3467515999999999</v>
      </c>
      <c r="W216" s="80">
        <f t="shared" si="30"/>
        <v>12.845724482525211</v>
      </c>
      <c r="X216" s="53" t="s">
        <v>47</v>
      </c>
    </row>
    <row r="217" spans="1:24">
      <c r="A217" s="124" t="s">
        <v>198</v>
      </c>
      <c r="B217" s="208" t="s">
        <v>56</v>
      </c>
      <c r="C217" s="205">
        <v>143</v>
      </c>
      <c r="D217" s="205">
        <v>40</v>
      </c>
      <c r="E217" s="205">
        <v>12</v>
      </c>
      <c r="F217" s="205">
        <v>33800</v>
      </c>
      <c r="G217" s="206"/>
      <c r="H217" s="206"/>
      <c r="I217" s="206"/>
      <c r="J217" s="206"/>
      <c r="K217" s="207"/>
      <c r="L217" s="207"/>
      <c r="M217" s="207"/>
      <c r="N217" s="207"/>
      <c r="O217" s="191">
        <f t="shared" si="32"/>
        <v>14.546188800000001</v>
      </c>
      <c r="P217" s="75">
        <f t="shared" si="25"/>
        <v>33800</v>
      </c>
      <c r="Q217" s="76">
        <f t="shared" si="33"/>
        <v>33.799999999999997</v>
      </c>
      <c r="R217" s="185">
        <f t="shared" si="34"/>
        <v>33.799999999999997</v>
      </c>
      <c r="S217" s="62">
        <f>VLOOKUP(A217,[1]Index!$E:$M,8,)</f>
        <v>21457</v>
      </c>
      <c r="T217" s="77">
        <f t="shared" si="28"/>
        <v>-12343</v>
      </c>
      <c r="U217" s="78">
        <f t="shared" si="29"/>
        <v>-0.57524351027636667</v>
      </c>
      <c r="V217" s="79">
        <f t="shared" si="31"/>
        <v>2.4243648000000002</v>
      </c>
      <c r="W217" s="80">
        <f t="shared" si="30"/>
        <v>13.941796218126907</v>
      </c>
      <c r="X217" s="53" t="s">
        <v>47</v>
      </c>
    </row>
    <row r="218" spans="1:24">
      <c r="A218" s="124" t="s">
        <v>72</v>
      </c>
      <c r="B218" s="208" t="s">
        <v>56</v>
      </c>
      <c r="C218" s="205">
        <v>108</v>
      </c>
      <c r="D218" s="205">
        <v>50</v>
      </c>
      <c r="E218" s="205">
        <v>5</v>
      </c>
      <c r="F218" s="205">
        <v>12600</v>
      </c>
      <c r="G218" s="206"/>
      <c r="H218" s="206"/>
      <c r="I218" s="206"/>
      <c r="J218" s="206"/>
      <c r="K218" s="207"/>
      <c r="L218" s="207"/>
      <c r="M218" s="207"/>
      <c r="N218" s="207"/>
      <c r="O218" s="191">
        <f t="shared" si="32"/>
        <v>5.7218400000000003</v>
      </c>
      <c r="P218" s="75">
        <f t="shared" si="25"/>
        <v>12600</v>
      </c>
      <c r="Q218" s="76">
        <f t="shared" si="33"/>
        <v>12.6</v>
      </c>
      <c r="R218" s="185">
        <f t="shared" si="34"/>
        <v>12.6</v>
      </c>
      <c r="S218" s="62">
        <f>VLOOKUP(A218,[1]Index!$E:$M,8,)</f>
        <v>11446.470851999997</v>
      </c>
      <c r="T218" s="77">
        <f t="shared" si="28"/>
        <v>-1153.5291480000033</v>
      </c>
      <c r="U218" s="78">
        <f t="shared" si="29"/>
        <v>-0.10077596517868664</v>
      </c>
      <c r="V218" s="79">
        <f t="shared" si="31"/>
        <v>0.95364000000000004</v>
      </c>
      <c r="W218" s="80">
        <f t="shared" si="30"/>
        <v>13.212533031332578</v>
      </c>
      <c r="X218" s="53" t="s">
        <v>47</v>
      </c>
    </row>
    <row r="219" spans="1:24">
      <c r="A219" s="124" t="s">
        <v>95</v>
      </c>
      <c r="B219" s="208" t="s">
        <v>54</v>
      </c>
      <c r="C219" s="205">
        <v>86</v>
      </c>
      <c r="D219" s="205">
        <v>45</v>
      </c>
      <c r="E219" s="205">
        <v>7</v>
      </c>
      <c r="F219" s="205">
        <v>9600</v>
      </c>
      <c r="G219" s="206"/>
      <c r="H219" s="206"/>
      <c r="I219" s="206"/>
      <c r="J219" s="206"/>
      <c r="K219" s="207"/>
      <c r="L219" s="207"/>
      <c r="M219" s="207"/>
      <c r="N219" s="207"/>
      <c r="O219" s="191">
        <f t="shared" si="32"/>
        <v>5.7409128000000003</v>
      </c>
      <c r="P219" s="75">
        <f t="shared" si="25"/>
        <v>9600</v>
      </c>
      <c r="Q219" s="76">
        <f t="shared" si="33"/>
        <v>9.6</v>
      </c>
      <c r="R219" s="185">
        <f t="shared" si="34"/>
        <v>9.6</v>
      </c>
      <c r="S219" s="62">
        <f>VLOOKUP(A219,[1]Index!$E:$M,8,)</f>
        <v>11000</v>
      </c>
      <c r="T219" s="77">
        <f t="shared" si="28"/>
        <v>1400</v>
      </c>
      <c r="U219" s="78">
        <f t="shared" si="29"/>
        <v>0.12727272727272726</v>
      </c>
      <c r="V219" s="79">
        <f t="shared" si="31"/>
        <v>0.95681879999999997</v>
      </c>
      <c r="W219" s="80">
        <f t="shared" si="30"/>
        <v>10.033247674481313</v>
      </c>
      <c r="X219" s="53" t="s">
        <v>45</v>
      </c>
    </row>
    <row r="220" spans="1:24">
      <c r="A220" s="124" t="s">
        <v>196</v>
      </c>
      <c r="B220" s="208" t="s">
        <v>56</v>
      </c>
      <c r="C220" s="205">
        <v>92</v>
      </c>
      <c r="D220" s="205">
        <v>41</v>
      </c>
      <c r="E220" s="205">
        <v>19</v>
      </c>
      <c r="F220" s="205">
        <v>31250</v>
      </c>
      <c r="G220" s="206"/>
      <c r="H220" s="206"/>
      <c r="I220" s="206"/>
      <c r="J220" s="206"/>
      <c r="K220" s="207"/>
      <c r="L220" s="207"/>
      <c r="M220" s="207"/>
      <c r="N220" s="207"/>
      <c r="O220" s="191">
        <f t="shared" si="32"/>
        <v>15.187882559999998</v>
      </c>
      <c r="P220" s="75">
        <f t="shared" si="25"/>
        <v>31250</v>
      </c>
      <c r="Q220" s="76">
        <f t="shared" si="33"/>
        <v>31.25</v>
      </c>
      <c r="R220" s="185">
        <f t="shared" si="34"/>
        <v>31.25</v>
      </c>
      <c r="S220" s="62">
        <f>VLOOKUP(A220,[1]Index!$E:$M,8,)</f>
        <v>21457</v>
      </c>
      <c r="T220" s="77">
        <f t="shared" si="28"/>
        <v>-9793</v>
      </c>
      <c r="U220" s="78">
        <f t="shared" si="29"/>
        <v>-0.45640117444190709</v>
      </c>
      <c r="V220" s="79">
        <f t="shared" si="31"/>
        <v>2.5313137599999997</v>
      </c>
      <c r="W220" s="80">
        <f t="shared" si="30"/>
        <v>12.345368043193508</v>
      </c>
      <c r="X220" s="53" t="s">
        <v>47</v>
      </c>
    </row>
    <row r="221" spans="1:24">
      <c r="A221" s="124" t="s">
        <v>206</v>
      </c>
      <c r="B221" s="208" t="s">
        <v>56</v>
      </c>
      <c r="C221" s="205">
        <v>105</v>
      </c>
      <c r="D221" s="205">
        <v>60</v>
      </c>
      <c r="E221" s="205">
        <v>8</v>
      </c>
      <c r="F221" s="205">
        <v>12100</v>
      </c>
      <c r="G221" s="206"/>
      <c r="H221" s="206"/>
      <c r="I221" s="206"/>
      <c r="J221" s="206"/>
      <c r="K221" s="207"/>
      <c r="L221" s="207"/>
      <c r="M221" s="207"/>
      <c r="N221" s="207"/>
      <c r="O221" s="191">
        <f t="shared" si="32"/>
        <v>10.680768</v>
      </c>
      <c r="P221" s="75">
        <f t="shared" si="25"/>
        <v>12100</v>
      </c>
      <c r="Q221" s="76">
        <f t="shared" si="33"/>
        <v>12.1</v>
      </c>
      <c r="R221" s="185">
        <f t="shared" si="34"/>
        <v>12.1</v>
      </c>
      <c r="S221" s="62">
        <f>VLOOKUP(A221,[1]Index!$E:$M,8,)</f>
        <v>8159.0102400000014</v>
      </c>
      <c r="T221" s="77">
        <f t="shared" si="28"/>
        <v>-3940.9897599999986</v>
      </c>
      <c r="U221" s="78">
        <f t="shared" si="29"/>
        <v>-0.48302301922346869</v>
      </c>
      <c r="V221" s="79">
        <f t="shared" si="31"/>
        <v>1.7801279999999999</v>
      </c>
      <c r="W221" s="80">
        <f t="shared" si="30"/>
        <v>6.7972640169695664</v>
      </c>
      <c r="X221" s="53" t="s">
        <v>47</v>
      </c>
    </row>
    <row r="222" spans="1:24">
      <c r="A222" s="124" t="s">
        <v>55</v>
      </c>
      <c r="B222" s="208" t="s">
        <v>56</v>
      </c>
      <c r="C222" s="205">
        <v>188</v>
      </c>
      <c r="D222" s="205">
        <v>44</v>
      </c>
      <c r="E222" s="205">
        <v>9</v>
      </c>
      <c r="F222" s="205">
        <v>37300</v>
      </c>
      <c r="G222" s="206"/>
      <c r="H222" s="206"/>
      <c r="I222" s="206"/>
      <c r="J222" s="206"/>
      <c r="K222" s="207"/>
      <c r="L222" s="207"/>
      <c r="M222" s="207"/>
      <c r="N222" s="207"/>
      <c r="O222" s="191">
        <f t="shared" si="32"/>
        <v>15.777020160000001</v>
      </c>
      <c r="P222" s="75">
        <f t="shared" si="25"/>
        <v>37300</v>
      </c>
      <c r="Q222" s="76">
        <f t="shared" si="33"/>
        <v>37.299999999999997</v>
      </c>
      <c r="R222" s="185">
        <f t="shared" si="34"/>
        <v>37.299999999999997</v>
      </c>
      <c r="S222" s="62">
        <f>VLOOKUP(A222,[1]Index!$E:$M,8,)</f>
        <v>34586.525244060009</v>
      </c>
      <c r="T222" s="77">
        <f t="shared" si="28"/>
        <v>-2713.4747559399912</v>
      </c>
      <c r="U222" s="78">
        <f t="shared" si="29"/>
        <v>-7.8454679583807321E-2</v>
      </c>
      <c r="V222" s="79">
        <f t="shared" si="31"/>
        <v>2.6295033600000002</v>
      </c>
      <c r="W222" s="80">
        <f t="shared" si="30"/>
        <v>14.185188187019467</v>
      </c>
      <c r="X222" s="53" t="s">
        <v>47</v>
      </c>
    </row>
    <row r="223" spans="1:24">
      <c r="A223" s="124" t="s">
        <v>53</v>
      </c>
      <c r="B223" s="208" t="s">
        <v>54</v>
      </c>
      <c r="C223" s="205"/>
      <c r="D223" s="205"/>
      <c r="E223" s="205"/>
      <c r="F223" s="205"/>
      <c r="G223" s="206"/>
      <c r="H223" s="206"/>
      <c r="I223" s="206"/>
      <c r="J223" s="206"/>
      <c r="K223" s="207"/>
      <c r="L223" s="207"/>
      <c r="M223" s="207"/>
      <c r="N223" s="207"/>
      <c r="O223" s="191">
        <f t="shared" si="32"/>
        <v>0</v>
      </c>
      <c r="P223" s="75">
        <f t="shared" si="25"/>
        <v>0</v>
      </c>
      <c r="Q223" s="76">
        <f t="shared" si="33"/>
        <v>0</v>
      </c>
      <c r="R223" s="185">
        <f t="shared" si="34"/>
        <v>0</v>
      </c>
      <c r="S223" s="62" t="e">
        <f>VLOOKUP(A223,[1]Index!$E:$M,8,)</f>
        <v>#N/A</v>
      </c>
      <c r="T223" s="77" t="e">
        <f t="shared" si="28"/>
        <v>#N/A</v>
      </c>
      <c r="U223" s="78" t="e">
        <f t="shared" si="29"/>
        <v>#N/A</v>
      </c>
      <c r="V223" s="79">
        <f t="shared" si="31"/>
        <v>0</v>
      </c>
      <c r="W223" s="80" t="e">
        <f t="shared" si="30"/>
        <v>#DIV/0!</v>
      </c>
      <c r="X223" s="53" t="s">
        <v>45</v>
      </c>
    </row>
    <row r="224" spans="1:24">
      <c r="A224" s="124" t="s">
        <v>375</v>
      </c>
      <c r="B224" s="208" t="s">
        <v>56</v>
      </c>
      <c r="C224" s="205">
        <v>112</v>
      </c>
      <c r="D224" s="205">
        <v>50</v>
      </c>
      <c r="E224" s="205">
        <v>7</v>
      </c>
      <c r="F224" s="205">
        <v>15800</v>
      </c>
      <c r="G224" s="206"/>
      <c r="H224" s="206"/>
      <c r="I224" s="206"/>
      <c r="J224" s="206"/>
      <c r="K224" s="207"/>
      <c r="L224" s="207"/>
      <c r="M224" s="207"/>
      <c r="N224" s="207"/>
      <c r="O224" s="191">
        <f t="shared" si="32"/>
        <v>8.307264</v>
      </c>
      <c r="P224" s="75">
        <f t="shared" si="25"/>
        <v>15800</v>
      </c>
      <c r="Q224" s="76">
        <f t="shared" si="33"/>
        <v>15.8</v>
      </c>
      <c r="R224" s="185">
        <f t="shared" si="34"/>
        <v>15.8</v>
      </c>
      <c r="S224" s="62" t="e">
        <f>VLOOKUP(A224,[1]Index!$E:$M,8,)</f>
        <v>#N/A</v>
      </c>
      <c r="T224" s="77" t="e">
        <f t="shared" si="28"/>
        <v>#N/A</v>
      </c>
      <c r="U224" s="78" t="e">
        <f t="shared" si="29"/>
        <v>#N/A</v>
      </c>
      <c r="V224" s="79">
        <f t="shared" si="31"/>
        <v>1.384544</v>
      </c>
      <c r="W224" s="80">
        <f t="shared" si="30"/>
        <v>11.411699447615966</v>
      </c>
      <c r="X224" s="53" t="s">
        <v>45</v>
      </c>
    </row>
    <row r="225" spans="1:24">
      <c r="A225" s="124" t="s">
        <v>245</v>
      </c>
      <c r="B225" s="208" t="s">
        <v>54</v>
      </c>
      <c r="C225" s="205">
        <v>152</v>
      </c>
      <c r="D225" s="205">
        <v>40</v>
      </c>
      <c r="E225" s="205">
        <v>11</v>
      </c>
      <c r="F225" s="205">
        <v>33450</v>
      </c>
      <c r="G225" s="206"/>
      <c r="H225" s="206"/>
      <c r="I225" s="206"/>
      <c r="J225" s="206"/>
      <c r="K225" s="207"/>
      <c r="L225" s="207"/>
      <c r="M225" s="207"/>
      <c r="N225" s="207"/>
      <c r="O225" s="191">
        <f t="shared" si="32"/>
        <v>14.173209599999998</v>
      </c>
      <c r="P225" s="75">
        <f t="shared" si="25"/>
        <v>33450</v>
      </c>
      <c r="Q225" s="76">
        <f t="shared" si="33"/>
        <v>33.450000000000003</v>
      </c>
      <c r="R225" s="185">
        <f t="shared" si="34"/>
        <v>33.450000000000003</v>
      </c>
      <c r="S225" s="62" t="e">
        <f>VLOOKUP(A225,[1]Index!$E:$M,8,)</f>
        <v>#N/A</v>
      </c>
      <c r="T225" s="77" t="e">
        <f t="shared" si="28"/>
        <v>#N/A</v>
      </c>
      <c r="U225" s="78" t="e">
        <f t="shared" si="29"/>
        <v>#N/A</v>
      </c>
      <c r="V225" s="79">
        <f t="shared" si="31"/>
        <v>2.3622015999999997</v>
      </c>
      <c r="W225" s="80">
        <f t="shared" si="30"/>
        <v>14.16051872964611</v>
      </c>
      <c r="X225" s="53" t="s">
        <v>45</v>
      </c>
    </row>
    <row r="226" spans="1:24">
      <c r="A226" s="124" t="s">
        <v>229</v>
      </c>
      <c r="B226" s="208" t="s">
        <v>54</v>
      </c>
      <c r="C226" s="205">
        <v>141</v>
      </c>
      <c r="D226" s="205">
        <v>28</v>
      </c>
      <c r="E226" s="205">
        <v>10</v>
      </c>
      <c r="F226" s="205">
        <v>17150</v>
      </c>
      <c r="G226" s="206"/>
      <c r="H226" s="206"/>
      <c r="I226" s="206"/>
      <c r="J226" s="206"/>
      <c r="K226" s="207"/>
      <c r="L226" s="207"/>
      <c r="M226" s="207"/>
      <c r="N226" s="207"/>
      <c r="O226" s="191">
        <f t="shared" si="32"/>
        <v>8.366601600000001</v>
      </c>
      <c r="P226" s="75">
        <f t="shared" si="25"/>
        <v>17150</v>
      </c>
      <c r="Q226" s="76">
        <f t="shared" si="33"/>
        <v>17.149999999999999</v>
      </c>
      <c r="R226" s="185">
        <f t="shared" si="34"/>
        <v>17.149999999999999</v>
      </c>
      <c r="S226" s="62" t="e">
        <f>VLOOKUP(A226,[1]Index!$E:$M,8,)</f>
        <v>#N/A</v>
      </c>
      <c r="T226" s="77" t="e">
        <f t="shared" si="28"/>
        <v>#N/A</v>
      </c>
      <c r="U226" s="78" t="e">
        <f t="shared" si="29"/>
        <v>#N/A</v>
      </c>
      <c r="V226" s="79">
        <f t="shared" si="31"/>
        <v>1.3944336000000002</v>
      </c>
      <c r="W226" s="80">
        <f t="shared" si="30"/>
        <v>12.298900428102131</v>
      </c>
      <c r="X226" s="53" t="s">
        <v>45</v>
      </c>
    </row>
    <row r="227" spans="1:24">
      <c r="A227" s="124" t="s">
        <v>238</v>
      </c>
      <c r="B227" s="208" t="s">
        <v>54</v>
      </c>
      <c r="C227" s="205">
        <v>192</v>
      </c>
      <c r="D227" s="205">
        <v>40</v>
      </c>
      <c r="E227" s="205">
        <v>8</v>
      </c>
      <c r="F227" s="205">
        <v>32400</v>
      </c>
      <c r="G227" s="206"/>
      <c r="H227" s="206"/>
      <c r="I227" s="206"/>
      <c r="J227" s="206"/>
      <c r="K227" s="207"/>
      <c r="L227" s="207"/>
      <c r="M227" s="207"/>
      <c r="N227" s="207"/>
      <c r="O227" s="191">
        <f t="shared" si="32"/>
        <v>13.020364799999999</v>
      </c>
      <c r="P227" s="75">
        <f t="shared" si="25"/>
        <v>32400</v>
      </c>
      <c r="Q227" s="76">
        <f t="shared" si="33"/>
        <v>32.4</v>
      </c>
      <c r="R227" s="185">
        <f t="shared" si="34"/>
        <v>32.4</v>
      </c>
      <c r="S227" s="62" t="e">
        <f>VLOOKUP(A227,[1]Index!$E:$M,8,)</f>
        <v>#N/A</v>
      </c>
      <c r="T227" s="77" t="e">
        <f t="shared" si="28"/>
        <v>#N/A</v>
      </c>
      <c r="U227" s="78" t="e">
        <f t="shared" si="29"/>
        <v>#N/A</v>
      </c>
      <c r="V227" s="79">
        <f t="shared" si="31"/>
        <v>2.1700607999999999</v>
      </c>
      <c r="W227" s="80">
        <f t="shared" si="30"/>
        <v>14.93045724801812</v>
      </c>
      <c r="X227" s="53" t="s">
        <v>45</v>
      </c>
    </row>
    <row r="228" spans="1:24">
      <c r="A228" s="124" t="s">
        <v>205</v>
      </c>
      <c r="B228" s="208" t="s">
        <v>54</v>
      </c>
      <c r="C228" s="205">
        <v>127</v>
      </c>
      <c r="D228" s="205">
        <v>50</v>
      </c>
      <c r="E228" s="205">
        <v>13</v>
      </c>
      <c r="F228" s="205">
        <v>21900</v>
      </c>
      <c r="G228" s="206"/>
      <c r="H228" s="206"/>
      <c r="I228" s="206"/>
      <c r="J228" s="206"/>
      <c r="K228" s="207"/>
      <c r="L228" s="207"/>
      <c r="M228" s="207"/>
      <c r="N228" s="207"/>
      <c r="O228" s="191">
        <f t="shared" si="32"/>
        <v>17.493995999999999</v>
      </c>
      <c r="P228" s="75">
        <f t="shared" si="25"/>
        <v>21900</v>
      </c>
      <c r="Q228" s="76">
        <f t="shared" si="33"/>
        <v>21.9</v>
      </c>
      <c r="R228" s="185">
        <f t="shared" si="34"/>
        <v>21.9</v>
      </c>
      <c r="S228" s="62" t="e">
        <f>VLOOKUP(A228,[1]Index!$E:$M,8,)</f>
        <v>#N/A</v>
      </c>
      <c r="T228" s="77" t="e">
        <f t="shared" si="28"/>
        <v>#N/A</v>
      </c>
      <c r="U228" s="78" t="e">
        <f t="shared" si="29"/>
        <v>#N/A</v>
      </c>
      <c r="V228" s="79">
        <f t="shared" si="31"/>
        <v>2.9156659999999999</v>
      </c>
      <c r="W228" s="80">
        <f t="shared" si="30"/>
        <v>7.5111483962840735</v>
      </c>
      <c r="X228" s="53" t="s">
        <v>45</v>
      </c>
    </row>
    <row r="229" spans="1:24">
      <c r="A229" s="124" t="s">
        <v>179</v>
      </c>
      <c r="B229" s="208" t="s">
        <v>54</v>
      </c>
      <c r="C229" s="205">
        <v>41</v>
      </c>
      <c r="D229" s="205">
        <v>14</v>
      </c>
      <c r="E229" s="205">
        <v>7</v>
      </c>
      <c r="F229" s="205">
        <v>1350</v>
      </c>
      <c r="G229" s="206"/>
      <c r="H229" s="206"/>
      <c r="I229" s="206"/>
      <c r="J229" s="206"/>
      <c r="K229" s="207"/>
      <c r="L229" s="207"/>
      <c r="M229" s="207"/>
      <c r="N229" s="207"/>
      <c r="O229" s="191">
        <f t="shared" si="32"/>
        <v>0.85149456000000001</v>
      </c>
      <c r="P229" s="75">
        <f t="shared" si="25"/>
        <v>1350</v>
      </c>
      <c r="Q229" s="76">
        <f t="shared" si="33"/>
        <v>1.35</v>
      </c>
      <c r="R229" s="185">
        <f t="shared" si="34"/>
        <v>1.35</v>
      </c>
      <c r="S229" s="62" t="e">
        <f>VLOOKUP(A229,[1]Index!$E:$M,8,)</f>
        <v>#N/A</v>
      </c>
      <c r="T229" s="77" t="e">
        <f t="shared" si="28"/>
        <v>#N/A</v>
      </c>
      <c r="U229" s="78" t="e">
        <f t="shared" si="29"/>
        <v>#N/A</v>
      </c>
      <c r="V229" s="79">
        <f t="shared" si="31"/>
        <v>0.14191576</v>
      </c>
      <c r="W229" s="80">
        <f t="shared" si="30"/>
        <v>9.5126855537397681</v>
      </c>
      <c r="X229" s="53" t="s">
        <v>45</v>
      </c>
    </row>
    <row r="230" spans="1:24">
      <c r="A230" s="124" t="s">
        <v>109</v>
      </c>
      <c r="B230" s="208" t="s">
        <v>54</v>
      </c>
      <c r="C230" s="205">
        <v>22</v>
      </c>
      <c r="D230" s="205">
        <v>22</v>
      </c>
      <c r="E230" s="205">
        <v>4</v>
      </c>
      <c r="F230" s="205">
        <v>350</v>
      </c>
      <c r="G230" s="206"/>
      <c r="H230" s="206"/>
      <c r="I230" s="206"/>
      <c r="J230" s="206"/>
      <c r="K230" s="207"/>
      <c r="L230" s="207"/>
      <c r="M230" s="207"/>
      <c r="N230" s="207"/>
      <c r="O230" s="191">
        <f t="shared" si="32"/>
        <v>0.41027712</v>
      </c>
      <c r="P230" s="75">
        <f t="shared" si="25"/>
        <v>350</v>
      </c>
      <c r="Q230" s="76">
        <f t="shared" si="33"/>
        <v>0.35</v>
      </c>
      <c r="R230" s="185">
        <f t="shared" si="34"/>
        <v>0.41027712</v>
      </c>
      <c r="S230" s="62">
        <f>VLOOKUP(A230,[1]Index!$E:$M,8,)</f>
        <v>15.464894444999997</v>
      </c>
      <c r="T230" s="77">
        <f t="shared" si="28"/>
        <v>-334.53510555500003</v>
      </c>
      <c r="U230" s="78">
        <f t="shared" si="29"/>
        <v>-21.631903582966881</v>
      </c>
      <c r="V230" s="79">
        <f t="shared" si="31"/>
        <v>6.8379519999999999E-2</v>
      </c>
      <c r="W230" s="80">
        <f t="shared" si="30"/>
        <v>5.1184916185430955</v>
      </c>
      <c r="X230" s="53" t="s">
        <v>45</v>
      </c>
    </row>
    <row r="231" spans="1:24">
      <c r="A231" s="124" t="s">
        <v>107</v>
      </c>
      <c r="B231" s="208" t="s">
        <v>54</v>
      </c>
      <c r="C231" s="205">
        <v>38</v>
      </c>
      <c r="D231" s="205">
        <v>19</v>
      </c>
      <c r="E231" s="205">
        <v>5</v>
      </c>
      <c r="F231" s="205">
        <v>350</v>
      </c>
      <c r="G231" s="206"/>
      <c r="H231" s="206"/>
      <c r="I231" s="206"/>
      <c r="J231" s="206"/>
      <c r="K231" s="207"/>
      <c r="L231" s="207"/>
      <c r="M231" s="207"/>
      <c r="N231" s="207"/>
      <c r="O231" s="191">
        <f t="shared" si="32"/>
        <v>0.76503119999999991</v>
      </c>
      <c r="P231" s="75">
        <f t="shared" si="25"/>
        <v>350</v>
      </c>
      <c r="Q231" s="76">
        <f t="shared" si="33"/>
        <v>0.35</v>
      </c>
      <c r="R231" s="185">
        <f t="shared" si="34"/>
        <v>0.76503119999999991</v>
      </c>
      <c r="S231" s="62">
        <f>VLOOKUP(A231,[1]Index!$E:$M,8,)</f>
        <v>14.120121014999997</v>
      </c>
      <c r="T231" s="77">
        <f t="shared" si="28"/>
        <v>-335.879878985</v>
      </c>
      <c r="U231" s="78">
        <f t="shared" si="29"/>
        <v>-23.787322971820867</v>
      </c>
      <c r="V231" s="79">
        <f t="shared" si="31"/>
        <v>0.12750519999999999</v>
      </c>
      <c r="W231" s="80">
        <f t="shared" si="30"/>
        <v>2.7449860868419487</v>
      </c>
      <c r="X231" s="53" t="s">
        <v>45</v>
      </c>
    </row>
    <row r="232" spans="1:24" ht="13.5" customHeight="1">
      <c r="A232" s="124" t="s">
        <v>77</v>
      </c>
      <c r="B232" s="208" t="s">
        <v>56</v>
      </c>
      <c r="C232" s="205">
        <v>94</v>
      </c>
      <c r="D232" s="205">
        <v>46</v>
      </c>
      <c r="E232" s="205">
        <v>8</v>
      </c>
      <c r="F232" s="205">
        <v>13950</v>
      </c>
      <c r="G232" s="206"/>
      <c r="H232" s="206"/>
      <c r="I232" s="206"/>
      <c r="J232" s="206"/>
      <c r="K232" s="207"/>
      <c r="L232" s="207"/>
      <c r="M232" s="207"/>
      <c r="N232" s="207"/>
      <c r="O232" s="191">
        <f t="shared" si="32"/>
        <v>7.3307366399999996</v>
      </c>
      <c r="P232" s="75">
        <f t="shared" si="25"/>
        <v>13950</v>
      </c>
      <c r="Q232" s="76">
        <f t="shared" si="33"/>
        <v>13.95</v>
      </c>
      <c r="R232" s="185">
        <f t="shared" si="34"/>
        <v>13.95</v>
      </c>
      <c r="S232" s="62">
        <f>VLOOKUP(A232,[1]Index!$E:$M,8,)</f>
        <v>523.71019282237501</v>
      </c>
      <c r="T232" s="77">
        <f t="shared" si="28"/>
        <v>-13426.289807177625</v>
      </c>
      <c r="U232" s="78">
        <f t="shared" si="29"/>
        <v>-25.636869381557702</v>
      </c>
      <c r="V232" s="79">
        <f t="shared" si="31"/>
        <v>1.22178944</v>
      </c>
      <c r="W232" s="80">
        <f t="shared" si="30"/>
        <v>11.417679301598808</v>
      </c>
      <c r="X232" s="53" t="s">
        <v>45</v>
      </c>
    </row>
    <row r="233" spans="1:24">
      <c r="A233" s="124" t="s">
        <v>125</v>
      </c>
      <c r="B233" s="208" t="s">
        <v>56</v>
      </c>
      <c r="C233" s="205">
        <v>74</v>
      </c>
      <c r="D233" s="205">
        <v>51</v>
      </c>
      <c r="E233" s="205">
        <v>8</v>
      </c>
      <c r="F233" s="205">
        <v>8555</v>
      </c>
      <c r="G233" s="206"/>
      <c r="H233" s="206"/>
      <c r="I233" s="206"/>
      <c r="J233" s="206"/>
      <c r="K233" s="207"/>
      <c r="L233" s="207"/>
      <c r="M233" s="207"/>
      <c r="N233" s="207"/>
      <c r="O233" s="191">
        <f t="shared" si="32"/>
        <v>6.3982886400000005</v>
      </c>
      <c r="P233" s="75">
        <f t="shared" si="25"/>
        <v>8555</v>
      </c>
      <c r="Q233" s="76">
        <f t="shared" si="33"/>
        <v>8.5549999999999997</v>
      </c>
      <c r="R233" s="185">
        <f t="shared" si="34"/>
        <v>8.5549999999999997</v>
      </c>
      <c r="S233" s="62">
        <f>VLOOKUP(A233,[1]Index!$E:$M,8,)</f>
        <v>367.55697413932501</v>
      </c>
      <c r="T233" s="77">
        <f t="shared" si="28"/>
        <v>-8187.4430258606753</v>
      </c>
      <c r="U233" s="78">
        <f t="shared" si="29"/>
        <v>-22.275303155469903</v>
      </c>
      <c r="V233" s="79">
        <f t="shared" si="31"/>
        <v>1.06638144</v>
      </c>
      <c r="W233" s="80">
        <f t="shared" si="30"/>
        <v>8.0224577051903676</v>
      </c>
      <c r="X233" s="53" t="s">
        <v>47</v>
      </c>
    </row>
    <row r="234" spans="1:24">
      <c r="A234" s="124" t="s">
        <v>376</v>
      </c>
      <c r="B234" s="208" t="s">
        <v>54</v>
      </c>
      <c r="C234" s="205"/>
      <c r="D234" s="205"/>
      <c r="E234" s="205"/>
      <c r="F234" s="205"/>
      <c r="G234" s="206"/>
      <c r="H234" s="206"/>
      <c r="I234" s="206"/>
      <c r="J234" s="206"/>
      <c r="K234" s="207"/>
      <c r="L234" s="207"/>
      <c r="M234" s="207"/>
      <c r="N234" s="207"/>
      <c r="O234" s="191">
        <f t="shared" si="32"/>
        <v>0</v>
      </c>
      <c r="P234" s="75">
        <f t="shared" si="25"/>
        <v>0</v>
      </c>
      <c r="Q234" s="76">
        <f t="shared" si="33"/>
        <v>0</v>
      </c>
      <c r="R234" s="185">
        <f t="shared" si="34"/>
        <v>0</v>
      </c>
      <c r="S234" s="62" t="e">
        <f>VLOOKUP(A234,[1]Index!$E:$M,8,)</f>
        <v>#N/A</v>
      </c>
      <c r="T234" s="77" t="e">
        <f t="shared" si="28"/>
        <v>#N/A</v>
      </c>
      <c r="U234" s="78" t="e">
        <f t="shared" si="29"/>
        <v>#N/A</v>
      </c>
      <c r="V234" s="79">
        <f t="shared" si="31"/>
        <v>0</v>
      </c>
      <c r="W234" s="80" t="e">
        <f t="shared" si="30"/>
        <v>#DIV/0!</v>
      </c>
      <c r="X234" s="53" t="s">
        <v>45</v>
      </c>
    </row>
    <row r="235" spans="1:24">
      <c r="A235" s="124" t="s">
        <v>377</v>
      </c>
      <c r="B235" s="208" t="s">
        <v>54</v>
      </c>
      <c r="C235" s="205">
        <v>37</v>
      </c>
      <c r="D235" s="205">
        <v>35</v>
      </c>
      <c r="E235" s="205">
        <v>31</v>
      </c>
      <c r="F235" s="205">
        <v>2700</v>
      </c>
      <c r="G235" s="206"/>
      <c r="H235" s="206"/>
      <c r="I235" s="206"/>
      <c r="J235" s="206"/>
      <c r="K235" s="207"/>
      <c r="L235" s="207"/>
      <c r="M235" s="207"/>
      <c r="N235" s="207"/>
      <c r="O235" s="191">
        <f t="shared" si="32"/>
        <v>8.5075284</v>
      </c>
      <c r="P235" s="75">
        <f t="shared" si="25"/>
        <v>2700</v>
      </c>
      <c r="Q235" s="76">
        <f t="shared" si="33"/>
        <v>2.7</v>
      </c>
      <c r="R235" s="185">
        <f t="shared" si="34"/>
        <v>8.5075284</v>
      </c>
      <c r="S235" s="62" t="e">
        <f>VLOOKUP(A235,[1]Index!$E:$M,8,)</f>
        <v>#N/A</v>
      </c>
      <c r="T235" s="77" t="e">
        <f t="shared" si="28"/>
        <v>#N/A</v>
      </c>
      <c r="U235" s="78" t="e">
        <f t="shared" si="29"/>
        <v>#N/A</v>
      </c>
      <c r="V235" s="79">
        <f t="shared" si="31"/>
        <v>1.4179214</v>
      </c>
      <c r="W235" s="80">
        <f t="shared" si="30"/>
        <v>1.9041958179064087</v>
      </c>
      <c r="X235" s="53" t="s">
        <v>45</v>
      </c>
    </row>
    <row r="236" spans="1:24">
      <c r="A236" s="124" t="s">
        <v>378</v>
      </c>
      <c r="B236" s="208" t="s">
        <v>54</v>
      </c>
      <c r="C236" s="205"/>
      <c r="D236" s="205"/>
      <c r="E236" s="205"/>
      <c r="F236" s="205"/>
      <c r="G236" s="206"/>
      <c r="H236" s="206"/>
      <c r="I236" s="206"/>
      <c r="J236" s="206"/>
      <c r="K236" s="207"/>
      <c r="L236" s="207"/>
      <c r="M236" s="207"/>
      <c r="N236" s="207"/>
      <c r="O236" s="191">
        <f t="shared" si="32"/>
        <v>0</v>
      </c>
      <c r="P236" s="75">
        <f t="shared" si="25"/>
        <v>0</v>
      </c>
      <c r="Q236" s="76">
        <f t="shared" si="33"/>
        <v>0</v>
      </c>
      <c r="R236" s="185">
        <f t="shared" si="34"/>
        <v>0</v>
      </c>
      <c r="S236" s="62" t="e">
        <f>VLOOKUP(A236,[1]Index!$E:$M,8,)</f>
        <v>#N/A</v>
      </c>
      <c r="T236" s="77" t="e">
        <f t="shared" si="28"/>
        <v>#N/A</v>
      </c>
      <c r="U236" s="78" t="e">
        <f t="shared" si="29"/>
        <v>#N/A</v>
      </c>
      <c r="V236" s="79">
        <f t="shared" si="31"/>
        <v>0</v>
      </c>
      <c r="W236" s="80" t="e">
        <f t="shared" si="30"/>
        <v>#DIV/0!</v>
      </c>
      <c r="X236" s="53" t="s">
        <v>45</v>
      </c>
    </row>
    <row r="237" spans="1:24">
      <c r="A237" s="124" t="s">
        <v>379</v>
      </c>
      <c r="B237" s="208" t="s">
        <v>54</v>
      </c>
      <c r="C237" s="205"/>
      <c r="D237" s="205"/>
      <c r="E237" s="205"/>
      <c r="F237" s="205"/>
      <c r="G237" s="206"/>
      <c r="H237" s="206"/>
      <c r="I237" s="206"/>
      <c r="J237" s="206"/>
      <c r="K237" s="207"/>
      <c r="L237" s="207"/>
      <c r="M237" s="207"/>
      <c r="N237" s="207"/>
      <c r="O237" s="191">
        <f t="shared" si="32"/>
        <v>0</v>
      </c>
      <c r="P237" s="75">
        <f t="shared" si="25"/>
        <v>0</v>
      </c>
      <c r="Q237" s="76">
        <f t="shared" si="33"/>
        <v>0</v>
      </c>
      <c r="R237" s="185">
        <f t="shared" si="34"/>
        <v>0</v>
      </c>
      <c r="S237" s="62" t="e">
        <f>VLOOKUP(A237,[1]Index!$E:$M,8,)</f>
        <v>#N/A</v>
      </c>
      <c r="T237" s="77" t="e">
        <f t="shared" si="28"/>
        <v>#N/A</v>
      </c>
      <c r="U237" s="78" t="e">
        <f t="shared" si="29"/>
        <v>#N/A</v>
      </c>
      <c r="V237" s="79">
        <f t="shared" si="31"/>
        <v>0</v>
      </c>
      <c r="W237" s="80" t="e">
        <f t="shared" si="30"/>
        <v>#DIV/0!</v>
      </c>
      <c r="X237" s="53" t="s">
        <v>45</v>
      </c>
    </row>
    <row r="238" spans="1:24">
      <c r="A238" s="124" t="s">
        <v>224</v>
      </c>
      <c r="B238" s="208" t="s">
        <v>56</v>
      </c>
      <c r="C238" s="205">
        <v>125</v>
      </c>
      <c r="D238" s="205">
        <v>65</v>
      </c>
      <c r="E238" s="205">
        <v>7</v>
      </c>
      <c r="F238" s="205">
        <v>29050</v>
      </c>
      <c r="G238" s="206"/>
      <c r="H238" s="206"/>
      <c r="I238" s="206"/>
      <c r="J238" s="206"/>
      <c r="K238" s="207"/>
      <c r="L238" s="207"/>
      <c r="M238" s="207"/>
      <c r="N238" s="207"/>
      <c r="O238" s="191">
        <f t="shared" si="32"/>
        <v>12.052950000000003</v>
      </c>
      <c r="P238" s="75">
        <f t="shared" si="25"/>
        <v>29050</v>
      </c>
      <c r="Q238" s="76">
        <f t="shared" si="33"/>
        <v>29.05</v>
      </c>
      <c r="R238" s="185">
        <f t="shared" si="34"/>
        <v>29.05</v>
      </c>
      <c r="S238" s="62">
        <f>VLOOKUP(A238,[1]Index!$E:$M,8,)</f>
        <v>1077.9157493737498</v>
      </c>
      <c r="T238" s="77">
        <f t="shared" si="28"/>
        <v>-27972.084250626249</v>
      </c>
      <c r="U238" s="78">
        <f t="shared" si="29"/>
        <v>-25.950158226074294</v>
      </c>
      <c r="V238" s="79">
        <f t="shared" si="31"/>
        <v>2.0088250000000003</v>
      </c>
      <c r="W238" s="80">
        <f t="shared" si="30"/>
        <v>14.461189999128843</v>
      </c>
      <c r="X238" s="53" t="s">
        <v>47</v>
      </c>
    </row>
    <row r="239" spans="1:24">
      <c r="A239" s="124" t="s">
        <v>221</v>
      </c>
      <c r="B239" s="208" t="s">
        <v>56</v>
      </c>
      <c r="C239" s="205">
        <v>86</v>
      </c>
      <c r="D239" s="205">
        <v>53</v>
      </c>
      <c r="E239" s="205">
        <v>10</v>
      </c>
      <c r="F239" s="205">
        <v>24800</v>
      </c>
      <c r="G239" s="206"/>
      <c r="H239" s="206"/>
      <c r="I239" s="206"/>
      <c r="J239" s="206"/>
      <c r="K239" s="207"/>
      <c r="L239" s="207"/>
      <c r="M239" s="207"/>
      <c r="N239" s="207"/>
      <c r="O239" s="191">
        <f t="shared" si="32"/>
        <v>9.6593136000000008</v>
      </c>
      <c r="P239" s="75">
        <f t="shared" si="25"/>
        <v>24800</v>
      </c>
      <c r="Q239" s="76">
        <f t="shared" si="33"/>
        <v>24.8</v>
      </c>
      <c r="R239" s="185">
        <f t="shared" si="34"/>
        <v>24.8</v>
      </c>
      <c r="S239" s="62">
        <f>VLOOKUP(A239,[1]Index!$E:$M,8,)</f>
        <v>1113.3467179421252</v>
      </c>
      <c r="T239" s="77">
        <f t="shared" si="28"/>
        <v>-23686.653282057876</v>
      </c>
      <c r="U239" s="78">
        <f t="shared" si="29"/>
        <v>-21.275181307256677</v>
      </c>
      <c r="V239" s="79">
        <f t="shared" si="31"/>
        <v>1.6098856000000001</v>
      </c>
      <c r="W239" s="80">
        <f t="shared" si="30"/>
        <v>15.404821311526732</v>
      </c>
      <c r="X239" s="53" t="s">
        <v>47</v>
      </c>
    </row>
    <row r="240" spans="1:24">
      <c r="A240" s="124" t="s">
        <v>273</v>
      </c>
      <c r="B240" s="208" t="s">
        <v>56</v>
      </c>
      <c r="C240" s="205">
        <v>108</v>
      </c>
      <c r="D240" s="205">
        <v>38</v>
      </c>
      <c r="E240" s="205">
        <v>12</v>
      </c>
      <c r="F240" s="205">
        <v>22400</v>
      </c>
      <c r="G240" s="206"/>
      <c r="H240" s="206"/>
      <c r="I240" s="206"/>
      <c r="J240" s="206"/>
      <c r="K240" s="207"/>
      <c r="L240" s="207"/>
      <c r="M240" s="207"/>
      <c r="N240" s="207"/>
      <c r="O240" s="191">
        <f t="shared" si="32"/>
        <v>10.436636159999999</v>
      </c>
      <c r="P240" s="75">
        <f t="shared" si="25"/>
        <v>22400</v>
      </c>
      <c r="Q240" s="76">
        <f t="shared" si="33"/>
        <v>22.4</v>
      </c>
      <c r="R240" s="185">
        <f t="shared" si="34"/>
        <v>22.4</v>
      </c>
      <c r="S240" s="62" t="e">
        <f>VLOOKUP(A240,[1]Index!$E:$M,8,)</f>
        <v>#N/A</v>
      </c>
      <c r="T240" s="77" t="e">
        <f t="shared" si="28"/>
        <v>#N/A</v>
      </c>
      <c r="U240" s="78" t="e">
        <f t="shared" si="29"/>
        <v>#N/A</v>
      </c>
      <c r="V240" s="79">
        <f t="shared" si="31"/>
        <v>1.73943936</v>
      </c>
      <c r="W240" s="80">
        <f t="shared" si="30"/>
        <v>12.877712506172102</v>
      </c>
      <c r="X240" s="53" t="s">
        <v>47</v>
      </c>
    </row>
    <row r="241" spans="1:24">
      <c r="A241" s="124" t="s">
        <v>239</v>
      </c>
      <c r="B241" s="208" t="s">
        <v>56</v>
      </c>
      <c r="C241" s="205">
        <v>127</v>
      </c>
      <c r="D241" s="205">
        <v>45</v>
      </c>
      <c r="E241" s="205">
        <v>10</v>
      </c>
      <c r="F241" s="205">
        <v>29900</v>
      </c>
      <c r="G241" s="206"/>
      <c r="H241" s="206"/>
      <c r="I241" s="206"/>
      <c r="J241" s="206"/>
      <c r="K241" s="207"/>
      <c r="L241" s="207"/>
      <c r="M241" s="207"/>
      <c r="N241" s="207"/>
      <c r="O241" s="191">
        <f t="shared" si="32"/>
        <v>12.111228000000001</v>
      </c>
      <c r="P241" s="75">
        <f t="shared" si="25"/>
        <v>29900</v>
      </c>
      <c r="Q241" s="76">
        <f t="shared" si="33"/>
        <v>29.9</v>
      </c>
      <c r="R241" s="185">
        <f t="shared" si="34"/>
        <v>29.9</v>
      </c>
      <c r="S241" s="62" t="e">
        <f>VLOOKUP(A241,[1]Index!$E:$M,8,)</f>
        <v>#N/A</v>
      </c>
      <c r="T241" s="77" t="e">
        <f t="shared" si="28"/>
        <v>#N/A</v>
      </c>
      <c r="U241" s="78" t="e">
        <f t="shared" si="29"/>
        <v>#N/A</v>
      </c>
      <c r="V241" s="79">
        <f t="shared" si="31"/>
        <v>2.0185379999999999</v>
      </c>
      <c r="W241" s="80">
        <f t="shared" si="30"/>
        <v>14.812701073747435</v>
      </c>
      <c r="X241" s="53" t="s">
        <v>47</v>
      </c>
    </row>
    <row r="242" spans="1:24">
      <c r="A242" s="124" t="s">
        <v>122</v>
      </c>
      <c r="B242" s="208" t="s">
        <v>56</v>
      </c>
      <c r="C242" s="205">
        <v>65</v>
      </c>
      <c r="D242" s="205">
        <v>47</v>
      </c>
      <c r="E242" s="205">
        <v>9</v>
      </c>
      <c r="F242" s="205">
        <v>8350</v>
      </c>
      <c r="G242" s="206"/>
      <c r="H242" s="206"/>
      <c r="I242" s="206"/>
      <c r="J242" s="206"/>
      <c r="K242" s="207"/>
      <c r="L242" s="207"/>
      <c r="M242" s="207"/>
      <c r="N242" s="207"/>
      <c r="O242" s="191">
        <f t="shared" si="32"/>
        <v>5.8267404000000003</v>
      </c>
      <c r="P242" s="75">
        <f t="shared" si="25"/>
        <v>8350</v>
      </c>
      <c r="Q242" s="76">
        <f t="shared" si="33"/>
        <v>8.35</v>
      </c>
      <c r="R242" s="185">
        <f t="shared" si="34"/>
        <v>8.35</v>
      </c>
      <c r="S242" s="62" t="e">
        <f>VLOOKUP(A242,[1]Index!$E:$M,8,)</f>
        <v>#N/A</v>
      </c>
      <c r="T242" s="77" t="e">
        <f t="shared" si="28"/>
        <v>#N/A</v>
      </c>
      <c r="U242" s="78" t="e">
        <f t="shared" ref="U242:U247" si="35">T242/S242</f>
        <v>#N/A</v>
      </c>
      <c r="V242" s="79">
        <f t="shared" si="31"/>
        <v>0.97112339999999997</v>
      </c>
      <c r="W242" s="80">
        <f t="shared" si="30"/>
        <v>8.5982893626082948</v>
      </c>
      <c r="X242" s="53" t="s">
        <v>47</v>
      </c>
    </row>
    <row r="243" spans="1:24">
      <c r="A243" s="124" t="s">
        <v>121</v>
      </c>
      <c r="B243" s="208" t="s">
        <v>56</v>
      </c>
      <c r="C243" s="205">
        <v>127</v>
      </c>
      <c r="D243" s="205">
        <v>46</v>
      </c>
      <c r="E243" s="205">
        <v>9</v>
      </c>
      <c r="F243" s="205">
        <v>14500</v>
      </c>
      <c r="G243" s="206"/>
      <c r="H243" s="206"/>
      <c r="I243" s="206"/>
      <c r="J243" s="206"/>
      <c r="K243" s="207"/>
      <c r="L243" s="207"/>
      <c r="M243" s="207"/>
      <c r="N243" s="207"/>
      <c r="O243" s="191">
        <f t="shared" si="32"/>
        <v>11.142329759999999</v>
      </c>
      <c r="P243" s="75">
        <f t="shared" si="25"/>
        <v>14500</v>
      </c>
      <c r="Q243" s="76">
        <f t="shared" si="33"/>
        <v>14.5</v>
      </c>
      <c r="R243" s="185">
        <f t="shared" si="34"/>
        <v>14.5</v>
      </c>
      <c r="S243" s="62" t="e">
        <f>VLOOKUP(A243,[1]Index!$E:$M,8,)</f>
        <v>#N/A</v>
      </c>
      <c r="T243" s="77" t="e">
        <f t="shared" si="28"/>
        <v>#N/A</v>
      </c>
      <c r="U243" s="78" t="e">
        <f t="shared" si="35"/>
        <v>#N/A</v>
      </c>
      <c r="V243" s="79">
        <f t="shared" si="31"/>
        <v>1.8570549599999999</v>
      </c>
      <c r="W243" s="80">
        <f t="shared" si="30"/>
        <v>7.8080618572538105</v>
      </c>
      <c r="X243" s="53" t="s">
        <v>47</v>
      </c>
    </row>
    <row r="244" spans="1:24">
      <c r="A244" s="124" t="s">
        <v>193</v>
      </c>
      <c r="B244" s="208" t="s">
        <v>56</v>
      </c>
      <c r="C244" s="205">
        <v>120</v>
      </c>
      <c r="D244" s="205">
        <v>43</v>
      </c>
      <c r="E244" s="205">
        <v>17</v>
      </c>
      <c r="F244" s="205">
        <v>30000</v>
      </c>
      <c r="G244" s="206"/>
      <c r="H244" s="206"/>
      <c r="I244" s="206"/>
      <c r="J244" s="206"/>
      <c r="K244" s="207"/>
      <c r="L244" s="207"/>
      <c r="M244" s="207"/>
      <c r="N244" s="207"/>
      <c r="O244" s="191">
        <f t="shared" si="32"/>
        <v>18.5896224</v>
      </c>
      <c r="P244" s="75">
        <f t="shared" si="25"/>
        <v>30000</v>
      </c>
      <c r="Q244" s="76">
        <f t="shared" si="33"/>
        <v>30</v>
      </c>
      <c r="R244" s="185">
        <f t="shared" si="34"/>
        <v>30</v>
      </c>
      <c r="S244" s="62" t="e">
        <f>VLOOKUP(A244,[1]Index!$E:$M,8,)</f>
        <v>#N/A</v>
      </c>
      <c r="T244" s="77" t="e">
        <f t="shared" si="28"/>
        <v>#N/A</v>
      </c>
      <c r="U244" s="78" t="e">
        <f t="shared" si="35"/>
        <v>#N/A</v>
      </c>
      <c r="V244" s="79">
        <f t="shared" si="31"/>
        <v>3.0982704000000001</v>
      </c>
      <c r="W244" s="80">
        <f t="shared" si="30"/>
        <v>9.6828217446740599</v>
      </c>
      <c r="X244" s="53" t="s">
        <v>47</v>
      </c>
    </row>
    <row r="245" spans="1:24">
      <c r="A245" s="124" t="s">
        <v>154</v>
      </c>
      <c r="B245" s="208" t="s">
        <v>54</v>
      </c>
      <c r="C245" s="205">
        <v>84</v>
      </c>
      <c r="D245" s="205">
        <v>29</v>
      </c>
      <c r="E245" s="205">
        <v>19</v>
      </c>
      <c r="F245" s="205">
        <v>22400</v>
      </c>
      <c r="G245" s="206"/>
      <c r="H245" s="206"/>
      <c r="I245" s="206"/>
      <c r="J245" s="206"/>
      <c r="K245" s="207"/>
      <c r="L245" s="207"/>
      <c r="M245" s="207"/>
      <c r="N245" s="207"/>
      <c r="O245" s="191">
        <f t="shared" si="32"/>
        <v>9.8085052799999985</v>
      </c>
      <c r="P245" s="75">
        <f t="shared" si="25"/>
        <v>22400</v>
      </c>
      <c r="Q245" s="76">
        <f t="shared" si="33"/>
        <v>22.4</v>
      </c>
      <c r="R245" s="185">
        <f t="shared" si="34"/>
        <v>22.4</v>
      </c>
      <c r="S245" s="62" t="e">
        <f>VLOOKUP(A245,[1]Index!$E:$M,8,)</f>
        <v>#N/A</v>
      </c>
      <c r="T245" s="77" t="e">
        <f t="shared" si="28"/>
        <v>#N/A</v>
      </c>
      <c r="U245" s="78" t="e">
        <f t="shared" si="35"/>
        <v>#N/A</v>
      </c>
      <c r="V245" s="79">
        <f t="shared" si="31"/>
        <v>1.6347508799999999</v>
      </c>
      <c r="W245" s="80">
        <f t="shared" si="30"/>
        <v>13.702393602626474</v>
      </c>
      <c r="X245" s="53" t="s">
        <v>45</v>
      </c>
    </row>
    <row r="246" spans="1:24">
      <c r="A246" s="124" t="s">
        <v>118</v>
      </c>
      <c r="B246" s="208" t="s">
        <v>56</v>
      </c>
      <c r="C246" s="205">
        <v>35</v>
      </c>
      <c r="D246" s="205">
        <v>12</v>
      </c>
      <c r="E246" s="205">
        <v>5</v>
      </c>
      <c r="F246" s="205">
        <v>2500</v>
      </c>
      <c r="G246" s="206"/>
      <c r="H246" s="206"/>
      <c r="I246" s="206"/>
      <c r="J246" s="206"/>
      <c r="K246" s="207"/>
      <c r="L246" s="207"/>
      <c r="M246" s="207"/>
      <c r="N246" s="207"/>
      <c r="O246" s="191">
        <f t="shared" si="32"/>
        <v>0.44503199999999998</v>
      </c>
      <c r="P246" s="75">
        <f t="shared" si="25"/>
        <v>2500</v>
      </c>
      <c r="Q246" s="76">
        <f t="shared" si="33"/>
        <v>2.5</v>
      </c>
      <c r="R246" s="185">
        <f t="shared" si="34"/>
        <v>2.5</v>
      </c>
      <c r="S246" s="62">
        <f>VLOOKUP(A246,[1]Index!$E:$M,8,)</f>
        <v>11.094380797499998</v>
      </c>
      <c r="T246" s="77">
        <f t="shared" si="28"/>
        <v>-2488.9056192025</v>
      </c>
      <c r="U246" s="78">
        <f t="shared" si="35"/>
        <v>-224.33929974382607</v>
      </c>
      <c r="V246" s="79">
        <f t="shared" si="31"/>
        <v>7.4172000000000002E-2</v>
      </c>
      <c r="W246" s="80">
        <f t="shared" si="30"/>
        <v>33.705441406460658</v>
      </c>
      <c r="X246" s="53" t="s">
        <v>47</v>
      </c>
    </row>
    <row r="247" spans="1:24">
      <c r="A247" s="124" t="s">
        <v>145</v>
      </c>
      <c r="B247" s="208" t="s">
        <v>56</v>
      </c>
      <c r="C247" s="205">
        <v>97</v>
      </c>
      <c r="D247" s="205">
        <v>29</v>
      </c>
      <c r="E247" s="205">
        <v>12</v>
      </c>
      <c r="F247" s="205">
        <v>16400</v>
      </c>
      <c r="G247" s="206"/>
      <c r="H247" s="206"/>
      <c r="I247" s="206"/>
      <c r="J247" s="206"/>
      <c r="K247" s="207"/>
      <c r="L247" s="207"/>
      <c r="M247" s="207"/>
      <c r="N247" s="207"/>
      <c r="O247" s="191">
        <f t="shared" si="32"/>
        <v>7.1535715199999999</v>
      </c>
      <c r="P247" s="75">
        <f t="shared" si="25"/>
        <v>16400</v>
      </c>
      <c r="Q247" s="76">
        <f t="shared" si="33"/>
        <v>16.399999999999999</v>
      </c>
      <c r="R247" s="185">
        <f t="shared" si="34"/>
        <v>16.399999999999999</v>
      </c>
      <c r="S247" s="62">
        <f>VLOOKUP(A247,[1]Index!$E:$M,8,)</f>
        <v>674.62888425576</v>
      </c>
      <c r="T247" s="77">
        <f t="shared" si="28"/>
        <v>-15725.371115744239</v>
      </c>
      <c r="U247" s="78">
        <f t="shared" si="35"/>
        <v>-23.309661775143564</v>
      </c>
      <c r="V247" s="79">
        <f t="shared" si="31"/>
        <v>1.19226192</v>
      </c>
      <c r="W247" s="80">
        <f t="shared" si="30"/>
        <v>13.755366773770648</v>
      </c>
      <c r="X247" s="53" t="s">
        <v>380</v>
      </c>
    </row>
    <row r="248" spans="1:24" ht="12.75" customHeight="1">
      <c r="A248" s="124" t="s">
        <v>305</v>
      </c>
      <c r="B248" s="208" t="s">
        <v>56</v>
      </c>
      <c r="C248" s="205">
        <v>36</v>
      </c>
      <c r="D248" s="205">
        <v>10</v>
      </c>
      <c r="E248" s="205">
        <v>6</v>
      </c>
      <c r="F248" s="205">
        <v>200</v>
      </c>
      <c r="G248" s="206"/>
      <c r="H248" s="206"/>
      <c r="I248" s="206"/>
      <c r="J248" s="206"/>
      <c r="K248" s="207"/>
      <c r="L248" s="207"/>
      <c r="M248" s="207"/>
      <c r="N248" s="207"/>
      <c r="O248" s="191">
        <f t="shared" ref="O248:O250" si="36">V248*$O$2</f>
        <v>0.45774720000000002</v>
      </c>
      <c r="P248" s="75">
        <f t="shared" ref="P248:P250" si="37">F248+J248+N248</f>
        <v>200</v>
      </c>
      <c r="Q248" s="76">
        <f t="shared" ref="Q248:Q250" si="38">P248/1000</f>
        <v>0.2</v>
      </c>
      <c r="R248" s="185">
        <f t="shared" ref="R248:R250" si="39">MAX(Q248,O248)</f>
        <v>0.45774720000000002</v>
      </c>
      <c r="S248" s="62">
        <f>VLOOKUP(A248,[1]Index!$E:$M,8,)</f>
        <v>7.1389999999999993</v>
      </c>
      <c r="T248" s="77">
        <f t="shared" ref="T248:T250" si="40">S248-P248</f>
        <v>-192.86099999999999</v>
      </c>
      <c r="U248" s="78">
        <f t="shared" ref="U248:U250" si="41">T248/S248</f>
        <v>-27.015128169211376</v>
      </c>
      <c r="V248" s="79">
        <f t="shared" ref="V248:V250" si="42">(((C248*D248*E248)+(G248*H248*I248)+(K248*L248*M248))/1000000)*35.32</f>
        <v>7.6291200000000003E-2</v>
      </c>
      <c r="W248" s="80">
        <f t="shared" ref="W248:W250" si="43">Q248/V248</f>
        <v>2.6215343316136068</v>
      </c>
    </row>
    <row r="249" spans="1:24" ht="12.75" customHeight="1">
      <c r="A249" s="124" t="s">
        <v>306</v>
      </c>
      <c r="B249" s="208" t="s">
        <v>56</v>
      </c>
      <c r="C249" s="205">
        <v>24</v>
      </c>
      <c r="D249" s="205">
        <v>20</v>
      </c>
      <c r="E249" s="205">
        <v>5</v>
      </c>
      <c r="F249" s="205">
        <v>700</v>
      </c>
      <c r="G249" s="206"/>
      <c r="H249" s="206"/>
      <c r="I249" s="206"/>
      <c r="J249" s="206"/>
      <c r="K249" s="207"/>
      <c r="L249" s="207"/>
      <c r="M249" s="207"/>
      <c r="N249" s="207"/>
      <c r="O249" s="191">
        <f t="shared" si="36"/>
        <v>0.50860799999999995</v>
      </c>
      <c r="P249" s="75">
        <f t="shared" si="37"/>
        <v>700</v>
      </c>
      <c r="Q249" s="76">
        <f t="shared" si="38"/>
        <v>0.7</v>
      </c>
      <c r="R249" s="185">
        <f t="shared" si="39"/>
        <v>0.7</v>
      </c>
      <c r="S249" s="62">
        <f>VLOOKUP(A249,[1]Index!$E:$M,8,)</f>
        <v>14.826127065749997</v>
      </c>
      <c r="T249" s="77">
        <f t="shared" si="40"/>
        <v>-685.17387293424997</v>
      </c>
      <c r="U249" s="78">
        <f t="shared" si="41"/>
        <v>-46.213948517754027</v>
      </c>
      <c r="V249" s="79">
        <f t="shared" si="42"/>
        <v>8.4767999999999996E-2</v>
      </c>
      <c r="W249" s="80">
        <f t="shared" si="43"/>
        <v>8.257833144582861</v>
      </c>
    </row>
    <row r="250" spans="1:24" ht="12.75" customHeight="1">
      <c r="A250" s="124" t="s">
        <v>307</v>
      </c>
      <c r="B250" s="208" t="s">
        <v>56</v>
      </c>
      <c r="C250" s="205">
        <v>34</v>
      </c>
      <c r="D250" s="205">
        <v>22</v>
      </c>
      <c r="E250" s="205">
        <v>6</v>
      </c>
      <c r="F250" s="205">
        <v>800</v>
      </c>
      <c r="G250" s="206"/>
      <c r="H250" s="206"/>
      <c r="I250" s="206"/>
      <c r="J250" s="206"/>
      <c r="K250" s="207"/>
      <c r="L250" s="207"/>
      <c r="M250" s="207"/>
      <c r="N250" s="207"/>
      <c r="O250" s="191">
        <f t="shared" si="36"/>
        <v>0.95109695999999988</v>
      </c>
      <c r="P250" s="75">
        <f t="shared" si="37"/>
        <v>800</v>
      </c>
      <c r="Q250" s="76">
        <f t="shared" si="38"/>
        <v>0.8</v>
      </c>
      <c r="R250" s="185">
        <f t="shared" si="39"/>
        <v>0.95109695999999988</v>
      </c>
      <c r="S250" s="62" t="e">
        <f>VLOOKUP(A250,[1]Index!$E:$M,8,)</f>
        <v>#N/A</v>
      </c>
      <c r="T250" s="77" t="e">
        <f t="shared" si="40"/>
        <v>#N/A</v>
      </c>
      <c r="U250" s="78" t="e">
        <f t="shared" si="41"/>
        <v>#N/A</v>
      </c>
      <c r="V250" s="79">
        <f t="shared" si="42"/>
        <v>0.15851615999999999</v>
      </c>
      <c r="W250" s="80">
        <f t="shared" si="43"/>
        <v>5.0468040608604205</v>
      </c>
    </row>
    <row r="251" spans="1:24" ht="12.75" customHeight="1">
      <c r="A251" s="236" t="s">
        <v>308</v>
      </c>
      <c r="B251" s="237" t="s">
        <v>56</v>
      </c>
      <c r="C251" s="238">
        <v>154</v>
      </c>
      <c r="D251" s="239">
        <v>42</v>
      </c>
      <c r="E251" s="239">
        <v>9</v>
      </c>
      <c r="F251" s="238">
        <v>27400</v>
      </c>
      <c r="G251" s="206"/>
      <c r="H251" s="206"/>
      <c r="I251" s="206"/>
      <c r="J251" s="206"/>
      <c r="K251" s="207"/>
      <c r="L251" s="207"/>
      <c r="M251" s="207"/>
      <c r="N251" s="207"/>
      <c r="O251" s="191">
        <f t="shared" ref="O251:O252" si="44">V251*$O$2</f>
        <v>12.336287040000002</v>
      </c>
      <c r="P251" s="75">
        <f t="shared" ref="P251:P252" si="45">F251+J251+N251</f>
        <v>27400</v>
      </c>
      <c r="Q251" s="76">
        <f t="shared" ref="Q251:Q252" si="46">P251/1000</f>
        <v>27.4</v>
      </c>
      <c r="R251" s="185">
        <f t="shared" ref="R251:R252" si="47">MAX(Q251,O251)</f>
        <v>27.4</v>
      </c>
      <c r="S251" s="62" t="e">
        <f>VLOOKUP(A251,[1]Index!$E:$M,8,)</f>
        <v>#N/A</v>
      </c>
      <c r="T251" s="77" t="e">
        <f t="shared" ref="T251:T252" si="48">S251-P251</f>
        <v>#N/A</v>
      </c>
      <c r="U251" s="78" t="e">
        <f t="shared" ref="U251:U252" si="49">T251/S251</f>
        <v>#N/A</v>
      </c>
      <c r="V251" s="79">
        <f t="shared" ref="V251:V252" si="50">(((C251*D251*E251)+(G251*H251*I251)+(K251*L251*M251))/1000000)*35.32</f>
        <v>2.0560478400000002</v>
      </c>
      <c r="W251" s="80">
        <f t="shared" ref="W251:W252" si="51">Q251/V251</f>
        <v>13.326538160707386</v>
      </c>
    </row>
    <row r="252" spans="1:24" ht="12.75" customHeight="1">
      <c r="A252" s="240" t="s">
        <v>309</v>
      </c>
      <c r="B252" s="237" t="s">
        <v>56</v>
      </c>
      <c r="C252" s="238">
        <v>157</v>
      </c>
      <c r="D252" s="239">
        <v>44</v>
      </c>
      <c r="E252" s="239">
        <v>5</v>
      </c>
      <c r="F252" s="238">
        <v>26050</v>
      </c>
      <c r="G252" s="206"/>
      <c r="H252" s="206"/>
      <c r="I252" s="206"/>
      <c r="J252" s="206"/>
      <c r="K252" s="207"/>
      <c r="L252" s="207"/>
      <c r="M252" s="207"/>
      <c r="N252" s="207"/>
      <c r="O252" s="191">
        <f t="shared" si="44"/>
        <v>7.3197168000000001</v>
      </c>
      <c r="P252" s="75">
        <f t="shared" si="45"/>
        <v>26050</v>
      </c>
      <c r="Q252" s="76">
        <f t="shared" si="46"/>
        <v>26.05</v>
      </c>
      <c r="R252" s="185">
        <f t="shared" si="47"/>
        <v>26.05</v>
      </c>
      <c r="S252" s="62" t="e">
        <f>VLOOKUP(A252,[1]Index!$E:$M,8,)</f>
        <v>#N/A</v>
      </c>
      <c r="T252" s="77" t="e">
        <f t="shared" si="48"/>
        <v>#N/A</v>
      </c>
      <c r="U252" s="78" t="e">
        <f t="shared" si="49"/>
        <v>#N/A</v>
      </c>
      <c r="V252" s="79">
        <f t="shared" si="50"/>
        <v>1.2199527999999999</v>
      </c>
      <c r="W252" s="80">
        <f t="shared" si="51"/>
        <v>21.353285143490798</v>
      </c>
    </row>
    <row r="253" spans="1:24" ht="12.75" customHeight="1">
      <c r="A253" s="241" t="s">
        <v>310</v>
      </c>
      <c r="B253" s="237" t="s">
        <v>56</v>
      </c>
      <c r="C253" s="238">
        <v>39</v>
      </c>
      <c r="D253" s="239">
        <v>30</v>
      </c>
      <c r="E253" s="239">
        <v>9</v>
      </c>
      <c r="F253" s="238">
        <v>3600</v>
      </c>
      <c r="G253" s="206"/>
      <c r="H253" s="206"/>
      <c r="I253" s="206"/>
      <c r="J253" s="206"/>
      <c r="K253" s="207"/>
      <c r="L253" s="207"/>
      <c r="M253" s="207"/>
      <c r="N253" s="207"/>
      <c r="O253" s="191">
        <f t="shared" ref="O253:O255" si="52">V253*$O$2</f>
        <v>2.2315175999999997</v>
      </c>
      <c r="P253" s="75">
        <f t="shared" ref="P253" si="53">F253+J253+N253</f>
        <v>3600</v>
      </c>
      <c r="Q253" s="76">
        <f t="shared" ref="Q253" si="54">P253/1000</f>
        <v>3.6</v>
      </c>
      <c r="R253" s="185">
        <f t="shared" ref="R253:R255" si="55">MAX(Q253,O253)</f>
        <v>3.6</v>
      </c>
      <c r="S253" s="62" t="e">
        <f>VLOOKUP(A253,[1]Index!$E:$M,8,)</f>
        <v>#N/A</v>
      </c>
      <c r="T253" s="77" t="e">
        <f t="shared" ref="T253:T254" si="56">S253-P253</f>
        <v>#N/A</v>
      </c>
      <c r="U253" s="78" t="e">
        <f t="shared" ref="U253:U254" si="57">T253/S253</f>
        <v>#N/A</v>
      </c>
      <c r="V253" s="79">
        <f t="shared" ref="V253:V254" si="58">(((C253*D253*E253)+(G253*H253*I253)+(K253*L253*M253))/1000000)*35.32</f>
        <v>0.37191959999999996</v>
      </c>
      <c r="W253" s="80">
        <f t="shared" ref="W253:W254" si="59">Q253/V253</f>
        <v>9.6795113782656266</v>
      </c>
    </row>
    <row r="254" spans="1:24" ht="12.75" customHeight="1">
      <c r="A254" s="241" t="s">
        <v>311</v>
      </c>
      <c r="B254" s="237" t="s">
        <v>56</v>
      </c>
      <c r="C254" s="238">
        <v>65</v>
      </c>
      <c r="D254" s="239">
        <v>35</v>
      </c>
      <c r="E254" s="239">
        <v>8</v>
      </c>
      <c r="F254" s="238">
        <v>5000</v>
      </c>
      <c r="G254" s="206"/>
      <c r="H254" s="206"/>
      <c r="I254" s="206"/>
      <c r="J254" s="206"/>
      <c r="K254" s="207"/>
      <c r="L254" s="207"/>
      <c r="M254" s="207"/>
      <c r="N254" s="207"/>
      <c r="O254" s="191">
        <f t="shared" si="52"/>
        <v>3.8569440000000004</v>
      </c>
      <c r="P254" s="75">
        <f t="shared" ref="P254" si="60">F254+J254+N254</f>
        <v>5000</v>
      </c>
      <c r="Q254" s="76">
        <f t="shared" ref="Q254" si="61">P254/1000</f>
        <v>5</v>
      </c>
      <c r="R254" s="185">
        <f t="shared" si="55"/>
        <v>5</v>
      </c>
      <c r="S254" s="62" t="e">
        <f>VLOOKUP(A254,[1]Index!$E:$M,8,)</f>
        <v>#N/A</v>
      </c>
      <c r="T254" s="77" t="e">
        <f t="shared" si="56"/>
        <v>#N/A</v>
      </c>
      <c r="U254" s="78" t="e">
        <f t="shared" si="57"/>
        <v>#N/A</v>
      </c>
      <c r="V254" s="79">
        <f t="shared" si="58"/>
        <v>0.64282400000000006</v>
      </c>
      <c r="W254" s="80">
        <f t="shared" si="59"/>
        <v>7.778178786106305</v>
      </c>
    </row>
    <row r="255" spans="1:24" ht="12.75" customHeight="1">
      <c r="A255" s="236" t="s">
        <v>312</v>
      </c>
      <c r="B255" s="237" t="s">
        <v>56</v>
      </c>
      <c r="C255" s="238">
        <v>150</v>
      </c>
      <c r="D255" s="239">
        <v>42</v>
      </c>
      <c r="E255" s="239">
        <v>14</v>
      </c>
      <c r="F255" s="238">
        <v>40000</v>
      </c>
      <c r="G255" s="206"/>
      <c r="H255" s="206"/>
      <c r="I255" s="206"/>
      <c r="J255" s="206"/>
      <c r="K255" s="207"/>
      <c r="L255" s="207"/>
      <c r="M255" s="207"/>
      <c r="N255" s="207"/>
      <c r="O255" s="191">
        <f t="shared" ca="1" si="52"/>
        <v>3.8569440000000004</v>
      </c>
      <c r="P255" s="75">
        <f>F255+J255+N255</f>
        <v>40000</v>
      </c>
      <c r="Q255" s="76">
        <f>P255/1000</f>
        <v>40</v>
      </c>
      <c r="R255" s="185">
        <f t="shared" ca="1" si="55"/>
        <v>3.5320000000000001E-5</v>
      </c>
      <c r="S255" s="185">
        <f t="shared" ref="S255" ca="1" si="62">MAX(R255,P255)</f>
        <v>3.5320000000000001E-5</v>
      </c>
      <c r="T255" s="185">
        <f t="shared" ref="T255" ca="1" si="63">MAX(S255,Q255)</f>
        <v>3.5320000000000001E-5</v>
      </c>
      <c r="U255" s="185">
        <f t="shared" ref="U255" ca="1" si="64">MAX(T255,R255)</f>
        <v>3.5320000000000001E-5</v>
      </c>
      <c r="V255" s="185">
        <f t="shared" ref="V255" ca="1" si="65">MAX(U255,S255)</f>
        <v>3.5320000000000001E-5</v>
      </c>
      <c r="W255" s="185">
        <f t="shared" ref="W255" ca="1" si="66">MAX(V255,T255)</f>
        <v>3.5320000000000001E-5</v>
      </c>
    </row>
    <row r="256" spans="1:24" ht="12.75" customHeight="1">
      <c r="A256" s="247" t="s">
        <v>313</v>
      </c>
      <c r="B256" s="237" t="s">
        <v>56</v>
      </c>
      <c r="C256" s="238">
        <v>66</v>
      </c>
      <c r="D256" s="239">
        <v>24</v>
      </c>
      <c r="E256" s="239">
        <v>4</v>
      </c>
      <c r="F256" s="238">
        <v>2450</v>
      </c>
      <c r="G256" s="206"/>
      <c r="H256" s="206"/>
      <c r="I256" s="206"/>
      <c r="J256" s="206"/>
      <c r="K256" s="207"/>
      <c r="L256" s="207"/>
      <c r="M256" s="207"/>
      <c r="N256" s="207"/>
      <c r="O256" s="191">
        <f ca="1">V256*$O$2</f>
        <v>0</v>
      </c>
      <c r="P256" s="75">
        <f>F256+J256+N256</f>
        <v>2450</v>
      </c>
      <c r="Q256" s="76">
        <f>P256/1000</f>
        <v>2.4500000000000002</v>
      </c>
      <c r="R256" s="185">
        <f t="shared" ref="R256:R257" ca="1" si="67">MAX(Q256,O256)</f>
        <v>3.5320000000000001E-5</v>
      </c>
      <c r="S256" s="185">
        <f t="shared" ref="S256:S257" ca="1" si="68">MAX(R256,P256)</f>
        <v>3.5320000000000001E-5</v>
      </c>
      <c r="T256" s="185">
        <f t="shared" ref="T256:T257" ca="1" si="69">MAX(S256,Q256)</f>
        <v>3.5320000000000001E-5</v>
      </c>
      <c r="U256" s="185">
        <f t="shared" ref="U256:U257" ca="1" si="70">MAX(T256,R256)</f>
        <v>3.5320000000000001E-5</v>
      </c>
      <c r="V256" s="185">
        <f t="shared" ref="V256:V257" ca="1" si="71">MAX(U256,S256)</f>
        <v>3.5320000000000001E-5</v>
      </c>
      <c r="W256" s="185">
        <f t="shared" ref="W256:W257" ca="1" si="72">MAX(V256,T256)</f>
        <v>3.5320000000000001E-5</v>
      </c>
    </row>
    <row r="257" spans="1:23" ht="12.75" customHeight="1">
      <c r="A257" s="248" t="s">
        <v>314</v>
      </c>
      <c r="B257" s="237" t="s">
        <v>56</v>
      </c>
      <c r="C257" s="238">
        <v>106</v>
      </c>
      <c r="D257" s="239">
        <v>27</v>
      </c>
      <c r="E257" s="239">
        <v>5</v>
      </c>
      <c r="F257" s="238">
        <v>4100</v>
      </c>
      <c r="G257" s="206"/>
      <c r="H257" s="206"/>
      <c r="I257" s="206"/>
      <c r="J257" s="206"/>
      <c r="K257" s="207"/>
      <c r="L257" s="207"/>
      <c r="M257" s="207"/>
      <c r="N257" s="207"/>
      <c r="O257" s="191">
        <f ca="1">V257*$O$2</f>
        <v>0</v>
      </c>
      <c r="P257" s="75">
        <f>F257+J257+N257</f>
        <v>4100</v>
      </c>
      <c r="Q257" s="76">
        <f>P257/1000</f>
        <v>4.0999999999999996</v>
      </c>
      <c r="R257" s="185">
        <f t="shared" ca="1" si="67"/>
        <v>3.5320000000000001E-5</v>
      </c>
      <c r="S257" s="185">
        <f t="shared" ca="1" si="68"/>
        <v>3.5320000000000001E-5</v>
      </c>
      <c r="T257" s="185">
        <f t="shared" ca="1" si="69"/>
        <v>3.5320000000000001E-5</v>
      </c>
      <c r="U257" s="185">
        <f t="shared" ca="1" si="70"/>
        <v>3.5320000000000001E-5</v>
      </c>
      <c r="V257" s="185">
        <f t="shared" ca="1" si="71"/>
        <v>3.5320000000000001E-5</v>
      </c>
      <c r="W257" s="185">
        <f t="shared" ca="1" si="72"/>
        <v>3.5320000000000001E-5</v>
      </c>
    </row>
    <row r="258" spans="1:23" ht="12.75" customHeight="1">
      <c r="A258" s="236" t="s">
        <v>315</v>
      </c>
      <c r="B258" s="242" t="s">
        <v>56</v>
      </c>
      <c r="C258" s="238">
        <v>70</v>
      </c>
      <c r="D258" s="239">
        <v>25</v>
      </c>
      <c r="E258" s="239">
        <v>5</v>
      </c>
      <c r="F258" s="238">
        <v>2500</v>
      </c>
      <c r="G258" s="206"/>
      <c r="H258" s="206"/>
      <c r="I258" s="206"/>
      <c r="J258" s="206"/>
      <c r="K258" s="207"/>
      <c r="L258" s="207"/>
      <c r="M258" s="207"/>
      <c r="N258" s="207"/>
      <c r="O258" s="191">
        <f t="shared" ref="O258:O269" ca="1" si="73">V258*$O$2</f>
        <v>0</v>
      </c>
      <c r="P258" s="75">
        <f t="shared" ref="P258:P262" si="74">F258+J258+N258</f>
        <v>2500</v>
      </c>
      <c r="Q258" s="76">
        <f t="shared" ref="Q258:Q262" si="75">P258/1000</f>
        <v>2.5</v>
      </c>
      <c r="R258" s="185">
        <f t="shared" ref="R258:R262" ca="1" si="76">MAX(Q258,O258)</f>
        <v>3.5320000000000001E-5</v>
      </c>
      <c r="S258" s="185">
        <f t="shared" ref="S258:S262" ca="1" si="77">MAX(R258,P258)</f>
        <v>3.5320000000000001E-5</v>
      </c>
      <c r="T258" s="185">
        <f t="shared" ref="T258:T262" ca="1" si="78">MAX(S258,Q258)</f>
        <v>3.5320000000000001E-5</v>
      </c>
      <c r="U258" s="185">
        <f t="shared" ref="U258:U262" ca="1" si="79">MAX(T258,R258)</f>
        <v>3.5320000000000001E-5</v>
      </c>
      <c r="V258" s="185">
        <f t="shared" ref="V258:V262" ca="1" si="80">MAX(U258,S258)</f>
        <v>3.5320000000000001E-5</v>
      </c>
      <c r="W258" s="185">
        <f t="shared" ref="W258:W262" ca="1" si="81">MAX(V258,T258)</f>
        <v>3.5320000000000001E-5</v>
      </c>
    </row>
    <row r="259" spans="1:23" ht="12.75" customHeight="1">
      <c r="A259" s="236" t="s">
        <v>316</v>
      </c>
      <c r="B259" s="242" t="s">
        <v>56</v>
      </c>
      <c r="C259" s="238">
        <v>78</v>
      </c>
      <c r="D259" s="239">
        <v>23</v>
      </c>
      <c r="E259" s="239">
        <v>6</v>
      </c>
      <c r="F259" s="238">
        <v>2200</v>
      </c>
      <c r="G259" s="206"/>
      <c r="H259" s="206"/>
      <c r="I259" s="206"/>
      <c r="J259" s="206"/>
      <c r="K259" s="207"/>
      <c r="L259" s="207"/>
      <c r="M259" s="207"/>
      <c r="N259" s="207"/>
      <c r="O259" s="191">
        <f t="shared" ca="1" si="73"/>
        <v>0</v>
      </c>
      <c r="P259" s="75">
        <f t="shared" si="74"/>
        <v>2200</v>
      </c>
      <c r="Q259" s="76">
        <f t="shared" si="75"/>
        <v>2.2000000000000002</v>
      </c>
      <c r="R259" s="185">
        <f t="shared" ca="1" si="76"/>
        <v>3.5320000000000001E-5</v>
      </c>
      <c r="S259" s="185">
        <f t="shared" ca="1" si="77"/>
        <v>3.5320000000000001E-5</v>
      </c>
      <c r="T259" s="185">
        <f t="shared" ca="1" si="78"/>
        <v>3.5320000000000001E-5</v>
      </c>
      <c r="U259" s="185">
        <f t="shared" ca="1" si="79"/>
        <v>3.5320000000000001E-5</v>
      </c>
      <c r="V259" s="185">
        <f t="shared" ca="1" si="80"/>
        <v>3.5320000000000001E-5</v>
      </c>
      <c r="W259" s="185">
        <f t="shared" ca="1" si="81"/>
        <v>3.5320000000000001E-5</v>
      </c>
    </row>
    <row r="260" spans="1:23" ht="12.75" customHeight="1">
      <c r="A260" s="236" t="s">
        <v>317</v>
      </c>
      <c r="B260" s="242" t="s">
        <v>56</v>
      </c>
      <c r="C260" s="238">
        <v>55</v>
      </c>
      <c r="D260" s="239">
        <v>17</v>
      </c>
      <c r="E260" s="239">
        <v>8</v>
      </c>
      <c r="F260" s="238">
        <v>2500</v>
      </c>
      <c r="G260" s="206"/>
      <c r="H260" s="206"/>
      <c r="I260" s="206"/>
      <c r="J260" s="206"/>
      <c r="K260" s="207"/>
      <c r="L260" s="207"/>
      <c r="M260" s="207"/>
      <c r="N260" s="207"/>
      <c r="O260" s="191">
        <f t="shared" ca="1" si="73"/>
        <v>0</v>
      </c>
      <c r="P260" s="75">
        <f t="shared" si="74"/>
        <v>2500</v>
      </c>
      <c r="Q260" s="76">
        <f t="shared" si="75"/>
        <v>2.5</v>
      </c>
      <c r="R260" s="185">
        <f t="shared" ca="1" si="76"/>
        <v>3.5320000000000001E-5</v>
      </c>
      <c r="S260" s="185">
        <f t="shared" ca="1" si="77"/>
        <v>3.5320000000000001E-5</v>
      </c>
      <c r="T260" s="185">
        <f t="shared" ca="1" si="78"/>
        <v>3.5320000000000001E-5</v>
      </c>
      <c r="U260" s="185">
        <f t="shared" ca="1" si="79"/>
        <v>3.5320000000000001E-5</v>
      </c>
      <c r="V260" s="185">
        <f t="shared" ca="1" si="80"/>
        <v>3.5320000000000001E-5</v>
      </c>
      <c r="W260" s="185">
        <f t="shared" ca="1" si="81"/>
        <v>3.5320000000000001E-5</v>
      </c>
    </row>
    <row r="261" spans="1:23" ht="12.75" customHeight="1">
      <c r="A261" s="236" t="s">
        <v>318</v>
      </c>
      <c r="B261" s="242" t="s">
        <v>56</v>
      </c>
      <c r="C261" s="238">
        <v>40</v>
      </c>
      <c r="D261" s="239">
        <v>20</v>
      </c>
      <c r="E261" s="239">
        <v>5</v>
      </c>
      <c r="F261" s="238">
        <v>1700</v>
      </c>
      <c r="G261" s="206"/>
      <c r="H261" s="206"/>
      <c r="I261" s="206"/>
      <c r="J261" s="206"/>
      <c r="K261" s="207"/>
      <c r="L261" s="207"/>
      <c r="M261" s="207"/>
      <c r="N261" s="207"/>
      <c r="O261" s="191">
        <f t="shared" ca="1" si="73"/>
        <v>0</v>
      </c>
      <c r="P261" s="75">
        <f t="shared" si="74"/>
        <v>1700</v>
      </c>
      <c r="Q261" s="76">
        <f t="shared" si="75"/>
        <v>1.7</v>
      </c>
      <c r="R261" s="185">
        <f t="shared" ca="1" si="76"/>
        <v>3.5320000000000001E-5</v>
      </c>
      <c r="S261" s="185">
        <f t="shared" ca="1" si="77"/>
        <v>3.5320000000000001E-5</v>
      </c>
      <c r="T261" s="185">
        <f t="shared" ca="1" si="78"/>
        <v>3.5320000000000001E-5</v>
      </c>
      <c r="U261" s="185">
        <f t="shared" ca="1" si="79"/>
        <v>3.5320000000000001E-5</v>
      </c>
      <c r="V261" s="185">
        <f t="shared" ca="1" si="80"/>
        <v>3.5320000000000001E-5</v>
      </c>
      <c r="W261" s="185">
        <f t="shared" ca="1" si="81"/>
        <v>3.5320000000000001E-5</v>
      </c>
    </row>
    <row r="262" spans="1:23" ht="12.75" customHeight="1">
      <c r="A262" s="236" t="s">
        <v>319</v>
      </c>
      <c r="B262" s="242" t="s">
        <v>56</v>
      </c>
      <c r="C262" s="238">
        <v>152</v>
      </c>
      <c r="D262" s="239">
        <v>58</v>
      </c>
      <c r="E262" s="239">
        <v>9</v>
      </c>
      <c r="F262" s="238">
        <v>25000</v>
      </c>
      <c r="G262" s="206"/>
      <c r="H262" s="206"/>
      <c r="I262" s="206"/>
      <c r="J262" s="206"/>
      <c r="K262" s="207"/>
      <c r="L262" s="207"/>
      <c r="M262" s="207"/>
      <c r="N262" s="207"/>
      <c r="O262" s="191">
        <f t="shared" ca="1" si="73"/>
        <v>0</v>
      </c>
      <c r="P262" s="75">
        <f t="shared" si="74"/>
        <v>25000</v>
      </c>
      <c r="Q262" s="76">
        <f t="shared" si="75"/>
        <v>25</v>
      </c>
      <c r="R262" s="185">
        <f t="shared" ca="1" si="76"/>
        <v>3.5320000000000001E-5</v>
      </c>
      <c r="S262" s="185">
        <f t="shared" ca="1" si="77"/>
        <v>3.5320000000000001E-5</v>
      </c>
      <c r="T262" s="185">
        <f t="shared" ca="1" si="78"/>
        <v>3.5320000000000001E-5</v>
      </c>
      <c r="U262" s="185">
        <f t="shared" ca="1" si="79"/>
        <v>3.5320000000000001E-5</v>
      </c>
      <c r="V262" s="185">
        <f t="shared" ca="1" si="80"/>
        <v>3.5320000000000001E-5</v>
      </c>
      <c r="W262" s="185">
        <f t="shared" ca="1" si="81"/>
        <v>3.5320000000000001E-5</v>
      </c>
    </row>
    <row r="263" spans="1:23" ht="12.75" customHeight="1">
      <c r="A263" s="263" t="s">
        <v>320</v>
      </c>
      <c r="B263" s="242" t="s">
        <v>56</v>
      </c>
      <c r="C263" s="238">
        <v>56</v>
      </c>
      <c r="D263" s="239">
        <v>30</v>
      </c>
      <c r="E263" s="239">
        <v>11</v>
      </c>
      <c r="F263" s="238">
        <v>7100</v>
      </c>
      <c r="G263" s="206"/>
      <c r="H263" s="206"/>
      <c r="I263" s="206"/>
      <c r="J263" s="206"/>
      <c r="K263" s="207"/>
      <c r="L263" s="207"/>
      <c r="M263" s="207"/>
      <c r="N263" s="207"/>
      <c r="O263" s="191">
        <f t="shared" ca="1" si="73"/>
        <v>0</v>
      </c>
      <c r="P263" s="75">
        <f t="shared" ref="P263:P274" si="82">F263+J263+N263</f>
        <v>7100</v>
      </c>
      <c r="Q263" s="76">
        <f t="shared" ref="Q263:Q274" si="83">P263/1000</f>
        <v>7.1</v>
      </c>
      <c r="R263" s="185">
        <f t="shared" ref="R263:R274" ca="1" si="84">MAX(Q263,O263)</f>
        <v>3.5320000000000001E-5</v>
      </c>
      <c r="S263" s="185">
        <f t="shared" ref="S263:S274" ca="1" si="85">MAX(R263,P263)</f>
        <v>3.5320000000000001E-5</v>
      </c>
      <c r="T263" s="185">
        <f t="shared" ref="T263:T274" ca="1" si="86">MAX(S263,Q263)</f>
        <v>3.5320000000000001E-5</v>
      </c>
      <c r="U263" s="185">
        <f t="shared" ref="U263:U274" ca="1" si="87">MAX(T263,R263)</f>
        <v>3.5320000000000001E-5</v>
      </c>
      <c r="V263" s="185">
        <f t="shared" ref="V263:V274" ca="1" si="88">MAX(U263,S263)</f>
        <v>3.5320000000000001E-5</v>
      </c>
      <c r="W263" s="185">
        <f t="shared" ref="W263:W274" ca="1" si="89">MAX(V263,T263)</f>
        <v>3.5320000000000001E-5</v>
      </c>
    </row>
    <row r="264" spans="1:23" ht="12.75" customHeight="1">
      <c r="A264" s="263" t="s">
        <v>321</v>
      </c>
      <c r="B264" s="242" t="s">
        <v>56</v>
      </c>
      <c r="C264" s="238">
        <v>78</v>
      </c>
      <c r="D264" s="239">
        <v>36</v>
      </c>
      <c r="E264" s="239">
        <v>15</v>
      </c>
      <c r="F264" s="238">
        <v>16100</v>
      </c>
      <c r="G264" s="206"/>
      <c r="H264" s="206"/>
      <c r="I264" s="206"/>
      <c r="J264" s="206"/>
      <c r="K264" s="207"/>
      <c r="L264" s="207"/>
      <c r="M264" s="207"/>
      <c r="N264" s="207"/>
      <c r="O264" s="191">
        <f t="shared" ca="1" si="73"/>
        <v>0</v>
      </c>
      <c r="P264" s="75">
        <f t="shared" si="82"/>
        <v>16100</v>
      </c>
      <c r="Q264" s="76">
        <f t="shared" si="83"/>
        <v>16.100000000000001</v>
      </c>
      <c r="R264" s="185">
        <f t="shared" ca="1" si="84"/>
        <v>3.5320000000000001E-5</v>
      </c>
      <c r="S264" s="185">
        <f t="shared" ca="1" si="85"/>
        <v>3.5320000000000001E-5</v>
      </c>
      <c r="T264" s="185">
        <f t="shared" ca="1" si="86"/>
        <v>3.5320000000000001E-5</v>
      </c>
      <c r="U264" s="185">
        <f t="shared" ca="1" si="87"/>
        <v>3.5320000000000001E-5</v>
      </c>
      <c r="V264" s="185">
        <f t="shared" ca="1" si="88"/>
        <v>3.5320000000000001E-5</v>
      </c>
      <c r="W264" s="185">
        <f t="shared" ca="1" si="89"/>
        <v>3.5320000000000001E-5</v>
      </c>
    </row>
    <row r="265" spans="1:23" ht="12.75" customHeight="1">
      <c r="A265" s="263" t="s">
        <v>322</v>
      </c>
      <c r="B265" s="242" t="s">
        <v>56</v>
      </c>
      <c r="C265" s="238">
        <v>86</v>
      </c>
      <c r="D265" s="239">
        <v>36</v>
      </c>
      <c r="E265" s="239">
        <v>15</v>
      </c>
      <c r="F265" s="238">
        <v>18000</v>
      </c>
      <c r="G265" s="206"/>
      <c r="H265" s="206"/>
      <c r="I265" s="206"/>
      <c r="J265" s="206"/>
      <c r="K265" s="207"/>
      <c r="L265" s="207"/>
      <c r="M265" s="207"/>
      <c r="N265" s="207"/>
      <c r="O265" s="191">
        <f t="shared" ca="1" si="73"/>
        <v>0</v>
      </c>
      <c r="P265" s="75">
        <f t="shared" si="82"/>
        <v>18000</v>
      </c>
      <c r="Q265" s="76">
        <f t="shared" si="83"/>
        <v>18</v>
      </c>
      <c r="R265" s="185">
        <f t="shared" ca="1" si="84"/>
        <v>3.5320000000000001E-5</v>
      </c>
      <c r="S265" s="185">
        <f t="shared" ca="1" si="85"/>
        <v>3.5320000000000001E-5</v>
      </c>
      <c r="T265" s="185">
        <f t="shared" ca="1" si="86"/>
        <v>3.5320000000000001E-5</v>
      </c>
      <c r="U265" s="185">
        <f t="shared" ca="1" si="87"/>
        <v>3.5320000000000001E-5</v>
      </c>
      <c r="V265" s="185">
        <f t="shared" ca="1" si="88"/>
        <v>3.5320000000000001E-5</v>
      </c>
      <c r="W265" s="185">
        <f t="shared" ca="1" si="89"/>
        <v>3.5320000000000001E-5</v>
      </c>
    </row>
    <row r="266" spans="1:23" ht="12.75" customHeight="1">
      <c r="A266" s="263" t="s">
        <v>323</v>
      </c>
      <c r="B266" s="242" t="s">
        <v>56</v>
      </c>
      <c r="C266" s="238">
        <v>136</v>
      </c>
      <c r="D266" s="239">
        <v>44</v>
      </c>
      <c r="E266" s="239">
        <v>14</v>
      </c>
      <c r="F266" s="238">
        <v>40000</v>
      </c>
      <c r="G266" s="206"/>
      <c r="H266" s="206"/>
      <c r="I266" s="206"/>
      <c r="J266" s="206"/>
      <c r="K266" s="207"/>
      <c r="L266" s="207"/>
      <c r="M266" s="207"/>
      <c r="N266" s="207"/>
      <c r="O266" s="191">
        <f t="shared" ca="1" si="73"/>
        <v>0</v>
      </c>
      <c r="P266" s="75">
        <f t="shared" si="82"/>
        <v>40000</v>
      </c>
      <c r="Q266" s="76">
        <f t="shared" si="83"/>
        <v>40</v>
      </c>
      <c r="R266" s="185">
        <f t="shared" ca="1" si="84"/>
        <v>3.5320000000000001E-5</v>
      </c>
      <c r="S266" s="185">
        <f t="shared" ca="1" si="85"/>
        <v>3.5320000000000001E-5</v>
      </c>
      <c r="T266" s="185">
        <f t="shared" ca="1" si="86"/>
        <v>3.5320000000000001E-5</v>
      </c>
      <c r="U266" s="185">
        <f t="shared" ca="1" si="87"/>
        <v>3.5320000000000001E-5</v>
      </c>
      <c r="V266" s="185">
        <f t="shared" ca="1" si="88"/>
        <v>3.5320000000000001E-5</v>
      </c>
      <c r="W266" s="185">
        <f t="shared" ca="1" si="89"/>
        <v>3.5320000000000001E-5</v>
      </c>
    </row>
    <row r="267" spans="1:23" ht="12.75" customHeight="1">
      <c r="A267" s="263" t="s">
        <v>324</v>
      </c>
      <c r="B267" s="242" t="s">
        <v>56</v>
      </c>
      <c r="C267" s="238">
        <v>187</v>
      </c>
      <c r="D267" s="239">
        <v>43</v>
      </c>
      <c r="E267" s="239">
        <v>14</v>
      </c>
      <c r="F267" s="238">
        <v>59900</v>
      </c>
      <c r="G267" s="206"/>
      <c r="H267" s="206"/>
      <c r="I267" s="206"/>
      <c r="J267" s="206"/>
      <c r="K267" s="207"/>
      <c r="L267" s="207"/>
      <c r="M267" s="207"/>
      <c r="N267" s="207"/>
      <c r="O267" s="191">
        <f t="shared" ca="1" si="73"/>
        <v>0</v>
      </c>
      <c r="P267" s="75">
        <f t="shared" si="82"/>
        <v>59900</v>
      </c>
      <c r="Q267" s="76">
        <f t="shared" si="83"/>
        <v>59.9</v>
      </c>
      <c r="R267" s="185">
        <f t="shared" ca="1" si="84"/>
        <v>3.5320000000000001E-5</v>
      </c>
      <c r="S267" s="185">
        <f t="shared" ca="1" si="85"/>
        <v>3.5320000000000001E-5</v>
      </c>
      <c r="T267" s="185">
        <f t="shared" ca="1" si="86"/>
        <v>3.5320000000000001E-5</v>
      </c>
      <c r="U267" s="185">
        <f t="shared" ca="1" si="87"/>
        <v>3.5320000000000001E-5</v>
      </c>
      <c r="V267" s="185">
        <f t="shared" ca="1" si="88"/>
        <v>3.5320000000000001E-5</v>
      </c>
      <c r="W267" s="185">
        <f t="shared" ca="1" si="89"/>
        <v>3.5320000000000001E-5</v>
      </c>
    </row>
    <row r="268" spans="1:23" ht="12.75" customHeight="1">
      <c r="A268" s="263" t="s">
        <v>325</v>
      </c>
      <c r="B268" s="242" t="s">
        <v>56</v>
      </c>
      <c r="C268" s="238">
        <v>1</v>
      </c>
      <c r="D268" s="239">
        <v>1</v>
      </c>
      <c r="E268" s="239">
        <v>1</v>
      </c>
      <c r="F268" s="238">
        <v>45600</v>
      </c>
      <c r="G268" s="206"/>
      <c r="H268" s="206"/>
      <c r="I268" s="206"/>
      <c r="J268" s="206"/>
      <c r="K268" s="207"/>
      <c r="L268" s="207"/>
      <c r="M268" s="207"/>
      <c r="N268" s="207"/>
      <c r="O268" s="191">
        <f t="shared" ca="1" si="73"/>
        <v>0</v>
      </c>
      <c r="P268" s="75">
        <f t="shared" si="82"/>
        <v>45600</v>
      </c>
      <c r="Q268" s="76">
        <f t="shared" si="83"/>
        <v>45.6</v>
      </c>
      <c r="R268" s="185">
        <f t="shared" ca="1" si="84"/>
        <v>3.5320000000000001E-5</v>
      </c>
      <c r="S268" s="185">
        <f t="shared" ca="1" si="85"/>
        <v>3.5320000000000001E-5</v>
      </c>
      <c r="T268" s="185">
        <f t="shared" ca="1" si="86"/>
        <v>3.5320000000000001E-5</v>
      </c>
      <c r="U268" s="185">
        <f t="shared" ca="1" si="87"/>
        <v>3.5320000000000001E-5</v>
      </c>
      <c r="V268" s="185">
        <f t="shared" ca="1" si="88"/>
        <v>3.5320000000000001E-5</v>
      </c>
      <c r="W268" s="185">
        <f t="shared" ca="1" si="89"/>
        <v>3.5320000000000001E-5</v>
      </c>
    </row>
    <row r="269" spans="1:23" ht="12.75" customHeight="1">
      <c r="A269" s="263" t="s">
        <v>326</v>
      </c>
      <c r="B269" s="242" t="s">
        <v>56</v>
      </c>
      <c r="C269" s="238">
        <v>154</v>
      </c>
      <c r="D269" s="239">
        <v>49</v>
      </c>
      <c r="E269" s="239">
        <v>13</v>
      </c>
      <c r="F269" s="238">
        <v>39000</v>
      </c>
      <c r="G269" s="206"/>
      <c r="H269" s="206"/>
      <c r="I269" s="206"/>
      <c r="J269" s="206"/>
      <c r="K269" s="207"/>
      <c r="L269" s="207"/>
      <c r="M269" s="207"/>
      <c r="N269" s="207"/>
      <c r="O269" s="191">
        <f t="shared" ca="1" si="73"/>
        <v>0</v>
      </c>
      <c r="P269" s="75">
        <f t="shared" si="82"/>
        <v>39000</v>
      </c>
      <c r="Q269" s="76">
        <f t="shared" si="83"/>
        <v>39</v>
      </c>
      <c r="R269" s="185">
        <f t="shared" ca="1" si="84"/>
        <v>3.5320000000000001E-5</v>
      </c>
      <c r="S269" s="185">
        <f t="shared" ca="1" si="85"/>
        <v>3.5320000000000001E-5</v>
      </c>
      <c r="T269" s="185">
        <f t="shared" ca="1" si="86"/>
        <v>3.5320000000000001E-5</v>
      </c>
      <c r="U269" s="185">
        <f t="shared" ca="1" si="87"/>
        <v>3.5320000000000001E-5</v>
      </c>
      <c r="V269" s="185">
        <f t="shared" ca="1" si="88"/>
        <v>3.5320000000000001E-5</v>
      </c>
      <c r="W269" s="185">
        <f t="shared" ca="1" si="89"/>
        <v>3.5320000000000001E-5</v>
      </c>
    </row>
    <row r="270" spans="1:23" ht="12.75" customHeight="1">
      <c r="A270" s="263" t="s">
        <v>327</v>
      </c>
      <c r="B270" s="242" t="s">
        <v>56</v>
      </c>
      <c r="C270" s="238">
        <v>106</v>
      </c>
      <c r="D270" s="239">
        <v>44</v>
      </c>
      <c r="E270" s="239">
        <v>10</v>
      </c>
      <c r="F270" s="238">
        <v>19000</v>
      </c>
      <c r="G270" s="206">
        <v>145</v>
      </c>
      <c r="H270" s="206">
        <v>44</v>
      </c>
      <c r="I270" s="206">
        <v>9</v>
      </c>
      <c r="J270" s="206">
        <v>25800</v>
      </c>
      <c r="K270" s="207">
        <v>169</v>
      </c>
      <c r="L270" s="207">
        <v>36</v>
      </c>
      <c r="M270" s="207">
        <v>9</v>
      </c>
      <c r="N270" s="207">
        <v>28000</v>
      </c>
      <c r="O270" s="191">
        <f t="shared" ref="O270:O274" ca="1" si="90">V270*$O$2</f>
        <v>0</v>
      </c>
      <c r="P270" s="75">
        <f t="shared" si="82"/>
        <v>72800</v>
      </c>
      <c r="Q270" s="76">
        <f t="shared" si="83"/>
        <v>72.8</v>
      </c>
      <c r="R270" s="185">
        <f t="shared" ca="1" si="84"/>
        <v>3.5320000000000001E-5</v>
      </c>
      <c r="S270" s="185">
        <f t="shared" ca="1" si="85"/>
        <v>3.5320000000000001E-5</v>
      </c>
      <c r="T270" s="185">
        <f t="shared" ca="1" si="86"/>
        <v>3.5320000000000001E-5</v>
      </c>
      <c r="U270" s="185">
        <f t="shared" ca="1" si="87"/>
        <v>3.5320000000000001E-5</v>
      </c>
      <c r="V270" s="185">
        <f t="shared" ca="1" si="88"/>
        <v>3.5320000000000001E-5</v>
      </c>
      <c r="W270" s="185">
        <f t="shared" ca="1" si="89"/>
        <v>3.5320000000000001E-5</v>
      </c>
    </row>
    <row r="271" spans="1:23" ht="12.75" customHeight="1">
      <c r="A271" s="263" t="s">
        <v>328</v>
      </c>
      <c r="B271" s="242" t="s">
        <v>56</v>
      </c>
      <c r="C271" s="238">
        <v>106</v>
      </c>
      <c r="D271" s="239">
        <v>44</v>
      </c>
      <c r="E271" s="239">
        <v>10</v>
      </c>
      <c r="F271" s="238">
        <v>19000</v>
      </c>
      <c r="G271" s="206"/>
      <c r="H271" s="206"/>
      <c r="I271" s="206"/>
      <c r="J271" s="206"/>
      <c r="K271" s="207"/>
      <c r="L271" s="207"/>
      <c r="M271" s="207"/>
      <c r="N271" s="207"/>
      <c r="O271" s="191">
        <f t="shared" ca="1" si="90"/>
        <v>0</v>
      </c>
      <c r="P271" s="75">
        <f t="shared" si="82"/>
        <v>19000</v>
      </c>
      <c r="Q271" s="76">
        <f t="shared" si="83"/>
        <v>19</v>
      </c>
      <c r="R271" s="185">
        <f t="shared" ca="1" si="84"/>
        <v>3.5320000000000001E-5</v>
      </c>
      <c r="S271" s="185">
        <f t="shared" ca="1" si="85"/>
        <v>3.5320000000000001E-5</v>
      </c>
      <c r="T271" s="185">
        <f t="shared" ca="1" si="86"/>
        <v>3.5320000000000001E-5</v>
      </c>
      <c r="U271" s="185">
        <f t="shared" ca="1" si="87"/>
        <v>3.5320000000000001E-5</v>
      </c>
      <c r="V271" s="185">
        <f t="shared" ca="1" si="88"/>
        <v>3.5320000000000001E-5</v>
      </c>
      <c r="W271" s="185">
        <f t="shared" ca="1" si="89"/>
        <v>3.5320000000000001E-5</v>
      </c>
    </row>
    <row r="272" spans="1:23" ht="12.75" customHeight="1">
      <c r="A272" s="263" t="s">
        <v>329</v>
      </c>
      <c r="B272" s="242" t="s">
        <v>56</v>
      </c>
      <c r="C272" s="238">
        <v>145</v>
      </c>
      <c r="D272" s="239">
        <v>44</v>
      </c>
      <c r="E272" s="239">
        <v>9</v>
      </c>
      <c r="F272" s="238">
        <v>25800</v>
      </c>
      <c r="G272" s="206"/>
      <c r="H272" s="206"/>
      <c r="I272" s="206"/>
      <c r="J272" s="206"/>
      <c r="K272" s="207"/>
      <c r="L272" s="207"/>
      <c r="M272" s="207"/>
      <c r="N272" s="207"/>
      <c r="O272" s="191">
        <f t="shared" ca="1" si="90"/>
        <v>0</v>
      </c>
      <c r="P272" s="75">
        <f t="shared" si="82"/>
        <v>25800</v>
      </c>
      <c r="Q272" s="76">
        <f t="shared" si="83"/>
        <v>25.8</v>
      </c>
      <c r="R272" s="185">
        <f t="shared" ca="1" si="84"/>
        <v>3.5320000000000001E-5</v>
      </c>
      <c r="S272" s="185">
        <f t="shared" ca="1" si="85"/>
        <v>3.5320000000000001E-5</v>
      </c>
      <c r="T272" s="185">
        <f t="shared" ca="1" si="86"/>
        <v>3.5320000000000001E-5</v>
      </c>
      <c r="U272" s="185">
        <f t="shared" ca="1" si="87"/>
        <v>3.5320000000000001E-5</v>
      </c>
      <c r="V272" s="185">
        <f t="shared" ca="1" si="88"/>
        <v>3.5320000000000001E-5</v>
      </c>
      <c r="W272" s="185">
        <f t="shared" ca="1" si="89"/>
        <v>3.5320000000000001E-5</v>
      </c>
    </row>
    <row r="273" spans="1:25" ht="12.75" customHeight="1">
      <c r="A273" s="263" t="s">
        <v>330</v>
      </c>
      <c r="B273" s="242" t="s">
        <v>56</v>
      </c>
      <c r="C273" s="238">
        <v>169</v>
      </c>
      <c r="D273" s="239">
        <v>36</v>
      </c>
      <c r="E273" s="239">
        <v>9</v>
      </c>
      <c r="F273" s="238">
        <v>28000</v>
      </c>
      <c r="G273" s="206"/>
      <c r="H273" s="206"/>
      <c r="I273" s="206"/>
      <c r="J273" s="206"/>
      <c r="K273" s="207"/>
      <c r="L273" s="207"/>
      <c r="M273" s="207"/>
      <c r="N273" s="207"/>
      <c r="O273" s="191">
        <f t="shared" ca="1" si="90"/>
        <v>0</v>
      </c>
      <c r="P273" s="75">
        <f t="shared" si="82"/>
        <v>28000</v>
      </c>
      <c r="Q273" s="76">
        <f t="shared" si="83"/>
        <v>28</v>
      </c>
      <c r="R273" s="185">
        <f t="shared" ca="1" si="84"/>
        <v>3.5320000000000001E-5</v>
      </c>
      <c r="S273" s="185">
        <f t="shared" ca="1" si="85"/>
        <v>3.5320000000000001E-5</v>
      </c>
      <c r="T273" s="185">
        <f t="shared" ca="1" si="86"/>
        <v>3.5320000000000001E-5</v>
      </c>
      <c r="U273" s="185">
        <f t="shared" ca="1" si="87"/>
        <v>3.5320000000000001E-5</v>
      </c>
      <c r="V273" s="185">
        <f t="shared" ca="1" si="88"/>
        <v>3.5320000000000001E-5</v>
      </c>
      <c r="W273" s="185">
        <f t="shared" ca="1" si="89"/>
        <v>3.5320000000000001E-5</v>
      </c>
    </row>
    <row r="274" spans="1:25" ht="12.75" customHeight="1">
      <c r="A274" s="263" t="s">
        <v>331</v>
      </c>
      <c r="B274" s="242" t="s">
        <v>56</v>
      </c>
      <c r="C274" s="238">
        <v>185</v>
      </c>
      <c r="D274" s="239">
        <v>46</v>
      </c>
      <c r="E274" s="239">
        <v>12</v>
      </c>
      <c r="F274" s="238">
        <v>50000</v>
      </c>
      <c r="G274" s="206"/>
      <c r="H274" s="206"/>
      <c r="I274" s="206"/>
      <c r="J274" s="206"/>
      <c r="K274" s="207"/>
      <c r="L274" s="207"/>
      <c r="M274" s="207"/>
      <c r="N274" s="207"/>
      <c r="O274" s="191">
        <f t="shared" ca="1" si="90"/>
        <v>0</v>
      </c>
      <c r="P274" s="75">
        <f t="shared" si="82"/>
        <v>50000</v>
      </c>
      <c r="Q274" s="76">
        <f t="shared" si="83"/>
        <v>50</v>
      </c>
      <c r="R274" s="185">
        <f t="shared" ca="1" si="84"/>
        <v>3.5320000000000001E-5</v>
      </c>
      <c r="S274" s="185">
        <f t="shared" ca="1" si="85"/>
        <v>3.5320000000000001E-5</v>
      </c>
      <c r="T274" s="185">
        <f t="shared" ca="1" si="86"/>
        <v>3.5320000000000001E-5</v>
      </c>
      <c r="U274" s="185">
        <f t="shared" ca="1" si="87"/>
        <v>3.5320000000000001E-5</v>
      </c>
      <c r="V274" s="185">
        <f t="shared" ca="1" si="88"/>
        <v>3.5320000000000001E-5</v>
      </c>
      <c r="W274" s="185">
        <f t="shared" ca="1" si="89"/>
        <v>3.5320000000000001E-5</v>
      </c>
    </row>
    <row r="275" spans="1:25" ht="12.75" customHeight="1">
      <c r="A275" s="292" t="s">
        <v>336</v>
      </c>
      <c r="B275" s="242" t="s">
        <v>56</v>
      </c>
      <c r="C275" s="238">
        <v>1</v>
      </c>
      <c r="D275" s="239">
        <v>1</v>
      </c>
      <c r="E275" s="239">
        <v>1</v>
      </c>
      <c r="F275" s="294">
        <v>40000</v>
      </c>
      <c r="G275" s="206"/>
      <c r="H275" s="206"/>
      <c r="I275" s="206"/>
      <c r="J275" s="206"/>
      <c r="K275" s="207"/>
      <c r="L275" s="207"/>
      <c r="M275" s="207"/>
      <c r="N275" s="207"/>
      <c r="O275" s="191">
        <f t="shared" ref="O275:O281" ca="1" si="91">V275*$O$2</f>
        <v>0</v>
      </c>
      <c r="P275" s="75">
        <f t="shared" ref="P275:P281" si="92">F275+J275+N275</f>
        <v>40000</v>
      </c>
      <c r="Q275" s="76">
        <f t="shared" ref="Q275:Q281" si="93">P275/1000</f>
        <v>40</v>
      </c>
      <c r="R275" s="185">
        <f t="shared" ref="R275:R281" ca="1" si="94">MAX(Q275,O275)</f>
        <v>3.5320000000000001E-5</v>
      </c>
      <c r="S275" s="185">
        <f t="shared" ref="S275:S281" ca="1" si="95">MAX(R275,P275)</f>
        <v>3.5320000000000001E-5</v>
      </c>
      <c r="T275" s="185">
        <f t="shared" ref="T275:T281" ca="1" si="96">MAX(S275,Q275)</f>
        <v>3.5320000000000001E-5</v>
      </c>
      <c r="U275" s="185">
        <f t="shared" ref="U275:U281" ca="1" si="97">MAX(T275,R275)</f>
        <v>3.5320000000000001E-5</v>
      </c>
      <c r="V275" s="185">
        <f t="shared" ref="V275:V281" ca="1" si="98">MAX(U275,S275)</f>
        <v>3.5320000000000001E-5</v>
      </c>
      <c r="W275" s="185">
        <f t="shared" ref="W275:W281" ca="1" si="99">MAX(V275,T275)</f>
        <v>3.5320000000000001E-5</v>
      </c>
    </row>
    <row r="276" spans="1:25" ht="12.75" customHeight="1">
      <c r="A276" s="298" t="s">
        <v>337</v>
      </c>
      <c r="B276" s="242" t="s">
        <v>56</v>
      </c>
      <c r="C276" s="238">
        <v>85</v>
      </c>
      <c r="D276" s="239">
        <v>50</v>
      </c>
      <c r="E276" s="239">
        <v>23</v>
      </c>
      <c r="F276" s="299">
        <v>28200</v>
      </c>
      <c r="G276" s="206"/>
      <c r="H276" s="206"/>
      <c r="I276" s="206"/>
      <c r="J276" s="206"/>
      <c r="K276" s="207"/>
      <c r="L276" s="207"/>
      <c r="M276" s="207"/>
      <c r="N276" s="207"/>
      <c r="O276" s="191">
        <f t="shared" ca="1" si="91"/>
        <v>0</v>
      </c>
      <c r="P276" s="75">
        <f t="shared" si="92"/>
        <v>28200</v>
      </c>
      <c r="Q276" s="76">
        <f t="shared" si="93"/>
        <v>28.2</v>
      </c>
      <c r="R276" s="185">
        <f t="shared" ca="1" si="94"/>
        <v>3.5320000000000001E-5</v>
      </c>
      <c r="S276" s="185">
        <f t="shared" ca="1" si="95"/>
        <v>3.5320000000000001E-5</v>
      </c>
      <c r="T276" s="185">
        <f t="shared" ca="1" si="96"/>
        <v>3.5320000000000001E-5</v>
      </c>
      <c r="U276" s="185">
        <f t="shared" ca="1" si="97"/>
        <v>3.5320000000000001E-5</v>
      </c>
      <c r="V276" s="185">
        <f t="shared" ca="1" si="98"/>
        <v>3.5320000000000001E-5</v>
      </c>
      <c r="W276" s="185">
        <f t="shared" ca="1" si="99"/>
        <v>3.5320000000000001E-5</v>
      </c>
    </row>
    <row r="277" spans="1:25" ht="12.75" customHeight="1">
      <c r="A277" s="298" t="s">
        <v>338</v>
      </c>
      <c r="B277" s="242" t="s">
        <v>56</v>
      </c>
      <c r="C277" s="238">
        <v>85</v>
      </c>
      <c r="D277" s="239">
        <v>37</v>
      </c>
      <c r="E277" s="239">
        <v>15</v>
      </c>
      <c r="F277" s="299">
        <v>16000</v>
      </c>
      <c r="G277" s="206"/>
      <c r="H277" s="206"/>
      <c r="I277" s="206"/>
      <c r="J277" s="206"/>
      <c r="K277" s="207"/>
      <c r="L277" s="207"/>
      <c r="M277" s="207"/>
      <c r="N277" s="207"/>
      <c r="O277" s="191">
        <f t="shared" ca="1" si="91"/>
        <v>0</v>
      </c>
      <c r="P277" s="75">
        <f t="shared" si="92"/>
        <v>16000</v>
      </c>
      <c r="Q277" s="76">
        <f t="shared" si="93"/>
        <v>16</v>
      </c>
      <c r="R277" s="185">
        <f t="shared" ca="1" si="94"/>
        <v>3.5320000000000001E-5</v>
      </c>
      <c r="S277" s="185">
        <f t="shared" ca="1" si="95"/>
        <v>3.5320000000000001E-5</v>
      </c>
      <c r="T277" s="185">
        <f t="shared" ca="1" si="96"/>
        <v>3.5320000000000001E-5</v>
      </c>
      <c r="U277" s="185">
        <f t="shared" ca="1" si="97"/>
        <v>3.5320000000000001E-5</v>
      </c>
      <c r="V277" s="185">
        <f t="shared" ca="1" si="98"/>
        <v>3.5320000000000001E-5</v>
      </c>
      <c r="W277" s="185">
        <f t="shared" ca="1" si="99"/>
        <v>3.5320000000000001E-5</v>
      </c>
    </row>
    <row r="278" spans="1:25" ht="12.75" customHeight="1">
      <c r="A278" s="292" t="s">
        <v>339</v>
      </c>
      <c r="B278" s="242" t="s">
        <v>56</v>
      </c>
      <c r="C278" s="238">
        <v>120</v>
      </c>
      <c r="D278" s="239">
        <v>50</v>
      </c>
      <c r="E278" s="239">
        <v>18</v>
      </c>
      <c r="F278" s="294">
        <v>47000</v>
      </c>
      <c r="G278" s="206"/>
      <c r="H278" s="206"/>
      <c r="I278" s="206"/>
      <c r="J278" s="206"/>
      <c r="K278" s="207"/>
      <c r="L278" s="207"/>
      <c r="M278" s="207"/>
      <c r="N278" s="207"/>
      <c r="O278" s="191">
        <f t="shared" ca="1" si="91"/>
        <v>0</v>
      </c>
      <c r="P278" s="75">
        <f t="shared" si="92"/>
        <v>47000</v>
      </c>
      <c r="Q278" s="76">
        <f t="shared" si="93"/>
        <v>47</v>
      </c>
      <c r="R278" s="185">
        <f t="shared" ca="1" si="94"/>
        <v>3.5320000000000001E-5</v>
      </c>
      <c r="S278" s="185">
        <f t="shared" ca="1" si="95"/>
        <v>3.5320000000000001E-5</v>
      </c>
      <c r="T278" s="185">
        <f t="shared" ca="1" si="96"/>
        <v>3.5320000000000001E-5</v>
      </c>
      <c r="U278" s="185">
        <f t="shared" ca="1" si="97"/>
        <v>3.5320000000000001E-5</v>
      </c>
      <c r="V278" s="185">
        <f t="shared" ca="1" si="98"/>
        <v>3.5320000000000001E-5</v>
      </c>
      <c r="W278" s="185">
        <f t="shared" ca="1" si="99"/>
        <v>3.5320000000000001E-5</v>
      </c>
    </row>
    <row r="279" spans="1:25" ht="12.75" customHeight="1">
      <c r="A279" s="298" t="s">
        <v>381</v>
      </c>
      <c r="B279" s="242" t="s">
        <v>56</v>
      </c>
      <c r="C279" s="238">
        <v>158</v>
      </c>
      <c r="D279" s="239">
        <v>38</v>
      </c>
      <c r="E279" s="239">
        <v>9</v>
      </c>
      <c r="F279" s="299">
        <v>22900</v>
      </c>
      <c r="G279" s="206"/>
      <c r="H279" s="206"/>
      <c r="I279" s="206"/>
      <c r="J279" s="206"/>
      <c r="K279" s="207"/>
      <c r="L279" s="207"/>
      <c r="M279" s="207"/>
      <c r="N279" s="207"/>
      <c r="O279" s="191">
        <f t="shared" ca="1" si="91"/>
        <v>0</v>
      </c>
      <c r="P279" s="75">
        <f t="shared" si="92"/>
        <v>22900</v>
      </c>
      <c r="Q279" s="76">
        <f t="shared" si="93"/>
        <v>22.9</v>
      </c>
      <c r="R279" s="185">
        <f t="shared" ca="1" si="94"/>
        <v>3.5320000000000001E-5</v>
      </c>
      <c r="S279" s="185">
        <f t="shared" ca="1" si="95"/>
        <v>3.5320000000000001E-5</v>
      </c>
      <c r="T279" s="185">
        <f t="shared" ca="1" si="96"/>
        <v>3.5320000000000001E-5</v>
      </c>
      <c r="U279" s="185">
        <f t="shared" ca="1" si="97"/>
        <v>3.5320000000000001E-5</v>
      </c>
      <c r="V279" s="185">
        <f t="shared" ca="1" si="98"/>
        <v>3.5320000000000001E-5</v>
      </c>
      <c r="W279" s="185">
        <f t="shared" ca="1" si="99"/>
        <v>3.5320000000000001E-5</v>
      </c>
    </row>
    <row r="280" spans="1:25" ht="12.75" customHeight="1">
      <c r="A280" s="300" t="s">
        <v>341</v>
      </c>
      <c r="B280" s="242" t="s">
        <v>56</v>
      </c>
      <c r="C280" s="238">
        <v>90</v>
      </c>
      <c r="D280" s="239">
        <v>36</v>
      </c>
      <c r="E280" s="239">
        <v>14</v>
      </c>
      <c r="F280" s="299">
        <v>18000</v>
      </c>
      <c r="G280" s="206"/>
      <c r="H280" s="206"/>
      <c r="I280" s="206"/>
      <c r="J280" s="206"/>
      <c r="K280" s="207"/>
      <c r="L280" s="207"/>
      <c r="M280" s="207"/>
      <c r="N280" s="207"/>
      <c r="O280" s="191">
        <f t="shared" ca="1" si="91"/>
        <v>0</v>
      </c>
      <c r="P280" s="75">
        <f t="shared" si="92"/>
        <v>18000</v>
      </c>
      <c r="Q280" s="76">
        <f t="shared" si="93"/>
        <v>18</v>
      </c>
      <c r="R280" s="185">
        <f t="shared" ca="1" si="94"/>
        <v>3.5320000000000001E-5</v>
      </c>
      <c r="S280" s="185">
        <f t="shared" ca="1" si="95"/>
        <v>3.5320000000000001E-5</v>
      </c>
      <c r="T280" s="185">
        <f t="shared" ca="1" si="96"/>
        <v>3.5320000000000001E-5</v>
      </c>
      <c r="U280" s="185">
        <f t="shared" ca="1" si="97"/>
        <v>3.5320000000000001E-5</v>
      </c>
      <c r="V280" s="185">
        <f t="shared" ca="1" si="98"/>
        <v>3.5320000000000001E-5</v>
      </c>
      <c r="W280" s="185">
        <f t="shared" ca="1" si="99"/>
        <v>3.5320000000000001E-5</v>
      </c>
    </row>
    <row r="281" spans="1:25" ht="12.75" customHeight="1">
      <c r="A281" s="240" t="s">
        <v>342</v>
      </c>
      <c r="B281" s="242" t="s">
        <v>56</v>
      </c>
      <c r="C281" s="238">
        <v>1</v>
      </c>
      <c r="D281" s="239">
        <v>1</v>
      </c>
      <c r="E281" s="239">
        <v>1</v>
      </c>
      <c r="F281" s="299">
        <v>56000</v>
      </c>
      <c r="G281" s="206"/>
      <c r="H281" s="206"/>
      <c r="I281" s="206"/>
      <c r="J281" s="206"/>
      <c r="K281" s="207"/>
      <c r="L281" s="207"/>
      <c r="M281" s="207"/>
      <c r="N281" s="207"/>
      <c r="O281" s="191">
        <f t="shared" ca="1" si="91"/>
        <v>0</v>
      </c>
      <c r="P281" s="75">
        <f t="shared" si="92"/>
        <v>56000</v>
      </c>
      <c r="Q281" s="76">
        <f t="shared" si="93"/>
        <v>56</v>
      </c>
      <c r="R281" s="185">
        <f t="shared" ca="1" si="94"/>
        <v>3.5320000000000001E-5</v>
      </c>
      <c r="S281" s="185">
        <f t="shared" ca="1" si="95"/>
        <v>3.5320000000000001E-5</v>
      </c>
      <c r="T281" s="185">
        <f t="shared" ca="1" si="96"/>
        <v>3.5320000000000001E-5</v>
      </c>
      <c r="U281" s="185">
        <f t="shared" ca="1" si="97"/>
        <v>3.5320000000000001E-5</v>
      </c>
      <c r="V281" s="185">
        <f t="shared" ca="1" si="98"/>
        <v>3.5320000000000001E-5</v>
      </c>
      <c r="W281" s="185">
        <f t="shared" ca="1" si="99"/>
        <v>3.5320000000000001E-5</v>
      </c>
    </row>
    <row r="282" spans="1:25" ht="12.75" customHeight="1">
      <c r="A282" s="306" t="s">
        <v>343</v>
      </c>
      <c r="B282" s="242" t="s">
        <v>56</v>
      </c>
      <c r="C282" s="238">
        <v>1</v>
      </c>
      <c r="D282" s="239">
        <v>1</v>
      </c>
      <c r="E282" s="239">
        <v>1</v>
      </c>
      <c r="F282" s="307">
        <v>5500</v>
      </c>
      <c r="G282" s="206"/>
      <c r="H282" s="206"/>
      <c r="I282" s="206"/>
      <c r="J282" s="206"/>
      <c r="K282" s="207"/>
      <c r="L282" s="207"/>
      <c r="M282" s="207"/>
      <c r="N282" s="207"/>
      <c r="O282" s="191">
        <f t="shared" ref="O282" ca="1" si="100">V282*$O$2</f>
        <v>0</v>
      </c>
      <c r="P282" s="75">
        <f t="shared" ref="P282" si="101">F282+J282+N282</f>
        <v>5500</v>
      </c>
      <c r="Q282" s="76">
        <f t="shared" ref="Q282" si="102">P282/1000</f>
        <v>5.5</v>
      </c>
      <c r="R282" s="185">
        <f t="shared" ref="R282" ca="1" si="103">MAX(Q282,O282)</f>
        <v>3.5320000000000001E-5</v>
      </c>
      <c r="S282" s="185">
        <f t="shared" ref="S282" ca="1" si="104">MAX(R282,P282)</f>
        <v>3.5320000000000001E-5</v>
      </c>
      <c r="T282" s="185">
        <f t="shared" ref="T282" ca="1" si="105">MAX(S282,Q282)</f>
        <v>3.5320000000000001E-5</v>
      </c>
      <c r="U282" s="185">
        <f t="shared" ref="U282" ca="1" si="106">MAX(T282,R282)</f>
        <v>3.5320000000000001E-5</v>
      </c>
      <c r="V282" s="185">
        <f t="shared" ref="V282" ca="1" si="107">MAX(U282,S282)</f>
        <v>3.5320000000000001E-5</v>
      </c>
      <c r="W282" s="185">
        <f t="shared" ref="W282" ca="1" si="108">MAX(V282,T282)</f>
        <v>3.5320000000000001E-5</v>
      </c>
      <c r="X282" s="308"/>
      <c r="Y282" s="309"/>
    </row>
    <row r="283" spans="1:25" ht="12.75" customHeight="1">
      <c r="A283" s="236" t="s">
        <v>344</v>
      </c>
      <c r="B283" s="242" t="s">
        <v>56</v>
      </c>
      <c r="C283" s="238">
        <v>1</v>
      </c>
      <c r="D283" s="239">
        <v>1</v>
      </c>
      <c r="E283" s="239">
        <v>1</v>
      </c>
      <c r="F283" s="307">
        <v>23000</v>
      </c>
      <c r="G283" s="206"/>
      <c r="H283" s="206"/>
      <c r="I283" s="206"/>
      <c r="J283" s="206"/>
      <c r="K283" s="207"/>
      <c r="L283" s="207"/>
      <c r="M283" s="207"/>
      <c r="N283" s="207"/>
      <c r="O283" s="191">
        <f t="shared" ref="O283:O284" ca="1" si="109">V283*$O$2</f>
        <v>0</v>
      </c>
      <c r="P283" s="75">
        <f t="shared" ref="P283:P284" si="110">F283+J283+N283</f>
        <v>23000</v>
      </c>
      <c r="Q283" s="76">
        <f t="shared" ref="Q283:Q284" si="111">P283/1000</f>
        <v>23</v>
      </c>
      <c r="R283" s="185">
        <f t="shared" ref="R283:R284" ca="1" si="112">MAX(Q283,O283)</f>
        <v>3.5320000000000001E-5</v>
      </c>
      <c r="S283" s="185">
        <f t="shared" ref="S283:S284" ca="1" si="113">MAX(R283,P283)</f>
        <v>3.5320000000000001E-5</v>
      </c>
      <c r="T283" s="185">
        <f t="shared" ref="T283:T284" ca="1" si="114">MAX(S283,Q283)</f>
        <v>3.5320000000000001E-5</v>
      </c>
      <c r="U283" s="185">
        <f t="shared" ref="U283:U284" ca="1" si="115">MAX(T283,R283)</f>
        <v>3.5320000000000001E-5</v>
      </c>
      <c r="V283" s="185">
        <f t="shared" ref="V283:V284" ca="1" si="116">MAX(U283,S283)</f>
        <v>3.5320000000000001E-5</v>
      </c>
      <c r="W283" s="185">
        <f t="shared" ref="W283:W284" ca="1" si="117">MAX(V283,T283)</f>
        <v>3.5320000000000001E-5</v>
      </c>
    </row>
    <row r="284" spans="1:25" ht="12.75" customHeight="1">
      <c r="A284" s="240" t="s">
        <v>345</v>
      </c>
      <c r="B284" s="242" t="s">
        <v>56</v>
      </c>
      <c r="C284" s="238">
        <v>1</v>
      </c>
      <c r="D284" s="239">
        <v>1</v>
      </c>
      <c r="E284" s="239">
        <v>1</v>
      </c>
      <c r="F284" s="307">
        <v>30000</v>
      </c>
      <c r="G284" s="206"/>
      <c r="H284" s="206"/>
      <c r="I284" s="206"/>
      <c r="J284" s="206"/>
      <c r="K284" s="207"/>
      <c r="L284" s="207"/>
      <c r="M284" s="207"/>
      <c r="N284" s="207"/>
      <c r="O284" s="191">
        <f t="shared" ca="1" si="109"/>
        <v>0</v>
      </c>
      <c r="P284" s="75">
        <f t="shared" si="110"/>
        <v>30000</v>
      </c>
      <c r="Q284" s="76">
        <f t="shared" si="111"/>
        <v>30</v>
      </c>
      <c r="R284" s="185">
        <f t="shared" ca="1" si="112"/>
        <v>3.5320000000000001E-5</v>
      </c>
      <c r="S284" s="185">
        <f t="shared" ca="1" si="113"/>
        <v>3.5320000000000001E-5</v>
      </c>
      <c r="T284" s="185">
        <f t="shared" ca="1" si="114"/>
        <v>3.5320000000000001E-5</v>
      </c>
      <c r="U284" s="185">
        <f t="shared" ca="1" si="115"/>
        <v>3.5320000000000001E-5</v>
      </c>
      <c r="V284" s="185">
        <f t="shared" ca="1" si="116"/>
        <v>3.5320000000000001E-5</v>
      </c>
      <c r="W284" s="185">
        <f t="shared" ca="1" si="117"/>
        <v>3.5320000000000001E-5</v>
      </c>
    </row>
    <row r="285" spans="1:25" ht="12.75" customHeight="1">
      <c r="A285" s="327" t="s">
        <v>346</v>
      </c>
      <c r="B285" s="242" t="s">
        <v>56</v>
      </c>
      <c r="C285" s="238">
        <v>1</v>
      </c>
      <c r="D285" s="239">
        <v>1</v>
      </c>
      <c r="E285" s="239">
        <v>1</v>
      </c>
      <c r="F285" s="307">
        <v>12500</v>
      </c>
      <c r="G285" s="206"/>
      <c r="H285" s="206"/>
      <c r="I285" s="206"/>
      <c r="J285" s="206"/>
      <c r="K285" s="207"/>
      <c r="L285" s="207"/>
      <c r="M285" s="207"/>
      <c r="N285" s="207"/>
      <c r="O285" s="191">
        <f t="shared" ref="O285" ca="1" si="118">V285*$O$2</f>
        <v>0</v>
      </c>
      <c r="P285" s="75">
        <f t="shared" ref="P285" si="119">F285+J285+N285</f>
        <v>12500</v>
      </c>
      <c r="Q285" s="76">
        <f t="shared" ref="Q285" si="120">P285/1000</f>
        <v>12.5</v>
      </c>
      <c r="R285" s="185">
        <f t="shared" ref="R285" ca="1" si="121">MAX(Q285,O285)</f>
        <v>3.5320000000000001E-5</v>
      </c>
      <c r="S285" s="185">
        <f t="shared" ref="S285" ca="1" si="122">MAX(R285,P285)</f>
        <v>3.5320000000000001E-5</v>
      </c>
      <c r="T285" s="185">
        <f t="shared" ref="T285" ca="1" si="123">MAX(S285,Q285)</f>
        <v>3.5320000000000001E-5</v>
      </c>
      <c r="U285" s="185">
        <f t="shared" ref="U285" ca="1" si="124">MAX(T285,R285)</f>
        <v>3.5320000000000001E-5</v>
      </c>
      <c r="V285" s="185">
        <f t="shared" ref="V285" ca="1" si="125">MAX(U285,S285)</f>
        <v>3.5320000000000001E-5</v>
      </c>
      <c r="W285" s="185">
        <f t="shared" ref="W285" ca="1" si="126">MAX(V285,T285)</f>
        <v>3.5320000000000001E-5</v>
      </c>
    </row>
    <row r="286" spans="1:25" ht="12.75" customHeight="1">
      <c r="A286" s="327" t="s">
        <v>347</v>
      </c>
      <c r="B286" s="242" t="s">
        <v>56</v>
      </c>
      <c r="C286" s="238">
        <v>1</v>
      </c>
      <c r="D286" s="239">
        <v>1</v>
      </c>
      <c r="E286" s="239">
        <v>1</v>
      </c>
      <c r="F286" s="307">
        <v>12000</v>
      </c>
      <c r="G286" s="206"/>
      <c r="H286" s="206"/>
      <c r="I286" s="206"/>
      <c r="J286" s="206"/>
      <c r="K286" s="207"/>
      <c r="L286" s="207"/>
      <c r="M286" s="207"/>
      <c r="N286" s="207"/>
      <c r="O286" s="191">
        <f t="shared" ref="O286:O287" ca="1" si="127">V286*$O$2</f>
        <v>0</v>
      </c>
      <c r="P286" s="75">
        <f t="shared" ref="P286:P287" si="128">F286+J286+N286</f>
        <v>12000</v>
      </c>
      <c r="Q286" s="76">
        <f t="shared" ref="Q286:Q287" si="129">P286/1000</f>
        <v>12</v>
      </c>
      <c r="R286" s="185">
        <f t="shared" ref="R286" ca="1" si="130">MAX(Q286,O286)</f>
        <v>3.5320000000000001E-5</v>
      </c>
      <c r="S286" s="185">
        <f t="shared" ref="S286" ca="1" si="131">MAX(R286,P286)</f>
        <v>3.5320000000000001E-5</v>
      </c>
      <c r="T286" s="185">
        <f t="shared" ref="T286" ca="1" si="132">MAX(S286,Q286)</f>
        <v>3.5320000000000001E-5</v>
      </c>
      <c r="U286" s="185">
        <f t="shared" ref="U286" ca="1" si="133">MAX(T286,R286)</f>
        <v>3.5320000000000001E-5</v>
      </c>
      <c r="V286" s="185">
        <f t="shared" ref="V286" ca="1" si="134">MAX(U286,S286)</f>
        <v>3.5320000000000001E-5</v>
      </c>
      <c r="W286" s="185">
        <f t="shared" ref="W286" ca="1" si="135">MAX(V286,T286)</f>
        <v>3.5320000000000001E-5</v>
      </c>
    </row>
    <row r="287" spans="1:25" ht="12.75" customHeight="1">
      <c r="A287" s="326" t="s">
        <v>348</v>
      </c>
      <c r="B287" s="328" t="s">
        <v>56</v>
      </c>
      <c r="C287" s="238">
        <v>48</v>
      </c>
      <c r="D287" s="239">
        <v>30</v>
      </c>
      <c r="E287" s="239">
        <v>8</v>
      </c>
      <c r="F287" s="301">
        <v>4900</v>
      </c>
      <c r="G287" s="333"/>
      <c r="H287" s="333"/>
      <c r="I287" s="333"/>
      <c r="J287" s="333"/>
      <c r="K287" s="334"/>
      <c r="L287" s="334"/>
      <c r="M287" s="334"/>
      <c r="N287" s="334"/>
      <c r="O287" s="191">
        <f t="shared" ca="1" si="127"/>
        <v>0</v>
      </c>
      <c r="P287" s="75">
        <f t="shared" si="128"/>
        <v>4900</v>
      </c>
      <c r="Q287" s="76">
        <f t="shared" si="129"/>
        <v>4.9000000000000004</v>
      </c>
      <c r="R287" s="185">
        <f t="shared" ref="R287" ca="1" si="136">MAX(Q287,O287)</f>
        <v>3.5320000000000001E-5</v>
      </c>
      <c r="S287" s="185">
        <f t="shared" ref="S287" ca="1" si="137">MAX(R287,P287)</f>
        <v>3.5320000000000001E-5</v>
      </c>
      <c r="T287" s="185">
        <f t="shared" ref="T287" ca="1" si="138">MAX(S287,Q287)</f>
        <v>3.5320000000000001E-5</v>
      </c>
      <c r="U287" s="185">
        <f t="shared" ref="U287" ca="1" si="139">MAX(T287,R287)</f>
        <v>3.5320000000000001E-5</v>
      </c>
      <c r="V287" s="185">
        <f t="shared" ref="V287" ca="1" si="140">MAX(U287,S287)</f>
        <v>3.5320000000000001E-5</v>
      </c>
      <c r="W287" s="185">
        <f t="shared" ref="W287" ca="1" si="141">MAX(V287,T287)</f>
        <v>3.5320000000000001E-5</v>
      </c>
      <c r="X287" s="308"/>
      <c r="Y287" s="309"/>
    </row>
    <row r="288" spans="1:25" ht="12.75" customHeight="1">
      <c r="A288" s="325" t="s">
        <v>349</v>
      </c>
      <c r="B288" s="332" t="s">
        <v>56</v>
      </c>
      <c r="C288" s="238">
        <v>37</v>
      </c>
      <c r="D288" s="239">
        <v>10</v>
      </c>
      <c r="E288" s="239">
        <v>6</v>
      </c>
      <c r="F288" s="307">
        <v>600</v>
      </c>
      <c r="G288" s="333"/>
      <c r="H288" s="333"/>
      <c r="I288" s="333"/>
      <c r="J288" s="333"/>
      <c r="K288" s="334"/>
      <c r="L288" s="334"/>
      <c r="M288" s="334"/>
      <c r="N288" s="334"/>
      <c r="O288" s="191">
        <f t="shared" ref="O288" ca="1" si="142">V288*$O$2</f>
        <v>0</v>
      </c>
      <c r="P288" s="75">
        <f t="shared" ref="P288" si="143">F288+J288+N288</f>
        <v>600</v>
      </c>
      <c r="Q288" s="76">
        <f t="shared" ref="Q288" si="144">P288/1000</f>
        <v>0.6</v>
      </c>
      <c r="R288" s="185">
        <f t="shared" ref="R288" ca="1" si="145">MAX(Q288,O288)</f>
        <v>3.5320000000000001E-5</v>
      </c>
      <c r="S288" s="185">
        <f t="shared" ref="S288" ca="1" si="146">MAX(R288,P288)</f>
        <v>3.5320000000000001E-5</v>
      </c>
      <c r="T288" s="185">
        <f t="shared" ref="T288" ca="1" si="147">MAX(S288,Q288)</f>
        <v>3.5320000000000001E-5</v>
      </c>
      <c r="U288" s="185">
        <f t="shared" ref="U288" ca="1" si="148">MAX(T288,R288)</f>
        <v>3.5320000000000001E-5</v>
      </c>
      <c r="V288" s="185">
        <f t="shared" ref="V288" ca="1" si="149">MAX(U288,S288)</f>
        <v>3.5320000000000001E-5</v>
      </c>
      <c r="W288" s="185">
        <f t="shared" ref="W288" ca="1" si="150">MAX(V288,T288)</f>
        <v>3.5320000000000001E-5</v>
      </c>
    </row>
  </sheetData>
  <autoFilter ref="A1:X284" xr:uid="{00000000-0001-0000-0000-000000000000}"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5" showButton="0"/>
    <filterColumn colId="18" showButton="0"/>
    <filterColumn colId="19" showButton="0"/>
  </autoFilter>
  <mergeCells count="5">
    <mergeCell ref="C1:F1"/>
    <mergeCell ref="G1:J1"/>
    <mergeCell ref="K1:N1"/>
    <mergeCell ref="P1:Q1"/>
    <mergeCell ref="S1:U1"/>
  </mergeCells>
  <conditionalFormatting sqref="A1:A250 A256:A257 A289:A1048576">
    <cfRule type="duplicateValues" dxfId="188" priority="65"/>
  </conditionalFormatting>
  <conditionalFormatting sqref="A251:A252">
    <cfRule type="duplicateValues" dxfId="187" priority="15"/>
    <cfRule type="duplicateValues" dxfId="186" priority="16"/>
  </conditionalFormatting>
  <conditionalFormatting sqref="A255">
    <cfRule type="duplicateValues" dxfId="185" priority="11"/>
    <cfRule type="duplicateValues" dxfId="184" priority="12"/>
  </conditionalFormatting>
  <conditionalFormatting sqref="A258:A262">
    <cfRule type="duplicateValues" dxfId="183" priority="8"/>
    <cfRule type="duplicateValues" dxfId="182" priority="9"/>
  </conditionalFormatting>
  <conditionalFormatting sqref="A283:A284">
    <cfRule type="duplicateValues" dxfId="181" priority="4"/>
    <cfRule type="duplicateValues" dxfId="180" priority="5"/>
  </conditionalFormatting>
  <conditionalFormatting sqref="W1:W254 W289:W1048576">
    <cfRule type="cellIs" dxfId="179" priority="17" operator="lessThan">
      <formula>6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0DE1-ED9E-492F-B600-F03071945CFE}">
  <sheetPr filterMode="1"/>
  <dimension ref="A1:R300"/>
  <sheetViews>
    <sheetView workbookViewId="0">
      <pane ySplit="3" topLeftCell="F123" activePane="bottomLeft" state="frozen"/>
      <selection pane="bottomLeft" activeCell="F300" sqref="F300"/>
    </sheetView>
  </sheetViews>
  <sheetFormatPr defaultColWidth="8.85546875" defaultRowHeight="12.75"/>
  <cols>
    <col min="1" max="1" width="13.85546875" style="125" customWidth="1"/>
    <col min="2" max="2" width="7.28515625" style="59" customWidth="1"/>
    <col min="3" max="5" width="7" style="61" customWidth="1"/>
    <col min="6" max="6" width="10.5703125" style="127" customWidth="1"/>
    <col min="7" max="9" width="8" style="86" customWidth="1"/>
    <col min="10" max="10" width="9.5703125" style="87" bestFit="1" customWidth="1"/>
    <col min="11" max="11" width="8.85546875" style="88" customWidth="1"/>
    <col min="12" max="13" width="6.85546875" style="88" customWidth="1"/>
    <col min="14" max="14" width="10.28515625" style="88" bestFit="1" customWidth="1"/>
    <col min="15" max="15" width="10.140625" style="89" customWidth="1"/>
    <col min="16" max="16" width="9" style="89" customWidth="1"/>
    <col min="17" max="17" width="6.7109375" style="92" customWidth="1"/>
    <col min="18" max="18" width="8.5703125" style="93" customWidth="1"/>
    <col min="19" max="36" width="8.85546875" style="53"/>
    <col min="37" max="38" width="9.140625" style="53" bestFit="1" customWidth="1"/>
    <col min="39" max="39" width="8.85546875" style="53"/>
    <col min="40" max="41" width="9.140625" style="53" bestFit="1" customWidth="1"/>
    <col min="42" max="16384" width="8.85546875" style="53"/>
  </cols>
  <sheetData>
    <row r="1" spans="1:18" ht="12.75" customHeight="1">
      <c r="A1" s="184" t="s">
        <v>0</v>
      </c>
      <c r="B1" s="133"/>
      <c r="C1" s="350" t="s">
        <v>1</v>
      </c>
      <c r="D1" s="350"/>
      <c r="E1" s="350"/>
      <c r="F1" s="350"/>
      <c r="G1" s="351" t="s">
        <v>2</v>
      </c>
      <c r="H1" s="351"/>
      <c r="I1" s="351"/>
      <c r="J1" s="351"/>
      <c r="K1" s="352" t="s">
        <v>3</v>
      </c>
      <c r="L1" s="352"/>
      <c r="M1" s="352"/>
      <c r="N1" s="352"/>
      <c r="O1" s="353" t="s">
        <v>5</v>
      </c>
      <c r="P1" s="353"/>
      <c r="Q1" s="63"/>
      <c r="R1" s="64"/>
    </row>
    <row r="2" spans="1:18">
      <c r="A2" s="132"/>
      <c r="B2" s="133"/>
      <c r="C2" s="136" t="s">
        <v>8</v>
      </c>
      <c r="D2" s="136" t="s">
        <v>9</v>
      </c>
      <c r="E2" s="136" t="s">
        <v>10</v>
      </c>
      <c r="F2" s="137" t="s">
        <v>11</v>
      </c>
      <c r="G2" s="138" t="s">
        <v>8</v>
      </c>
      <c r="H2" s="138" t="s">
        <v>9</v>
      </c>
      <c r="I2" s="138" t="s">
        <v>10</v>
      </c>
      <c r="J2" s="139" t="s">
        <v>11</v>
      </c>
      <c r="K2" s="140" t="s">
        <v>8</v>
      </c>
      <c r="L2" s="140" t="s">
        <v>9</v>
      </c>
      <c r="M2" s="140" t="s">
        <v>10</v>
      </c>
      <c r="N2" s="140" t="s">
        <v>11</v>
      </c>
      <c r="O2" s="134" t="s">
        <v>11</v>
      </c>
      <c r="P2" s="134" t="s">
        <v>14</v>
      </c>
      <c r="Q2" s="142" t="s">
        <v>382</v>
      </c>
      <c r="R2" s="71" t="s">
        <v>383</v>
      </c>
    </row>
    <row r="3" spans="1:18">
      <c r="A3" s="132" t="s">
        <v>19</v>
      </c>
      <c r="B3" s="133" t="s">
        <v>20</v>
      </c>
      <c r="C3" s="136" t="s">
        <v>21</v>
      </c>
      <c r="D3" s="136" t="s">
        <v>22</v>
      </c>
      <c r="E3" s="136" t="s">
        <v>23</v>
      </c>
      <c r="F3" s="137" t="s">
        <v>24</v>
      </c>
      <c r="G3" s="143" t="s">
        <v>21</v>
      </c>
      <c r="H3" s="143" t="s">
        <v>22</v>
      </c>
      <c r="I3" s="143" t="s">
        <v>23</v>
      </c>
      <c r="J3" s="139" t="s">
        <v>24</v>
      </c>
      <c r="K3" s="144" t="s">
        <v>21</v>
      </c>
      <c r="L3" s="144" t="s">
        <v>22</v>
      </c>
      <c r="M3" s="144" t="s">
        <v>23</v>
      </c>
      <c r="N3" s="140" t="s">
        <v>24</v>
      </c>
      <c r="O3" s="134" t="s">
        <v>35</v>
      </c>
      <c r="P3" s="134" t="s">
        <v>34</v>
      </c>
      <c r="Q3" s="142"/>
      <c r="R3" s="71"/>
    </row>
    <row r="4" spans="1:18" ht="12.4" hidden="1" customHeight="1">
      <c r="A4" s="132" t="s">
        <v>43</v>
      </c>
      <c r="B4" s="52" t="str">
        <f>VLOOKUP(A4,'Billing Dimensions'!A:B,2,FALSE)</f>
        <v>MB</v>
      </c>
      <c r="C4" s="136">
        <f>VLOOKUP(A4,'Billing Dimensions'!$A:$N,3,FALSE)-VLOOKUP(A4,'Audit Dimensions'!$A:$N,3,FALSE)</f>
        <v>1</v>
      </c>
      <c r="D4" s="136">
        <f>VLOOKUP(A4,'Billing Dimensions'!$A:$N,4,FALSE)-VLOOKUP(A4,'Audit Dimensions'!$A:$N,4,FALSE)</f>
        <v>0</v>
      </c>
      <c r="E4" s="136">
        <f>VLOOKUP(A4,'Billing Dimensions'!$A:$N,5,FALSE)-VLOOKUP(A4,'Audit Dimensions'!$A:$N,5,FALSE)</f>
        <v>-1</v>
      </c>
      <c r="F4" s="137">
        <f>VLOOKUP(A4,'Billing Dimensions'!$A:$N,6,FALSE)-VLOOKUP(A4,'Audit Dimensions'!$A:$N,6,FALSE)</f>
        <v>-150</v>
      </c>
      <c r="G4" s="138">
        <f>VLOOKUP(A4,'Billing Dimensions'!$A:$N,7,FALSE)-VLOOKUP(A4,'Audit Dimensions'!$A:$N,7,FALSE)</f>
        <v>-4</v>
      </c>
      <c r="H4" s="138">
        <f>VLOOKUP(A4,'Billing Dimensions'!$A:$N,8,FALSE)-VLOOKUP(A4,'Audit Dimensions'!$A:$N,8,FALSE)</f>
        <v>0</v>
      </c>
      <c r="I4" s="138">
        <f>VLOOKUP(A4,'Billing Dimensions'!$A:$N,9,FALSE)-VLOOKUP(A4,'Audit Dimensions'!$A:$N,9,FALSE)</f>
        <v>1</v>
      </c>
      <c r="J4" s="139">
        <f>VLOOKUP(A4,'Billing Dimensions'!$A:$N,10,FALSE)-VLOOKUP(A4,'Audit Dimensions'!$A:$N,10,FALSE)</f>
        <v>-900</v>
      </c>
      <c r="K4" s="140">
        <f>VLOOKUP(A4,'Billing Dimensions'!$A:$N,11,FALSE)-VLOOKUP(A4,'Audit Dimensions'!$A:$N,11,FALSE)</f>
        <v>5</v>
      </c>
      <c r="L4" s="140">
        <f>VLOOKUP(A4,'Billing Dimensions'!$A:$N,12,FALSE)-VLOOKUP(A4,'Audit Dimensions'!$A:$N,12,FALSE)</f>
        <v>3</v>
      </c>
      <c r="M4" s="140">
        <f>VLOOKUP(A4,'Billing Dimensions'!$A:$N,13,FALSE)-VLOOKUP(A4,'Audit Dimensions'!$A:$N,13,FALSE)</f>
        <v>1</v>
      </c>
      <c r="N4" s="140">
        <f>VLOOKUP(A4,'Billing Dimensions'!$A:$N,14,FALSE)-VLOOKUP(A4,'Audit Dimensions'!$A:$N,14,FALSE)</f>
        <v>1650</v>
      </c>
      <c r="O4" s="147">
        <f>VLOOKUP(A4,'Billing Dimensions'!A:Q,16,FALSE)-VLOOKUP('Audit VAR'!A4,'Audit Dimensions'!A:P,16,FALSE)</f>
        <v>600</v>
      </c>
      <c r="P4" s="148">
        <f t="shared" ref="P4:P67" si="0">O4/1000</f>
        <v>0.6</v>
      </c>
      <c r="Q4" s="151">
        <f t="shared" ref="Q4:Q67" si="1">(((C4*D4*E4)+(G4*H4*I4)+(K4*L4*M4))/1000000)*35.32</f>
        <v>5.2979999999999998E-4</v>
      </c>
      <c r="R4" s="80">
        <f t="shared" ref="R4:R67" si="2">P4/Q4</f>
        <v>1132.5028312570782</v>
      </c>
    </row>
    <row r="5" spans="1:18" ht="12.4" hidden="1" customHeight="1">
      <c r="A5" s="132" t="s">
        <v>46</v>
      </c>
      <c r="B5" s="52" t="str">
        <f>VLOOKUP(A5,'Billing Dimensions'!A:B,2,FALSE)</f>
        <v>MB</v>
      </c>
      <c r="C5" s="136">
        <f>VLOOKUP(A5,'Billing Dimensions'!$A:$N,3,FALSE)-VLOOKUP(A5,'Audit Dimensions'!$A:$N,3,FALSE)</f>
        <v>-1</v>
      </c>
      <c r="D5" s="136">
        <f>VLOOKUP(A5,'Billing Dimensions'!$A:$N,4,FALSE)-VLOOKUP(A5,'Audit Dimensions'!$A:$N,4,FALSE)</f>
        <v>-1</v>
      </c>
      <c r="E5" s="136">
        <f>VLOOKUP(A5,'Billing Dimensions'!$A:$N,5,FALSE)-VLOOKUP(A5,'Audit Dimensions'!$A:$N,5,FALSE)</f>
        <v>0</v>
      </c>
      <c r="F5" s="137">
        <f>VLOOKUP(A5,'Billing Dimensions'!$A:$N,6,FALSE)-VLOOKUP(A5,'Audit Dimensions'!$A:$N,6,FALSE)</f>
        <v>-1480</v>
      </c>
      <c r="G5" s="138">
        <f>VLOOKUP(A5,'Billing Dimensions'!$A:$N,7,FALSE)-VLOOKUP(A5,'Audit Dimensions'!$A:$N,7,FALSE)</f>
        <v>-2</v>
      </c>
      <c r="H5" s="138">
        <f>VLOOKUP(A5,'Billing Dimensions'!$A:$N,8,FALSE)-VLOOKUP(A5,'Audit Dimensions'!$A:$N,8,FALSE)</f>
        <v>18</v>
      </c>
      <c r="I5" s="138">
        <f>VLOOKUP(A5,'Billing Dimensions'!$A:$N,9,FALSE)-VLOOKUP(A5,'Audit Dimensions'!$A:$N,9,FALSE)</f>
        <v>1</v>
      </c>
      <c r="J5" s="139">
        <f>VLOOKUP(A5,'Billing Dimensions'!$A:$N,10,FALSE)-VLOOKUP(A5,'Audit Dimensions'!$A:$N,10,FALSE)</f>
        <v>4700</v>
      </c>
      <c r="K5" s="140">
        <f>VLOOKUP(A5,'Billing Dimensions'!$A:$N,11,FALSE)-VLOOKUP(A5,'Audit Dimensions'!$A:$N,11,FALSE)</f>
        <v>2</v>
      </c>
      <c r="L5" s="140">
        <f>VLOOKUP(A5,'Billing Dimensions'!$A:$N,12,FALSE)-VLOOKUP(A5,'Audit Dimensions'!$A:$N,12,FALSE)</f>
        <v>1</v>
      </c>
      <c r="M5" s="140">
        <f>VLOOKUP(A5,'Billing Dimensions'!$A:$N,13,FALSE)-VLOOKUP(A5,'Audit Dimensions'!$A:$N,13,FALSE)</f>
        <v>1</v>
      </c>
      <c r="N5" s="140">
        <f>VLOOKUP(A5,'Billing Dimensions'!$A:$N,14,FALSE)-VLOOKUP(A5,'Audit Dimensions'!$A:$N,14,FALSE)</f>
        <v>-2750</v>
      </c>
      <c r="O5" s="147">
        <f>VLOOKUP(A5,'Billing Dimensions'!A:Q,16,FALSE)-VLOOKUP('Audit VAR'!A5,'Audit Dimensions'!A:P,16,FALSE)</f>
        <v>470</v>
      </c>
      <c r="P5" s="148">
        <f t="shared" si="0"/>
        <v>0.47</v>
      </c>
      <c r="Q5" s="151">
        <f t="shared" si="1"/>
        <v>-1.2008800000000001E-3</v>
      </c>
      <c r="R5" s="80">
        <f t="shared" si="2"/>
        <v>-391.37965491972551</v>
      </c>
    </row>
    <row r="6" spans="1:18" hidden="1">
      <c r="A6" s="132" t="s">
        <v>48</v>
      </c>
      <c r="B6" s="52" t="str">
        <f>VLOOKUP(A6,'Billing Dimensions'!A:B,2,FALSE)</f>
        <v>MB</v>
      </c>
      <c r="C6" s="136">
        <f>VLOOKUP(A6,'Billing Dimensions'!$A:$N,3,FALSE)-VLOOKUP(A6,'Audit Dimensions'!$A:$N,3,FALSE)</f>
        <v>205</v>
      </c>
      <c r="D6" s="136">
        <f>VLOOKUP(A6,'Billing Dimensions'!$A:$N,4,FALSE)-VLOOKUP(A6,'Audit Dimensions'!$A:$N,4,FALSE)</f>
        <v>54</v>
      </c>
      <c r="E6" s="136">
        <f>VLOOKUP(A6,'Billing Dimensions'!$A:$N,5,FALSE)-VLOOKUP(A6,'Audit Dimensions'!$A:$N,5,FALSE)</f>
        <v>10</v>
      </c>
      <c r="F6" s="137">
        <f>VLOOKUP(A6,'Billing Dimensions'!$A:$N,6,FALSE)-VLOOKUP(A6,'Audit Dimensions'!$A:$N,6,FALSE)</f>
        <v>35000</v>
      </c>
      <c r="G6" s="138">
        <f>VLOOKUP(A6,'Billing Dimensions'!$A:$N,7,FALSE)-VLOOKUP(A6,'Audit Dimensions'!$A:$N,7,FALSE)</f>
        <v>105</v>
      </c>
      <c r="H6" s="138">
        <f>VLOOKUP(A6,'Billing Dimensions'!$A:$N,8,FALSE)-VLOOKUP(A6,'Audit Dimensions'!$A:$N,8,FALSE)</f>
        <v>94</v>
      </c>
      <c r="I6" s="138">
        <f>VLOOKUP(A6,'Billing Dimensions'!$A:$N,9,FALSE)-VLOOKUP(A6,'Audit Dimensions'!$A:$N,9,FALSE)</f>
        <v>5</v>
      </c>
      <c r="J6" s="139">
        <f>VLOOKUP(A6,'Billing Dimensions'!$A:$N,10,FALSE)-VLOOKUP(A6,'Audit Dimensions'!$A:$N,10,FALSE)</f>
        <v>35000</v>
      </c>
      <c r="K6" s="140">
        <f>VLOOKUP(A6,'Billing Dimensions'!$A:$N,11,FALSE)-VLOOKUP(A6,'Audit Dimensions'!$A:$N,11,FALSE)</f>
        <v>0</v>
      </c>
      <c r="L6" s="140">
        <f>VLOOKUP(A6,'Billing Dimensions'!$A:$N,12,FALSE)-VLOOKUP(A6,'Audit Dimensions'!$A:$N,12,FALSE)</f>
        <v>0</v>
      </c>
      <c r="M6" s="140">
        <f>VLOOKUP(A6,'Billing Dimensions'!$A:$N,13,FALSE)-VLOOKUP(A6,'Audit Dimensions'!$A:$N,13,FALSE)</f>
        <v>0</v>
      </c>
      <c r="N6" s="140">
        <f>VLOOKUP(A6,'Billing Dimensions'!$A:$N,14,FALSE)-VLOOKUP(A6,'Audit Dimensions'!$A:$N,14,FALSE)</f>
        <v>0</v>
      </c>
      <c r="O6" s="147">
        <f>VLOOKUP(A6,'Billing Dimensions'!A:Q,16,FALSE)-VLOOKUP('Audit VAR'!A6,'Audit Dimensions'!A:P,16,FALSE)</f>
        <v>70000</v>
      </c>
      <c r="P6" s="148">
        <f t="shared" si="0"/>
        <v>70</v>
      </c>
      <c r="Q6" s="151">
        <f t="shared" si="1"/>
        <v>5.6529660000000002</v>
      </c>
      <c r="R6" s="80">
        <f t="shared" si="2"/>
        <v>12.382880066853399</v>
      </c>
    </row>
    <row r="7" spans="1:18" hidden="1">
      <c r="A7" s="132" t="s">
        <v>49</v>
      </c>
      <c r="B7" s="52" t="str">
        <f>VLOOKUP(A7,'Billing Dimensions'!A:B,2,FALSE)</f>
        <v>MB</v>
      </c>
      <c r="C7" s="136">
        <f>VLOOKUP(A7,'Billing Dimensions'!$A:$N,3,FALSE)-VLOOKUP(A7,'Audit Dimensions'!$A:$N,3,FALSE)</f>
        <v>1</v>
      </c>
      <c r="D7" s="136">
        <f>VLOOKUP(A7,'Billing Dimensions'!$A:$N,4,FALSE)-VLOOKUP(A7,'Audit Dimensions'!$A:$N,4,FALSE)</f>
        <v>-2</v>
      </c>
      <c r="E7" s="136">
        <f>VLOOKUP(A7,'Billing Dimensions'!$A:$N,5,FALSE)-VLOOKUP(A7,'Audit Dimensions'!$A:$N,5,FALSE)</f>
        <v>1</v>
      </c>
      <c r="F7" s="137">
        <f>VLOOKUP(A7,'Billing Dimensions'!$A:$N,6,FALSE)-VLOOKUP(A7,'Audit Dimensions'!$A:$N,6,FALSE)</f>
        <v>-1300</v>
      </c>
      <c r="G7" s="138">
        <f>VLOOKUP(A7,'Billing Dimensions'!$A:$N,7,FALSE)-VLOOKUP(A7,'Audit Dimensions'!$A:$N,7,FALSE)</f>
        <v>43</v>
      </c>
      <c r="H7" s="138">
        <f>VLOOKUP(A7,'Billing Dimensions'!$A:$N,8,FALSE)-VLOOKUP(A7,'Audit Dimensions'!$A:$N,8,FALSE)</f>
        <v>0</v>
      </c>
      <c r="I7" s="138">
        <f>VLOOKUP(A7,'Billing Dimensions'!$A:$N,9,FALSE)-VLOOKUP(A7,'Audit Dimensions'!$A:$N,9,FALSE)</f>
        <v>0</v>
      </c>
      <c r="J7" s="139">
        <f>VLOOKUP(A7,'Billing Dimensions'!$A:$N,10,FALSE)-VLOOKUP(A7,'Audit Dimensions'!$A:$N,10,FALSE)</f>
        <v>-900</v>
      </c>
      <c r="K7" s="140">
        <f>VLOOKUP(A7,'Billing Dimensions'!$A:$N,11,FALSE)-VLOOKUP(A7,'Audit Dimensions'!$A:$N,11,FALSE)</f>
        <v>1</v>
      </c>
      <c r="L7" s="140">
        <f>VLOOKUP(A7,'Billing Dimensions'!$A:$N,12,FALSE)-VLOOKUP(A7,'Audit Dimensions'!$A:$N,12,FALSE)</f>
        <v>17</v>
      </c>
      <c r="M7" s="140">
        <f>VLOOKUP(A7,'Billing Dimensions'!$A:$N,13,FALSE)-VLOOKUP(A7,'Audit Dimensions'!$A:$N,13,FALSE)</f>
        <v>0</v>
      </c>
      <c r="N7" s="140">
        <f>VLOOKUP(A7,'Billing Dimensions'!$A:$N,14,FALSE)-VLOOKUP(A7,'Audit Dimensions'!$A:$N,14,FALSE)</f>
        <v>1340</v>
      </c>
      <c r="O7" s="147">
        <f>VLOOKUP(A7,'Billing Dimensions'!A:Q,16,FALSE)-VLOOKUP('Audit VAR'!A7,'Audit Dimensions'!A:P,16,FALSE)</f>
        <v>-860</v>
      </c>
      <c r="P7" s="148">
        <f t="shared" si="0"/>
        <v>-0.86</v>
      </c>
      <c r="Q7" s="151">
        <f t="shared" si="1"/>
        <v>-7.0640000000000001E-5</v>
      </c>
      <c r="R7" s="80">
        <f t="shared" si="2"/>
        <v>12174.405436013589</v>
      </c>
    </row>
    <row r="8" spans="1:18" hidden="1">
      <c r="A8" s="132" t="s">
        <v>50</v>
      </c>
      <c r="B8" s="52" t="str">
        <f>VLOOKUP(A8,'Billing Dimensions'!A:B,2,FALSE)</f>
        <v>MB</v>
      </c>
      <c r="C8" s="136">
        <f>VLOOKUP(A8,'Billing Dimensions'!$A:$N,3,FALSE)-VLOOKUP(A8,'Audit Dimensions'!$A:$N,3,FALSE)</f>
        <v>206</v>
      </c>
      <c r="D8" s="136">
        <f>VLOOKUP(A8,'Billing Dimensions'!$A:$N,4,FALSE)-VLOOKUP(A8,'Audit Dimensions'!$A:$N,4,FALSE)</f>
        <v>50</v>
      </c>
      <c r="E8" s="136">
        <f>VLOOKUP(A8,'Billing Dimensions'!$A:$N,5,FALSE)-VLOOKUP(A8,'Audit Dimensions'!$A:$N,5,FALSE)</f>
        <v>10</v>
      </c>
      <c r="F8" s="137">
        <f>VLOOKUP(A8,'Billing Dimensions'!$A:$N,6,FALSE)-VLOOKUP(A8,'Audit Dimensions'!$A:$N,6,FALSE)</f>
        <v>46000</v>
      </c>
      <c r="G8" s="138">
        <f>VLOOKUP(A8,'Billing Dimensions'!$A:$N,7,FALSE)-VLOOKUP(A8,'Audit Dimensions'!$A:$N,7,FALSE)</f>
        <v>102</v>
      </c>
      <c r="H8" s="138">
        <f>VLOOKUP(A8,'Billing Dimensions'!$A:$N,8,FALSE)-VLOOKUP(A8,'Audit Dimensions'!$A:$N,8,FALSE)</f>
        <v>79</v>
      </c>
      <c r="I8" s="138">
        <f>VLOOKUP(A8,'Billing Dimensions'!$A:$N,9,FALSE)-VLOOKUP(A8,'Audit Dimensions'!$A:$N,9,FALSE)</f>
        <v>5</v>
      </c>
      <c r="J8" s="139">
        <f>VLOOKUP(A8,'Billing Dimensions'!$A:$N,10,FALSE)-VLOOKUP(A8,'Audit Dimensions'!$A:$N,10,FALSE)</f>
        <v>24000</v>
      </c>
      <c r="K8" s="140">
        <f>VLOOKUP(A8,'Billing Dimensions'!$A:$N,11,FALSE)-VLOOKUP(A8,'Audit Dimensions'!$A:$N,11,FALSE)</f>
        <v>0</v>
      </c>
      <c r="L8" s="140">
        <f>VLOOKUP(A8,'Billing Dimensions'!$A:$N,12,FALSE)-VLOOKUP(A8,'Audit Dimensions'!$A:$N,12,FALSE)</f>
        <v>0</v>
      </c>
      <c r="M8" s="140">
        <f>VLOOKUP(A8,'Billing Dimensions'!$A:$N,13,FALSE)-VLOOKUP(A8,'Audit Dimensions'!$A:$N,13,FALSE)</f>
        <v>0</v>
      </c>
      <c r="N8" s="140">
        <f>VLOOKUP(A8,'Billing Dimensions'!$A:$N,14,FALSE)-VLOOKUP(A8,'Audit Dimensions'!$A:$N,14,FALSE)</f>
        <v>0</v>
      </c>
      <c r="O8" s="147">
        <f>VLOOKUP(A8,'Billing Dimensions'!A:Q,16,FALSE)-VLOOKUP('Audit VAR'!A8,'Audit Dimensions'!A:P,16,FALSE)</f>
        <v>70000</v>
      </c>
      <c r="P8" s="148">
        <f t="shared" si="0"/>
        <v>70</v>
      </c>
      <c r="Q8" s="151">
        <f t="shared" si="1"/>
        <v>5.0610027999999998</v>
      </c>
      <c r="R8" s="80">
        <f t="shared" si="2"/>
        <v>13.83125099239226</v>
      </c>
    </row>
    <row r="9" spans="1:18" hidden="1">
      <c r="A9" s="132" t="s">
        <v>51</v>
      </c>
      <c r="B9" s="52" t="str">
        <f>VLOOKUP(A9,'Billing Dimensions'!A:B,2,FALSE)</f>
        <v>MB</v>
      </c>
      <c r="C9" s="136">
        <f>VLOOKUP(A9,'Billing Dimensions'!$A:$N,3,FALSE)-VLOOKUP(A9,'Audit Dimensions'!$A:$N,3,FALSE)</f>
        <v>-6</v>
      </c>
      <c r="D9" s="136">
        <f>VLOOKUP(A9,'Billing Dimensions'!$A:$N,4,FALSE)-VLOOKUP(A9,'Audit Dimensions'!$A:$N,4,FALSE)</f>
        <v>-9</v>
      </c>
      <c r="E9" s="136">
        <f>VLOOKUP(A9,'Billing Dimensions'!$A:$N,5,FALSE)-VLOOKUP(A9,'Audit Dimensions'!$A:$N,5,FALSE)</f>
        <v>2</v>
      </c>
      <c r="F9" s="137">
        <f>VLOOKUP(A9,'Billing Dimensions'!$A:$N,6,FALSE)-VLOOKUP(A9,'Audit Dimensions'!$A:$N,6,FALSE)</f>
        <v>490</v>
      </c>
      <c r="G9" s="138">
        <f>VLOOKUP(A9,'Billing Dimensions'!$A:$N,7,FALSE)-VLOOKUP(A9,'Audit Dimensions'!$A:$N,7,FALSE)</f>
        <v>-1</v>
      </c>
      <c r="H9" s="138">
        <f>VLOOKUP(A9,'Billing Dimensions'!$A:$N,8,FALSE)-VLOOKUP(A9,'Audit Dimensions'!$A:$N,8,FALSE)</f>
        <v>0</v>
      </c>
      <c r="I9" s="138">
        <f>VLOOKUP(A9,'Billing Dimensions'!$A:$N,9,FALSE)-VLOOKUP(A9,'Audit Dimensions'!$A:$N,9,FALSE)</f>
        <v>0</v>
      </c>
      <c r="J9" s="139">
        <f>VLOOKUP(A9,'Billing Dimensions'!$A:$N,10,FALSE)-VLOOKUP(A9,'Audit Dimensions'!$A:$N,10,FALSE)</f>
        <v>-1750</v>
      </c>
      <c r="K9" s="140">
        <f>VLOOKUP(A9,'Billing Dimensions'!$A:$N,11,FALSE)-VLOOKUP(A9,'Audit Dimensions'!$A:$N,11,FALSE)</f>
        <v>3</v>
      </c>
      <c r="L9" s="140">
        <f>VLOOKUP(A9,'Billing Dimensions'!$A:$N,12,FALSE)-VLOOKUP(A9,'Audit Dimensions'!$A:$N,12,FALSE)</f>
        <v>2</v>
      </c>
      <c r="M9" s="140">
        <f>VLOOKUP(A9,'Billing Dimensions'!$A:$N,13,FALSE)-VLOOKUP(A9,'Audit Dimensions'!$A:$N,13,FALSE)</f>
        <v>1</v>
      </c>
      <c r="N9" s="140">
        <f>VLOOKUP(A9,'Billing Dimensions'!$A:$N,14,FALSE)-VLOOKUP(A9,'Audit Dimensions'!$A:$N,14,FALSE)</f>
        <v>400</v>
      </c>
      <c r="O9" s="147">
        <f>VLOOKUP(A9,'Billing Dimensions'!A:Q,16,FALSE)-VLOOKUP('Audit VAR'!A9,'Audit Dimensions'!A:P,16,FALSE)</f>
        <v>-860</v>
      </c>
      <c r="P9" s="148">
        <f t="shared" si="0"/>
        <v>-0.86</v>
      </c>
      <c r="Q9" s="151">
        <f t="shared" si="1"/>
        <v>4.0264800000000007E-3</v>
      </c>
      <c r="R9" s="80">
        <f t="shared" si="2"/>
        <v>-213.58606028094013</v>
      </c>
    </row>
    <row r="10" spans="1:18" hidden="1">
      <c r="A10" s="157" t="s">
        <v>52</v>
      </c>
      <c r="B10" s="52" t="str">
        <f>VLOOKUP(A10,'Billing Dimensions'!A:B,2,FALSE)</f>
        <v>MB</v>
      </c>
      <c r="C10" s="136">
        <f>VLOOKUP(A10,'Billing Dimensions'!$A:$N,3,FALSE)-VLOOKUP(A10,'Audit Dimensions'!$A:$N,3,FALSE)</f>
        <v>-2</v>
      </c>
      <c r="D10" s="136">
        <f>VLOOKUP(A10,'Billing Dimensions'!$A:$N,4,FALSE)-VLOOKUP(A10,'Audit Dimensions'!$A:$N,4,FALSE)</f>
        <v>0</v>
      </c>
      <c r="E10" s="136">
        <f>VLOOKUP(A10,'Billing Dimensions'!$A:$N,5,FALSE)-VLOOKUP(A10,'Audit Dimensions'!$A:$N,5,FALSE)</f>
        <v>0</v>
      </c>
      <c r="F10" s="137">
        <f>VLOOKUP(A10,'Billing Dimensions'!$A:$N,6,FALSE)-VLOOKUP(A10,'Audit Dimensions'!$A:$N,6,FALSE)</f>
        <v>-2550</v>
      </c>
      <c r="G10" s="138">
        <f>VLOOKUP(A10,'Billing Dimensions'!$A:$N,7,FALSE)-VLOOKUP(A10,'Audit Dimensions'!$A:$N,7,FALSE)</f>
        <v>1</v>
      </c>
      <c r="H10" s="138">
        <f>VLOOKUP(A10,'Billing Dimensions'!$A:$N,8,FALSE)-VLOOKUP(A10,'Audit Dimensions'!$A:$N,8,FALSE)</f>
        <v>-1</v>
      </c>
      <c r="I10" s="138">
        <f>VLOOKUP(A10,'Billing Dimensions'!$A:$N,9,FALSE)-VLOOKUP(A10,'Audit Dimensions'!$A:$N,9,FALSE)</f>
        <v>0</v>
      </c>
      <c r="J10" s="139">
        <f>VLOOKUP(A10,'Billing Dimensions'!$A:$N,10,FALSE)-VLOOKUP(A10,'Audit Dimensions'!$A:$N,10,FALSE)</f>
        <v>300</v>
      </c>
      <c r="K10" s="140">
        <f>VLOOKUP(A10,'Billing Dimensions'!$A:$N,11,FALSE)-VLOOKUP(A10,'Audit Dimensions'!$A:$N,11,FALSE)</f>
        <v>0</v>
      </c>
      <c r="L10" s="140">
        <f>VLOOKUP(A10,'Billing Dimensions'!$A:$N,12,FALSE)-VLOOKUP(A10,'Audit Dimensions'!$A:$N,12,FALSE)</f>
        <v>0</v>
      </c>
      <c r="M10" s="140">
        <f>VLOOKUP(A10,'Billing Dimensions'!$A:$N,13,FALSE)-VLOOKUP(A10,'Audit Dimensions'!$A:$N,13,FALSE)</f>
        <v>0</v>
      </c>
      <c r="N10" s="140">
        <f>VLOOKUP(A10,'Billing Dimensions'!$A:$N,14,FALSE)-VLOOKUP(A10,'Audit Dimensions'!$A:$N,14,FALSE)</f>
        <v>0</v>
      </c>
      <c r="O10" s="147">
        <f>VLOOKUP(A10,'Billing Dimensions'!A:Q,16,FALSE)-VLOOKUP('Audit VAR'!A10,'Audit Dimensions'!A:P,16,FALSE)</f>
        <v>-2250</v>
      </c>
      <c r="P10" s="148">
        <f t="shared" si="0"/>
        <v>-2.25</v>
      </c>
      <c r="Q10" s="151">
        <f t="shared" si="1"/>
        <v>0</v>
      </c>
      <c r="R10" s="80" t="e">
        <f t="shared" si="2"/>
        <v>#DIV/0!</v>
      </c>
    </row>
    <row r="11" spans="1:18" ht="12.4" hidden="1" customHeight="1">
      <c r="A11" s="132" t="s">
        <v>57</v>
      </c>
      <c r="B11" s="52" t="str">
        <f>VLOOKUP(A11,'Billing Dimensions'!A:B,2,FALSE)</f>
        <v>MB</v>
      </c>
      <c r="C11" s="136">
        <f>VLOOKUP(A11,'Billing Dimensions'!$A:$N,3,FALSE)-VLOOKUP(A11,'Audit Dimensions'!$A:$N,3,FALSE)</f>
        <v>-1</v>
      </c>
      <c r="D11" s="136">
        <f>VLOOKUP(A11,'Billing Dimensions'!$A:$N,4,FALSE)-VLOOKUP(A11,'Audit Dimensions'!$A:$N,4,FALSE)</f>
        <v>0</v>
      </c>
      <c r="E11" s="136">
        <f>VLOOKUP(A11,'Billing Dimensions'!$A:$N,5,FALSE)-VLOOKUP(A11,'Audit Dimensions'!$A:$N,5,FALSE)</f>
        <v>0</v>
      </c>
      <c r="F11" s="137">
        <f>VLOOKUP(A11,'Billing Dimensions'!$A:$N,6,FALSE)-VLOOKUP(A11,'Audit Dimensions'!$A:$N,6,FALSE)</f>
        <v>-800</v>
      </c>
      <c r="G11" s="138">
        <f>VLOOKUP(A11,'Billing Dimensions'!$A:$N,7,FALSE)-VLOOKUP(A11,'Audit Dimensions'!$A:$N,7,FALSE)</f>
        <v>-1</v>
      </c>
      <c r="H11" s="138">
        <f>VLOOKUP(A11,'Billing Dimensions'!$A:$N,8,FALSE)-VLOOKUP(A11,'Audit Dimensions'!$A:$N,8,FALSE)</f>
        <v>-2</v>
      </c>
      <c r="I11" s="138">
        <f>VLOOKUP(A11,'Billing Dimensions'!$A:$N,9,FALSE)-VLOOKUP(A11,'Audit Dimensions'!$A:$N,9,FALSE)</f>
        <v>0</v>
      </c>
      <c r="J11" s="139">
        <f>VLOOKUP(A11,'Billing Dimensions'!$A:$N,10,FALSE)-VLOOKUP(A11,'Audit Dimensions'!$A:$N,10,FALSE)</f>
        <v>-2250</v>
      </c>
      <c r="K11" s="140">
        <f>VLOOKUP(A11,'Billing Dimensions'!$A:$N,11,FALSE)-VLOOKUP(A11,'Audit Dimensions'!$A:$N,11,FALSE)</f>
        <v>0</v>
      </c>
      <c r="L11" s="140">
        <f>VLOOKUP(A11,'Billing Dimensions'!$A:$N,12,FALSE)-VLOOKUP(A11,'Audit Dimensions'!$A:$N,12,FALSE)</f>
        <v>0</v>
      </c>
      <c r="M11" s="140">
        <f>VLOOKUP(A11,'Billing Dimensions'!$A:$N,13,FALSE)-VLOOKUP(A11,'Audit Dimensions'!$A:$N,13,FALSE)</f>
        <v>0</v>
      </c>
      <c r="N11" s="140">
        <f>VLOOKUP(A11,'Billing Dimensions'!$A:$N,14,FALSE)-VLOOKUP(A11,'Audit Dimensions'!$A:$N,14,FALSE)</f>
        <v>0</v>
      </c>
      <c r="O11" s="147">
        <f>VLOOKUP(A11,'Billing Dimensions'!A:Q,16,FALSE)-VLOOKUP('Audit VAR'!A11,'Audit Dimensions'!A:P,16,FALSE)</f>
        <v>-3050</v>
      </c>
      <c r="P11" s="148">
        <f t="shared" si="0"/>
        <v>-3.05</v>
      </c>
      <c r="Q11" s="151">
        <f t="shared" si="1"/>
        <v>0</v>
      </c>
      <c r="R11" s="80" t="e">
        <f t="shared" si="2"/>
        <v>#DIV/0!</v>
      </c>
    </row>
    <row r="12" spans="1:18" ht="12.4" hidden="1" customHeight="1">
      <c r="A12" s="132" t="s">
        <v>58</v>
      </c>
      <c r="B12" s="52" t="str">
        <f>VLOOKUP(A12,'Billing Dimensions'!A:B,2,FALSE)</f>
        <v>MB</v>
      </c>
      <c r="C12" s="136">
        <f>VLOOKUP(A12,'Billing Dimensions'!$A:$N,3,FALSE)-VLOOKUP(A12,'Audit Dimensions'!$A:$N,3,FALSE)</f>
        <v>-2</v>
      </c>
      <c r="D12" s="136">
        <f>VLOOKUP(A12,'Billing Dimensions'!$A:$N,4,FALSE)-VLOOKUP(A12,'Audit Dimensions'!$A:$N,4,FALSE)</f>
        <v>-1</v>
      </c>
      <c r="E12" s="136">
        <f>VLOOKUP(A12,'Billing Dimensions'!$A:$N,5,FALSE)-VLOOKUP(A12,'Audit Dimensions'!$A:$N,5,FALSE)</f>
        <v>0</v>
      </c>
      <c r="F12" s="137">
        <f>VLOOKUP(A12,'Billing Dimensions'!$A:$N,6,FALSE)-VLOOKUP(A12,'Audit Dimensions'!$A:$N,6,FALSE)</f>
        <v>-650</v>
      </c>
      <c r="G12" s="138">
        <f>VLOOKUP(A12,'Billing Dimensions'!$A:$N,7,FALSE)-VLOOKUP(A12,'Audit Dimensions'!$A:$N,7,FALSE)</f>
        <v>-3</v>
      </c>
      <c r="H12" s="138">
        <f>VLOOKUP(A12,'Billing Dimensions'!$A:$N,8,FALSE)-VLOOKUP(A12,'Audit Dimensions'!$A:$N,8,FALSE)</f>
        <v>4</v>
      </c>
      <c r="I12" s="138">
        <f>VLOOKUP(A12,'Billing Dimensions'!$A:$N,9,FALSE)-VLOOKUP(A12,'Audit Dimensions'!$A:$N,9,FALSE)</f>
        <v>0</v>
      </c>
      <c r="J12" s="139">
        <f>VLOOKUP(A12,'Billing Dimensions'!$A:$N,10,FALSE)-VLOOKUP(A12,'Audit Dimensions'!$A:$N,10,FALSE)</f>
        <v>-30900</v>
      </c>
      <c r="K12" s="140">
        <f>VLOOKUP(A12,'Billing Dimensions'!$A:$N,11,FALSE)-VLOOKUP(A12,'Audit Dimensions'!$A:$N,11,FALSE)</f>
        <v>0</v>
      </c>
      <c r="L12" s="140">
        <f>VLOOKUP(A12,'Billing Dimensions'!$A:$N,12,FALSE)-VLOOKUP(A12,'Audit Dimensions'!$A:$N,12,FALSE)</f>
        <v>0</v>
      </c>
      <c r="M12" s="140">
        <f>VLOOKUP(A12,'Billing Dimensions'!$A:$N,13,FALSE)-VLOOKUP(A12,'Audit Dimensions'!$A:$N,13,FALSE)</f>
        <v>0</v>
      </c>
      <c r="N12" s="140">
        <f>VLOOKUP(A12,'Billing Dimensions'!$A:$N,14,FALSE)-VLOOKUP(A12,'Audit Dimensions'!$A:$N,14,FALSE)</f>
        <v>0</v>
      </c>
      <c r="O12" s="147">
        <f>VLOOKUP(A12,'Billing Dimensions'!A:Q,16,FALSE)-VLOOKUP('Audit VAR'!A12,'Audit Dimensions'!A:P,16,FALSE)</f>
        <v>-31550</v>
      </c>
      <c r="P12" s="148">
        <f t="shared" si="0"/>
        <v>-31.55</v>
      </c>
      <c r="Q12" s="151">
        <f t="shared" si="1"/>
        <v>0</v>
      </c>
      <c r="R12" s="80" t="e">
        <f t="shared" si="2"/>
        <v>#DIV/0!</v>
      </c>
    </row>
    <row r="13" spans="1:18" hidden="1">
      <c r="A13" s="132" t="s">
        <v>59</v>
      </c>
      <c r="B13" s="52" t="str">
        <f>VLOOKUP(A13,'Billing Dimensions'!A:B,2,FALSE)</f>
        <v>MB</v>
      </c>
      <c r="C13" s="136">
        <f>VLOOKUP(A13,'Billing Dimensions'!$A:$N,3,FALSE)-VLOOKUP(A13,'Audit Dimensions'!$A:$N,3,FALSE)</f>
        <v>79</v>
      </c>
      <c r="D13" s="136">
        <f>VLOOKUP(A13,'Billing Dimensions'!$A:$N,4,FALSE)-VLOOKUP(A13,'Audit Dimensions'!$A:$N,4,FALSE)</f>
        <v>-1</v>
      </c>
      <c r="E13" s="136">
        <f>VLOOKUP(A13,'Billing Dimensions'!$A:$N,5,FALSE)-VLOOKUP(A13,'Audit Dimensions'!$A:$N,5,FALSE)</f>
        <v>1</v>
      </c>
      <c r="F13" s="137">
        <f>VLOOKUP(A13,'Billing Dimensions'!$A:$N,6,FALSE)-VLOOKUP(A13,'Audit Dimensions'!$A:$N,6,FALSE)</f>
        <v>-2540</v>
      </c>
      <c r="G13" s="138">
        <f>VLOOKUP(A13,'Billing Dimensions'!$A:$N,7,FALSE)-VLOOKUP(A13,'Audit Dimensions'!$A:$N,7,FALSE)</f>
        <v>2</v>
      </c>
      <c r="H13" s="138">
        <f>VLOOKUP(A13,'Billing Dimensions'!$A:$N,8,FALSE)-VLOOKUP(A13,'Audit Dimensions'!$A:$N,8,FALSE)</f>
        <v>-2</v>
      </c>
      <c r="I13" s="138">
        <f>VLOOKUP(A13,'Billing Dimensions'!$A:$N,9,FALSE)-VLOOKUP(A13,'Audit Dimensions'!$A:$N,9,FALSE)</f>
        <v>0</v>
      </c>
      <c r="J13" s="139">
        <f>VLOOKUP(A13,'Billing Dimensions'!$A:$N,10,FALSE)-VLOOKUP(A13,'Audit Dimensions'!$A:$N,10,FALSE)</f>
        <v>1100</v>
      </c>
      <c r="K13" s="140">
        <f>VLOOKUP(A13,'Billing Dimensions'!$A:$N,11,FALSE)-VLOOKUP(A13,'Audit Dimensions'!$A:$N,11,FALSE)</f>
        <v>0</v>
      </c>
      <c r="L13" s="140">
        <f>VLOOKUP(A13,'Billing Dimensions'!$A:$N,12,FALSE)-VLOOKUP(A13,'Audit Dimensions'!$A:$N,12,FALSE)</f>
        <v>0</v>
      </c>
      <c r="M13" s="140">
        <f>VLOOKUP(A13,'Billing Dimensions'!$A:$N,13,FALSE)-VLOOKUP(A13,'Audit Dimensions'!$A:$N,13,FALSE)</f>
        <v>0</v>
      </c>
      <c r="N13" s="140">
        <f>VLOOKUP(A13,'Billing Dimensions'!$A:$N,14,FALSE)-VLOOKUP(A13,'Audit Dimensions'!$A:$N,14,FALSE)</f>
        <v>0</v>
      </c>
      <c r="O13" s="147">
        <f>VLOOKUP(A13,'Billing Dimensions'!A:Q,16,FALSE)-VLOOKUP('Audit VAR'!A13,'Audit Dimensions'!A:P,16,FALSE)</f>
        <v>-1440</v>
      </c>
      <c r="P13" s="148">
        <f t="shared" si="0"/>
        <v>-1.44</v>
      </c>
      <c r="Q13" s="151">
        <f t="shared" si="1"/>
        <v>-2.79028E-3</v>
      </c>
      <c r="R13" s="80">
        <f t="shared" si="2"/>
        <v>516.07723956018754</v>
      </c>
    </row>
    <row r="14" spans="1:18" hidden="1">
      <c r="A14" s="159" t="s">
        <v>55</v>
      </c>
      <c r="B14" s="52" t="str">
        <f>VLOOKUP(A14,'Billing Dimensions'!A:B,2,FALSE)</f>
        <v>SB</v>
      </c>
      <c r="C14" s="136">
        <f>VLOOKUP(A14,'Billing Dimensions'!$A:$N,3,FALSE)-VLOOKUP(A14,'Audit Dimensions'!$A:$N,3,FALSE)</f>
        <v>0</v>
      </c>
      <c r="D14" s="136">
        <f>VLOOKUP(A14,'Billing Dimensions'!$A:$N,4,FALSE)-VLOOKUP(A14,'Audit Dimensions'!$A:$N,4,FALSE)</f>
        <v>0</v>
      </c>
      <c r="E14" s="136">
        <f>VLOOKUP(A14,'Billing Dimensions'!$A:$N,5,FALSE)-VLOOKUP(A14,'Audit Dimensions'!$A:$N,5,FALSE)</f>
        <v>0</v>
      </c>
      <c r="F14" s="137">
        <f>VLOOKUP(A14,'Billing Dimensions'!$A:$N,6,FALSE)-VLOOKUP(A14,'Audit Dimensions'!$A:$N,6,FALSE)</f>
        <v>-4030</v>
      </c>
      <c r="G14" s="138">
        <f>VLOOKUP(A14,'Billing Dimensions'!$A:$N,7,FALSE)-VLOOKUP(A14,'Audit Dimensions'!$A:$N,7,FALSE)</f>
        <v>0</v>
      </c>
      <c r="H14" s="138">
        <f>VLOOKUP(A14,'Billing Dimensions'!$A:$N,8,FALSE)-VLOOKUP(A14,'Audit Dimensions'!$A:$N,8,FALSE)</f>
        <v>0</v>
      </c>
      <c r="I14" s="138">
        <f>VLOOKUP(A14,'Billing Dimensions'!$A:$N,9,FALSE)-VLOOKUP(A14,'Audit Dimensions'!$A:$N,9,FALSE)</f>
        <v>0</v>
      </c>
      <c r="J14" s="139">
        <f>VLOOKUP(A14,'Billing Dimensions'!$A:$N,10,FALSE)-VLOOKUP(A14,'Audit Dimensions'!$A:$N,10,FALSE)</f>
        <v>0</v>
      </c>
      <c r="K14" s="140">
        <f>VLOOKUP(A14,'Billing Dimensions'!$A:$N,11,FALSE)-VLOOKUP(A14,'Audit Dimensions'!$A:$N,11,FALSE)</f>
        <v>0</v>
      </c>
      <c r="L14" s="140">
        <f>VLOOKUP(A14,'Billing Dimensions'!$A:$N,12,FALSE)-VLOOKUP(A14,'Audit Dimensions'!$A:$N,12,FALSE)</f>
        <v>0</v>
      </c>
      <c r="M14" s="140">
        <f>VLOOKUP(A14,'Billing Dimensions'!$A:$N,13,FALSE)-VLOOKUP(A14,'Audit Dimensions'!$A:$N,13,FALSE)</f>
        <v>0</v>
      </c>
      <c r="N14" s="140">
        <f>VLOOKUP(A14,'Billing Dimensions'!$A:$N,14,FALSE)-VLOOKUP(A14,'Audit Dimensions'!$A:$N,14,FALSE)</f>
        <v>0</v>
      </c>
      <c r="O14" s="147">
        <f>VLOOKUP(A14,'Billing Dimensions'!A:Q,16,FALSE)-VLOOKUP('Audit VAR'!A14,'Audit Dimensions'!A:P,16,FALSE)</f>
        <v>-4030</v>
      </c>
      <c r="P14" s="148">
        <f t="shared" si="0"/>
        <v>-4.03</v>
      </c>
      <c r="Q14" s="151">
        <f t="shared" si="1"/>
        <v>0</v>
      </c>
      <c r="R14" s="80" t="e">
        <f t="shared" si="2"/>
        <v>#DIV/0!</v>
      </c>
    </row>
    <row r="15" spans="1:18" hidden="1">
      <c r="A15" s="132" t="s">
        <v>60</v>
      </c>
      <c r="B15" s="52" t="str">
        <f>VLOOKUP(A15,'Billing Dimensions'!A:B,2,FALSE)</f>
        <v>SB</v>
      </c>
      <c r="C15" s="136">
        <f>VLOOKUP(A15,'Billing Dimensions'!$A:$N,3,FALSE)-VLOOKUP(A15,'Audit Dimensions'!$A:$N,3,FALSE)</f>
        <v>-2</v>
      </c>
      <c r="D15" s="136">
        <f>VLOOKUP(A15,'Billing Dimensions'!$A:$N,4,FALSE)-VLOOKUP(A15,'Audit Dimensions'!$A:$N,4,FALSE)</f>
        <v>-1</v>
      </c>
      <c r="E15" s="136">
        <f>VLOOKUP(A15,'Billing Dimensions'!$A:$N,5,FALSE)-VLOOKUP(A15,'Audit Dimensions'!$A:$N,5,FALSE)</f>
        <v>-1</v>
      </c>
      <c r="F15" s="137">
        <f>VLOOKUP(A15,'Billing Dimensions'!$A:$N,6,FALSE)-VLOOKUP(A15,'Audit Dimensions'!$A:$N,6,FALSE)</f>
        <v>-130</v>
      </c>
      <c r="G15" s="138">
        <f>VLOOKUP(A15,'Billing Dimensions'!$A:$N,7,FALSE)-VLOOKUP(A15,'Audit Dimensions'!$A:$N,7,FALSE)</f>
        <v>0</v>
      </c>
      <c r="H15" s="138">
        <f>VLOOKUP(A15,'Billing Dimensions'!$A:$N,8,FALSE)-VLOOKUP(A15,'Audit Dimensions'!$A:$N,8,FALSE)</f>
        <v>0</v>
      </c>
      <c r="I15" s="138">
        <f>VLOOKUP(A15,'Billing Dimensions'!$A:$N,9,FALSE)-VLOOKUP(A15,'Audit Dimensions'!$A:$N,9,FALSE)</f>
        <v>0</v>
      </c>
      <c r="J15" s="139">
        <f>VLOOKUP(A15,'Billing Dimensions'!$A:$N,10,FALSE)-VLOOKUP(A15,'Audit Dimensions'!$A:$N,10,FALSE)</f>
        <v>0</v>
      </c>
      <c r="K15" s="140">
        <f>VLOOKUP(A15,'Billing Dimensions'!$A:$N,11,FALSE)-VLOOKUP(A15,'Audit Dimensions'!$A:$N,11,FALSE)</f>
        <v>0</v>
      </c>
      <c r="L15" s="140">
        <f>VLOOKUP(A15,'Billing Dimensions'!$A:$N,12,FALSE)-VLOOKUP(A15,'Audit Dimensions'!$A:$N,12,FALSE)</f>
        <v>0</v>
      </c>
      <c r="M15" s="140">
        <f>VLOOKUP(A15,'Billing Dimensions'!$A:$N,13,FALSE)-VLOOKUP(A15,'Audit Dimensions'!$A:$N,13,FALSE)</f>
        <v>0</v>
      </c>
      <c r="N15" s="140">
        <f>VLOOKUP(A15,'Billing Dimensions'!$A:$N,14,FALSE)-VLOOKUP(A15,'Audit Dimensions'!$A:$N,14,FALSE)</f>
        <v>0</v>
      </c>
      <c r="O15" s="147">
        <f>VLOOKUP(A15,'Billing Dimensions'!A:Q,16,FALSE)-VLOOKUP('Audit VAR'!A15,'Audit Dimensions'!A:P,16,FALSE)</f>
        <v>-130</v>
      </c>
      <c r="P15" s="148">
        <f t="shared" si="0"/>
        <v>-0.13</v>
      </c>
      <c r="Q15" s="151">
        <f t="shared" si="1"/>
        <v>-7.0640000000000001E-5</v>
      </c>
      <c r="R15" s="80">
        <f t="shared" si="2"/>
        <v>1840.3171007927519</v>
      </c>
    </row>
    <row r="16" spans="1:18" hidden="1">
      <c r="A16" s="132" t="s">
        <v>61</v>
      </c>
      <c r="B16" s="52" t="str">
        <f>VLOOKUP(A16,'Billing Dimensions'!A:B,2,FALSE)</f>
        <v>SB</v>
      </c>
      <c r="C16" s="136">
        <f>VLOOKUP(A16,'Billing Dimensions'!$A:$N,3,FALSE)-VLOOKUP(A16,'Audit Dimensions'!$A:$N,3,FALSE)</f>
        <v>0</v>
      </c>
      <c r="D16" s="136">
        <f>VLOOKUP(A16,'Billing Dimensions'!$A:$N,4,FALSE)-VLOOKUP(A16,'Audit Dimensions'!$A:$N,4,FALSE)</f>
        <v>0</v>
      </c>
      <c r="E16" s="136">
        <f>VLOOKUP(A16,'Billing Dimensions'!$A:$N,5,FALSE)-VLOOKUP(A16,'Audit Dimensions'!$A:$N,5,FALSE)</f>
        <v>0</v>
      </c>
      <c r="F16" s="137">
        <f>VLOOKUP(A16,'Billing Dimensions'!$A:$N,6,FALSE)-VLOOKUP(A16,'Audit Dimensions'!$A:$N,6,FALSE)</f>
        <v>-480</v>
      </c>
      <c r="G16" s="138">
        <f>VLOOKUP(A16,'Billing Dimensions'!$A:$N,7,FALSE)-VLOOKUP(A16,'Audit Dimensions'!$A:$N,7,FALSE)</f>
        <v>0</v>
      </c>
      <c r="H16" s="138">
        <f>VLOOKUP(A16,'Billing Dimensions'!$A:$N,8,FALSE)-VLOOKUP(A16,'Audit Dimensions'!$A:$N,8,FALSE)</f>
        <v>0</v>
      </c>
      <c r="I16" s="138">
        <f>VLOOKUP(A16,'Billing Dimensions'!$A:$N,9,FALSE)-VLOOKUP(A16,'Audit Dimensions'!$A:$N,9,FALSE)</f>
        <v>0</v>
      </c>
      <c r="J16" s="139">
        <f>VLOOKUP(A16,'Billing Dimensions'!$A:$N,10,FALSE)-VLOOKUP(A16,'Audit Dimensions'!$A:$N,10,FALSE)</f>
        <v>0</v>
      </c>
      <c r="K16" s="140">
        <f>VLOOKUP(A16,'Billing Dimensions'!$A:$N,11,FALSE)-VLOOKUP(A16,'Audit Dimensions'!$A:$N,11,FALSE)</f>
        <v>0</v>
      </c>
      <c r="L16" s="140">
        <f>VLOOKUP(A16,'Billing Dimensions'!$A:$N,12,FALSE)-VLOOKUP(A16,'Audit Dimensions'!$A:$N,12,FALSE)</f>
        <v>0</v>
      </c>
      <c r="M16" s="140">
        <f>VLOOKUP(A16,'Billing Dimensions'!$A:$N,13,FALSE)-VLOOKUP(A16,'Audit Dimensions'!$A:$N,13,FALSE)</f>
        <v>0</v>
      </c>
      <c r="N16" s="140">
        <f>VLOOKUP(A16,'Billing Dimensions'!$A:$N,14,FALSE)-VLOOKUP(A16,'Audit Dimensions'!$A:$N,14,FALSE)</f>
        <v>0</v>
      </c>
      <c r="O16" s="147">
        <f>VLOOKUP(A16,'Billing Dimensions'!A:Q,16,FALSE)-VLOOKUP('Audit VAR'!A16,'Audit Dimensions'!A:P,16,FALSE)</f>
        <v>-480</v>
      </c>
      <c r="P16" s="148">
        <f t="shared" si="0"/>
        <v>-0.48</v>
      </c>
      <c r="Q16" s="151">
        <f t="shared" si="1"/>
        <v>0</v>
      </c>
      <c r="R16" s="80" t="e">
        <f t="shared" si="2"/>
        <v>#DIV/0!</v>
      </c>
    </row>
    <row r="17" spans="1:18" hidden="1">
      <c r="A17" s="132" t="s">
        <v>62</v>
      </c>
      <c r="B17" s="52" t="str">
        <f>VLOOKUP(A17,'Billing Dimensions'!A:B,2,FALSE)</f>
        <v>`</v>
      </c>
      <c r="C17" s="136">
        <f>VLOOKUP(A17,'Billing Dimensions'!$A:$N,3,FALSE)-VLOOKUP(A17,'Audit Dimensions'!$A:$N,3,FALSE)</f>
        <v>0</v>
      </c>
      <c r="D17" s="136">
        <f>VLOOKUP(A17,'Billing Dimensions'!$A:$N,4,FALSE)-VLOOKUP(A17,'Audit Dimensions'!$A:$N,4,FALSE)</f>
        <v>0</v>
      </c>
      <c r="E17" s="136">
        <f>VLOOKUP(A17,'Billing Dimensions'!$A:$N,5,FALSE)-VLOOKUP(A17,'Audit Dimensions'!$A:$N,5,FALSE)</f>
        <v>0</v>
      </c>
      <c r="F17" s="137">
        <f>VLOOKUP(A17,'Billing Dimensions'!$A:$N,6,FALSE)-VLOOKUP(A17,'Audit Dimensions'!$A:$N,6,FALSE)</f>
        <v>0</v>
      </c>
      <c r="G17" s="138">
        <f>VLOOKUP(A17,'Billing Dimensions'!$A:$N,7,FALSE)-VLOOKUP(A17,'Audit Dimensions'!$A:$N,7,FALSE)</f>
        <v>0</v>
      </c>
      <c r="H17" s="138">
        <f>VLOOKUP(A17,'Billing Dimensions'!$A:$N,8,FALSE)-VLOOKUP(A17,'Audit Dimensions'!$A:$N,8,FALSE)</f>
        <v>0</v>
      </c>
      <c r="I17" s="138">
        <f>VLOOKUP(A17,'Billing Dimensions'!$A:$N,9,FALSE)-VLOOKUP(A17,'Audit Dimensions'!$A:$N,9,FALSE)</f>
        <v>0</v>
      </c>
      <c r="J17" s="139">
        <f>VLOOKUP(A17,'Billing Dimensions'!$A:$N,10,FALSE)-VLOOKUP(A17,'Audit Dimensions'!$A:$N,10,FALSE)</f>
        <v>0</v>
      </c>
      <c r="K17" s="140">
        <f>VLOOKUP(A17,'Billing Dimensions'!$A:$N,11,FALSE)-VLOOKUP(A17,'Audit Dimensions'!$A:$N,11,FALSE)</f>
        <v>0</v>
      </c>
      <c r="L17" s="140">
        <f>VLOOKUP(A17,'Billing Dimensions'!$A:$N,12,FALSE)-VLOOKUP(A17,'Audit Dimensions'!$A:$N,12,FALSE)</f>
        <v>0</v>
      </c>
      <c r="M17" s="140">
        <f>VLOOKUP(A17,'Billing Dimensions'!$A:$N,13,FALSE)-VLOOKUP(A17,'Audit Dimensions'!$A:$N,13,FALSE)</f>
        <v>0</v>
      </c>
      <c r="N17" s="140">
        <f>VLOOKUP(A17,'Billing Dimensions'!$A:$N,14,FALSE)-VLOOKUP(A17,'Audit Dimensions'!$A:$N,14,FALSE)</f>
        <v>0</v>
      </c>
      <c r="O17" s="147">
        <f>VLOOKUP(A17,'Billing Dimensions'!A:Q,16,FALSE)-VLOOKUP('Audit VAR'!A17,'Audit Dimensions'!A:P,16,FALSE)</f>
        <v>0</v>
      </c>
      <c r="P17" s="148">
        <f t="shared" si="0"/>
        <v>0</v>
      </c>
      <c r="Q17" s="151">
        <f t="shared" si="1"/>
        <v>0</v>
      </c>
      <c r="R17" s="80" t="e">
        <f t="shared" si="2"/>
        <v>#DIV/0!</v>
      </c>
    </row>
    <row r="18" spans="1:18" hidden="1">
      <c r="A18" s="132" t="s">
        <v>64</v>
      </c>
      <c r="B18" s="52" t="str">
        <f>VLOOKUP(A18,'Billing Dimensions'!A:B,2,FALSE)</f>
        <v> </v>
      </c>
      <c r="C18" s="136" t="e">
        <f>VLOOKUP(A18,'Billing Dimensions'!$A:$N,3,FALSE)-VLOOKUP(A18,'Audit Dimensions'!$A:$N,3,FALSE)</f>
        <v>#N/A</v>
      </c>
      <c r="D18" s="136" t="e">
        <f>VLOOKUP(A18,'Billing Dimensions'!$A:$N,4,FALSE)-VLOOKUP(A18,'Audit Dimensions'!$A:$N,4,FALSE)</f>
        <v>#N/A</v>
      </c>
      <c r="E18" s="136" t="e">
        <f>VLOOKUP(A18,'Billing Dimensions'!$A:$N,5,FALSE)-VLOOKUP(A18,'Audit Dimensions'!$A:$N,5,FALSE)</f>
        <v>#N/A</v>
      </c>
      <c r="F18" s="137" t="e">
        <f>VLOOKUP(A18,'Billing Dimensions'!$A:$N,6,FALSE)-VLOOKUP(A18,'Audit Dimensions'!$A:$N,6,FALSE)</f>
        <v>#N/A</v>
      </c>
      <c r="G18" s="138" t="e">
        <f>VLOOKUP(A18,'Billing Dimensions'!$A:$N,7,FALSE)-VLOOKUP(A18,'Audit Dimensions'!$A:$N,7,FALSE)</f>
        <v>#N/A</v>
      </c>
      <c r="H18" s="138" t="e">
        <f>VLOOKUP(A18,'Billing Dimensions'!$A:$N,8,FALSE)-VLOOKUP(A18,'Audit Dimensions'!$A:$N,8,FALSE)</f>
        <v>#N/A</v>
      </c>
      <c r="I18" s="138" t="e">
        <f>VLOOKUP(A18,'Billing Dimensions'!$A:$N,9,FALSE)-VLOOKUP(A18,'Audit Dimensions'!$A:$N,9,FALSE)</f>
        <v>#N/A</v>
      </c>
      <c r="J18" s="139" t="e">
        <f>VLOOKUP(A18,'Billing Dimensions'!$A:$N,10,FALSE)-VLOOKUP(A18,'Audit Dimensions'!$A:$N,10,FALSE)</f>
        <v>#N/A</v>
      </c>
      <c r="K18" s="140" t="e">
        <f>VLOOKUP(A18,'Billing Dimensions'!$A:$N,11,FALSE)-VLOOKUP(A18,'Audit Dimensions'!$A:$N,11,FALSE)</f>
        <v>#N/A</v>
      </c>
      <c r="L18" s="140" t="e">
        <f>VLOOKUP(A18,'Billing Dimensions'!$A:$N,12,FALSE)-VLOOKUP(A18,'Audit Dimensions'!$A:$N,12,FALSE)</f>
        <v>#N/A</v>
      </c>
      <c r="M18" s="140" t="e">
        <f>VLOOKUP(A18,'Billing Dimensions'!$A:$N,13,FALSE)-VLOOKUP(A18,'Audit Dimensions'!$A:$N,13,FALSE)</f>
        <v>#N/A</v>
      </c>
      <c r="N18" s="140" t="e">
        <f>VLOOKUP(A18,'Billing Dimensions'!$A:$N,14,FALSE)-VLOOKUP(A18,'Audit Dimensions'!$A:$N,14,FALSE)</f>
        <v>#N/A</v>
      </c>
      <c r="O18" s="147" t="e">
        <f>VLOOKUP(A18,'Billing Dimensions'!A:Q,16,FALSE)-VLOOKUP('Audit VAR'!A18,'Audit Dimensions'!A:P,16,FALSE)</f>
        <v>#N/A</v>
      </c>
      <c r="P18" s="148" t="e">
        <f t="shared" si="0"/>
        <v>#N/A</v>
      </c>
      <c r="Q18" s="151" t="e">
        <f t="shared" si="1"/>
        <v>#N/A</v>
      </c>
      <c r="R18" s="80" t="e">
        <f t="shared" si="2"/>
        <v>#N/A</v>
      </c>
    </row>
    <row r="19" spans="1:18" hidden="1">
      <c r="A19" s="132" t="s">
        <v>65</v>
      </c>
      <c r="B19" s="52" t="str">
        <f>VLOOKUP(A19,'Billing Dimensions'!A:B,2,FALSE)</f>
        <v>SB</v>
      </c>
      <c r="C19" s="136">
        <f>VLOOKUP(A19,'Billing Dimensions'!$A:$N,3,FALSE)-VLOOKUP(A19,'Audit Dimensions'!$A:$N,3,FALSE)</f>
        <v>-2</v>
      </c>
      <c r="D19" s="136">
        <f>VLOOKUP(A19,'Billing Dimensions'!$A:$N,4,FALSE)-VLOOKUP(A19,'Audit Dimensions'!$A:$N,4,FALSE)</f>
        <v>0</v>
      </c>
      <c r="E19" s="136">
        <f>VLOOKUP(A19,'Billing Dimensions'!$A:$N,5,FALSE)-VLOOKUP(A19,'Audit Dimensions'!$A:$N,5,FALSE)</f>
        <v>-3</v>
      </c>
      <c r="F19" s="137">
        <f>VLOOKUP(A19,'Billing Dimensions'!$A:$N,6,FALSE)-VLOOKUP(A19,'Audit Dimensions'!$A:$N,6,FALSE)</f>
        <v>-550</v>
      </c>
      <c r="G19" s="138">
        <f>VLOOKUP(A19,'Billing Dimensions'!$A:$N,7,FALSE)-VLOOKUP(A19,'Audit Dimensions'!$A:$N,7,FALSE)</f>
        <v>0</v>
      </c>
      <c r="H19" s="138">
        <f>VLOOKUP(A19,'Billing Dimensions'!$A:$N,8,FALSE)-VLOOKUP(A19,'Audit Dimensions'!$A:$N,8,FALSE)</f>
        <v>0</v>
      </c>
      <c r="I19" s="138">
        <f>VLOOKUP(A19,'Billing Dimensions'!$A:$N,9,FALSE)-VLOOKUP(A19,'Audit Dimensions'!$A:$N,9,FALSE)</f>
        <v>0</v>
      </c>
      <c r="J19" s="139">
        <f>VLOOKUP(A19,'Billing Dimensions'!$A:$N,10,FALSE)-VLOOKUP(A19,'Audit Dimensions'!$A:$N,10,FALSE)</f>
        <v>0</v>
      </c>
      <c r="K19" s="140">
        <f>VLOOKUP(A19,'Billing Dimensions'!$A:$N,11,FALSE)-VLOOKUP(A19,'Audit Dimensions'!$A:$N,11,FALSE)</f>
        <v>0</v>
      </c>
      <c r="L19" s="140">
        <f>VLOOKUP(A19,'Billing Dimensions'!$A:$N,12,FALSE)-VLOOKUP(A19,'Audit Dimensions'!$A:$N,12,FALSE)</f>
        <v>0</v>
      </c>
      <c r="M19" s="140">
        <f>VLOOKUP(A19,'Billing Dimensions'!$A:$N,13,FALSE)-VLOOKUP(A19,'Audit Dimensions'!$A:$N,13,FALSE)</f>
        <v>0</v>
      </c>
      <c r="N19" s="140">
        <f>VLOOKUP(A19,'Billing Dimensions'!$A:$N,14,FALSE)-VLOOKUP(A19,'Audit Dimensions'!$A:$N,14,FALSE)</f>
        <v>0</v>
      </c>
      <c r="O19" s="147">
        <f>VLOOKUP(A19,'Billing Dimensions'!A:Q,16,FALSE)-VLOOKUP('Audit VAR'!A19,'Audit Dimensions'!A:P,16,FALSE)</f>
        <v>-550</v>
      </c>
      <c r="P19" s="148">
        <f t="shared" si="0"/>
        <v>-0.55000000000000004</v>
      </c>
      <c r="Q19" s="151">
        <f t="shared" si="1"/>
        <v>0</v>
      </c>
      <c r="R19" s="80" t="e">
        <f t="shared" si="2"/>
        <v>#DIV/0!</v>
      </c>
    </row>
    <row r="20" spans="1:18" hidden="1">
      <c r="A20" s="162" t="s">
        <v>66</v>
      </c>
      <c r="B20" s="52" t="str">
        <f>VLOOKUP(A20,'Billing Dimensions'!A:B,2,FALSE)</f>
        <v>SB</v>
      </c>
      <c r="C20" s="136">
        <f>VLOOKUP(A20,'Billing Dimensions'!$A:$N,3,FALSE)-VLOOKUP(A20,'Audit Dimensions'!$A:$N,3,FALSE)</f>
        <v>11</v>
      </c>
      <c r="D20" s="136">
        <f>VLOOKUP(A20,'Billing Dimensions'!$A:$N,4,FALSE)-VLOOKUP(A20,'Audit Dimensions'!$A:$N,4,FALSE)</f>
        <v>1</v>
      </c>
      <c r="E20" s="136">
        <f>VLOOKUP(A20,'Billing Dimensions'!$A:$N,5,FALSE)-VLOOKUP(A20,'Audit Dimensions'!$A:$N,5,FALSE)</f>
        <v>-5</v>
      </c>
      <c r="F20" s="137">
        <f>VLOOKUP(A20,'Billing Dimensions'!$A:$N,6,FALSE)-VLOOKUP(A20,'Audit Dimensions'!$A:$N,6,FALSE)</f>
        <v>-410</v>
      </c>
      <c r="G20" s="138">
        <f>VLOOKUP(A20,'Billing Dimensions'!$A:$N,7,FALSE)-VLOOKUP(A20,'Audit Dimensions'!$A:$N,7,FALSE)</f>
        <v>0</v>
      </c>
      <c r="H20" s="138">
        <f>VLOOKUP(A20,'Billing Dimensions'!$A:$N,8,FALSE)-VLOOKUP(A20,'Audit Dimensions'!$A:$N,8,FALSE)</f>
        <v>0</v>
      </c>
      <c r="I20" s="138">
        <f>VLOOKUP(A20,'Billing Dimensions'!$A:$N,9,FALSE)-VLOOKUP(A20,'Audit Dimensions'!$A:$N,9,FALSE)</f>
        <v>0</v>
      </c>
      <c r="J20" s="139">
        <f>VLOOKUP(A20,'Billing Dimensions'!$A:$N,10,FALSE)-VLOOKUP(A20,'Audit Dimensions'!$A:$N,10,FALSE)</f>
        <v>0</v>
      </c>
      <c r="K20" s="140">
        <f>VLOOKUP(A20,'Billing Dimensions'!$A:$N,11,FALSE)-VLOOKUP(A20,'Audit Dimensions'!$A:$N,11,FALSE)</f>
        <v>0</v>
      </c>
      <c r="L20" s="140">
        <f>VLOOKUP(A20,'Billing Dimensions'!$A:$N,12,FALSE)-VLOOKUP(A20,'Audit Dimensions'!$A:$N,12,FALSE)</f>
        <v>0</v>
      </c>
      <c r="M20" s="140">
        <f>VLOOKUP(A20,'Billing Dimensions'!$A:$N,13,FALSE)-VLOOKUP(A20,'Audit Dimensions'!$A:$N,13,FALSE)</f>
        <v>0</v>
      </c>
      <c r="N20" s="140">
        <f>VLOOKUP(A20,'Billing Dimensions'!$A:$N,14,FALSE)-VLOOKUP(A20,'Audit Dimensions'!$A:$N,14,FALSE)</f>
        <v>0</v>
      </c>
      <c r="O20" s="147">
        <f>VLOOKUP(A20,'Billing Dimensions'!A:Q,16,FALSE)-VLOOKUP('Audit VAR'!A20,'Audit Dimensions'!A:P,16,FALSE)</f>
        <v>-410</v>
      </c>
      <c r="P20" s="148">
        <f t="shared" si="0"/>
        <v>-0.41</v>
      </c>
      <c r="Q20" s="151">
        <f t="shared" si="1"/>
        <v>-1.9426000000000001E-3</v>
      </c>
      <c r="R20" s="80">
        <f t="shared" si="2"/>
        <v>211.05734582518272</v>
      </c>
    </row>
    <row r="21" spans="1:18" hidden="1">
      <c r="A21" s="132" t="s">
        <v>67</v>
      </c>
      <c r="B21" s="52" t="str">
        <f>VLOOKUP(A21,'Billing Dimensions'!A:B,2,FALSE)</f>
        <v> </v>
      </c>
      <c r="C21" s="136" t="e">
        <f>VLOOKUP(A21,'Billing Dimensions'!$A:$N,3,FALSE)-VLOOKUP(A21,'Audit Dimensions'!$A:$N,3,FALSE)</f>
        <v>#N/A</v>
      </c>
      <c r="D21" s="136" t="e">
        <f>VLOOKUP(A21,'Billing Dimensions'!$A:$N,4,FALSE)-VLOOKUP(A21,'Audit Dimensions'!$A:$N,4,FALSE)</f>
        <v>#N/A</v>
      </c>
      <c r="E21" s="136" t="e">
        <f>VLOOKUP(A21,'Billing Dimensions'!$A:$N,5,FALSE)-VLOOKUP(A21,'Audit Dimensions'!$A:$N,5,FALSE)</f>
        <v>#N/A</v>
      </c>
      <c r="F21" s="137" t="e">
        <f>VLOOKUP(A21,'Billing Dimensions'!$A:$N,6,FALSE)-VLOOKUP(A21,'Audit Dimensions'!$A:$N,6,FALSE)</f>
        <v>#N/A</v>
      </c>
      <c r="G21" s="138" t="e">
        <f>VLOOKUP(A21,'Billing Dimensions'!$A:$N,7,FALSE)-VLOOKUP(A21,'Audit Dimensions'!$A:$N,7,FALSE)</f>
        <v>#N/A</v>
      </c>
      <c r="H21" s="138" t="e">
        <f>VLOOKUP(A21,'Billing Dimensions'!$A:$N,8,FALSE)-VLOOKUP(A21,'Audit Dimensions'!$A:$N,8,FALSE)</f>
        <v>#N/A</v>
      </c>
      <c r="I21" s="138" t="e">
        <f>VLOOKUP(A21,'Billing Dimensions'!$A:$N,9,FALSE)-VLOOKUP(A21,'Audit Dimensions'!$A:$N,9,FALSE)</f>
        <v>#N/A</v>
      </c>
      <c r="J21" s="139" t="e">
        <f>VLOOKUP(A21,'Billing Dimensions'!$A:$N,10,FALSE)-VLOOKUP(A21,'Audit Dimensions'!$A:$N,10,FALSE)</f>
        <v>#N/A</v>
      </c>
      <c r="K21" s="140" t="e">
        <f>VLOOKUP(A21,'Billing Dimensions'!$A:$N,11,FALSE)-VLOOKUP(A21,'Audit Dimensions'!$A:$N,11,FALSE)</f>
        <v>#N/A</v>
      </c>
      <c r="L21" s="140" t="e">
        <f>VLOOKUP(A21,'Billing Dimensions'!$A:$N,12,FALSE)-VLOOKUP(A21,'Audit Dimensions'!$A:$N,12,FALSE)</f>
        <v>#N/A</v>
      </c>
      <c r="M21" s="140" t="e">
        <f>VLOOKUP(A21,'Billing Dimensions'!$A:$N,13,FALSE)-VLOOKUP(A21,'Audit Dimensions'!$A:$N,13,FALSE)</f>
        <v>#N/A</v>
      </c>
      <c r="N21" s="140" t="e">
        <f>VLOOKUP(A21,'Billing Dimensions'!$A:$N,14,FALSE)-VLOOKUP(A21,'Audit Dimensions'!$A:$N,14,FALSE)</f>
        <v>#N/A</v>
      </c>
      <c r="O21" s="147" t="e">
        <f>VLOOKUP(A21,'Billing Dimensions'!A:Q,16,FALSE)-VLOOKUP('Audit VAR'!A21,'Audit Dimensions'!A:P,16,FALSE)</f>
        <v>#N/A</v>
      </c>
      <c r="P21" s="148" t="e">
        <f t="shared" si="0"/>
        <v>#N/A</v>
      </c>
      <c r="Q21" s="151" t="e">
        <f t="shared" si="1"/>
        <v>#N/A</v>
      </c>
      <c r="R21" s="80" t="e">
        <f t="shared" si="2"/>
        <v>#N/A</v>
      </c>
    </row>
    <row r="22" spans="1:18" hidden="1">
      <c r="A22" s="132" t="s">
        <v>68</v>
      </c>
      <c r="B22" s="52" t="str">
        <f>VLOOKUP(A22,'Billing Dimensions'!A:B,2,FALSE)</f>
        <v>SB</v>
      </c>
      <c r="C22" s="136">
        <f>VLOOKUP(A22,'Billing Dimensions'!$A:$N,3,FALSE)-VLOOKUP(A22,'Audit Dimensions'!$A:$N,3,FALSE)</f>
        <v>0</v>
      </c>
      <c r="D22" s="136">
        <f>VLOOKUP(A22,'Billing Dimensions'!$A:$N,4,FALSE)-VLOOKUP(A22,'Audit Dimensions'!$A:$N,4,FALSE)</f>
        <v>0</v>
      </c>
      <c r="E22" s="136">
        <f>VLOOKUP(A22,'Billing Dimensions'!$A:$N,5,FALSE)-VLOOKUP(A22,'Audit Dimensions'!$A:$N,5,FALSE)</f>
        <v>0</v>
      </c>
      <c r="F22" s="137">
        <f>VLOOKUP(A22,'Billing Dimensions'!$A:$N,6,FALSE)-VLOOKUP(A22,'Audit Dimensions'!$A:$N,6,FALSE)</f>
        <v>0</v>
      </c>
      <c r="G22" s="138">
        <f>VLOOKUP(A22,'Billing Dimensions'!$A:$N,7,FALSE)-VLOOKUP(A22,'Audit Dimensions'!$A:$N,7,FALSE)</f>
        <v>0</v>
      </c>
      <c r="H22" s="138">
        <f>VLOOKUP(A22,'Billing Dimensions'!$A:$N,8,FALSE)-VLOOKUP(A22,'Audit Dimensions'!$A:$N,8,FALSE)</f>
        <v>0</v>
      </c>
      <c r="I22" s="138">
        <f>VLOOKUP(A22,'Billing Dimensions'!$A:$N,9,FALSE)-VLOOKUP(A22,'Audit Dimensions'!$A:$N,9,FALSE)</f>
        <v>0</v>
      </c>
      <c r="J22" s="139">
        <f>VLOOKUP(A22,'Billing Dimensions'!$A:$N,10,FALSE)-VLOOKUP(A22,'Audit Dimensions'!$A:$N,10,FALSE)</f>
        <v>0</v>
      </c>
      <c r="K22" s="140">
        <f>VLOOKUP(A22,'Billing Dimensions'!$A:$N,11,FALSE)-VLOOKUP(A22,'Audit Dimensions'!$A:$N,11,FALSE)</f>
        <v>0</v>
      </c>
      <c r="L22" s="140">
        <f>VLOOKUP(A22,'Billing Dimensions'!$A:$N,12,FALSE)-VLOOKUP(A22,'Audit Dimensions'!$A:$N,12,FALSE)</f>
        <v>0</v>
      </c>
      <c r="M22" s="140">
        <f>VLOOKUP(A22,'Billing Dimensions'!$A:$N,13,FALSE)-VLOOKUP(A22,'Audit Dimensions'!$A:$N,13,FALSE)</f>
        <v>0</v>
      </c>
      <c r="N22" s="140">
        <f>VLOOKUP(A22,'Billing Dimensions'!$A:$N,14,FALSE)-VLOOKUP(A22,'Audit Dimensions'!$A:$N,14,FALSE)</f>
        <v>0</v>
      </c>
      <c r="O22" s="147">
        <f>VLOOKUP(A22,'Billing Dimensions'!A:Q,16,FALSE)-VLOOKUP('Audit VAR'!A22,'Audit Dimensions'!A:P,16,FALSE)</f>
        <v>0</v>
      </c>
      <c r="P22" s="148">
        <f t="shared" si="0"/>
        <v>0</v>
      </c>
      <c r="Q22" s="151">
        <f t="shared" si="1"/>
        <v>0</v>
      </c>
      <c r="R22" s="80" t="e">
        <f t="shared" si="2"/>
        <v>#DIV/0!</v>
      </c>
    </row>
    <row r="23" spans="1:18" ht="12.4" hidden="1" customHeight="1">
      <c r="A23" s="163" t="s">
        <v>70</v>
      </c>
      <c r="B23" s="52" t="str">
        <f>VLOOKUP(A23,'Billing Dimensions'!A:B,2,FALSE)</f>
        <v>SB</v>
      </c>
      <c r="C23" s="136">
        <f>VLOOKUP(A23,'Billing Dimensions'!$A:$N,3,FALSE)-VLOOKUP(A23,'Audit Dimensions'!$A:$N,3,FALSE)</f>
        <v>16</v>
      </c>
      <c r="D23" s="136">
        <f>VLOOKUP(A23,'Billing Dimensions'!$A:$N,4,FALSE)-VLOOKUP(A23,'Audit Dimensions'!$A:$N,4,FALSE)</f>
        <v>7</v>
      </c>
      <c r="E23" s="136">
        <f>VLOOKUP(A23,'Billing Dimensions'!$A:$N,5,FALSE)-VLOOKUP(A23,'Audit Dimensions'!$A:$N,5,FALSE)</f>
        <v>-3</v>
      </c>
      <c r="F23" s="137">
        <f>VLOOKUP(A23,'Billing Dimensions'!$A:$N,6,FALSE)-VLOOKUP(A23,'Audit Dimensions'!$A:$N,6,FALSE)</f>
        <v>3700</v>
      </c>
      <c r="G23" s="138">
        <f>VLOOKUP(A23,'Billing Dimensions'!$A:$N,7,FALSE)-VLOOKUP(A23,'Audit Dimensions'!$A:$N,7,FALSE)</f>
        <v>0</v>
      </c>
      <c r="H23" s="138">
        <f>VLOOKUP(A23,'Billing Dimensions'!$A:$N,8,FALSE)-VLOOKUP(A23,'Audit Dimensions'!$A:$N,8,FALSE)</f>
        <v>0</v>
      </c>
      <c r="I23" s="138">
        <f>VLOOKUP(A23,'Billing Dimensions'!$A:$N,9,FALSE)-VLOOKUP(A23,'Audit Dimensions'!$A:$N,9,FALSE)</f>
        <v>0</v>
      </c>
      <c r="J23" s="139">
        <f>VLOOKUP(A23,'Billing Dimensions'!$A:$N,10,FALSE)-VLOOKUP(A23,'Audit Dimensions'!$A:$N,10,FALSE)</f>
        <v>0</v>
      </c>
      <c r="K23" s="140">
        <f>VLOOKUP(A23,'Billing Dimensions'!$A:$N,11,FALSE)-VLOOKUP(A23,'Audit Dimensions'!$A:$N,11,FALSE)</f>
        <v>0</v>
      </c>
      <c r="L23" s="140">
        <f>VLOOKUP(A23,'Billing Dimensions'!$A:$N,12,FALSE)-VLOOKUP(A23,'Audit Dimensions'!$A:$N,12,FALSE)</f>
        <v>0</v>
      </c>
      <c r="M23" s="140">
        <f>VLOOKUP(A23,'Billing Dimensions'!$A:$N,13,FALSE)-VLOOKUP(A23,'Audit Dimensions'!$A:$N,13,FALSE)</f>
        <v>0</v>
      </c>
      <c r="N23" s="140">
        <f>VLOOKUP(A23,'Billing Dimensions'!$A:$N,14,FALSE)-VLOOKUP(A23,'Audit Dimensions'!$A:$N,14,FALSE)</f>
        <v>0</v>
      </c>
      <c r="O23" s="147">
        <f>VLOOKUP(A23,'Billing Dimensions'!A:Q,16,FALSE)-VLOOKUP('Audit VAR'!A23,'Audit Dimensions'!A:P,16,FALSE)</f>
        <v>3700</v>
      </c>
      <c r="P23" s="148">
        <f t="shared" si="0"/>
        <v>3.7</v>
      </c>
      <c r="Q23" s="151">
        <f t="shared" si="1"/>
        <v>-1.1867519999999999E-2</v>
      </c>
      <c r="R23" s="80">
        <f t="shared" si="2"/>
        <v>-311.77533300976114</v>
      </c>
    </row>
    <row r="24" spans="1:18" hidden="1">
      <c r="A24" s="132" t="s">
        <v>71</v>
      </c>
      <c r="B24" s="52" t="str">
        <f>VLOOKUP(A24,'Billing Dimensions'!A:B,2,FALSE)</f>
        <v>SB</v>
      </c>
      <c r="C24" s="136">
        <f>VLOOKUP(A24,'Billing Dimensions'!$A:$N,3,FALSE)-VLOOKUP(A24,'Audit Dimensions'!$A:$N,3,FALSE)</f>
        <v>0</v>
      </c>
      <c r="D24" s="136">
        <f>VLOOKUP(A24,'Billing Dimensions'!$A:$N,4,FALSE)-VLOOKUP(A24,'Audit Dimensions'!$A:$N,4,FALSE)</f>
        <v>-4</v>
      </c>
      <c r="E24" s="136">
        <f>VLOOKUP(A24,'Billing Dimensions'!$A:$N,5,FALSE)-VLOOKUP(A24,'Audit Dimensions'!$A:$N,5,FALSE)</f>
        <v>0</v>
      </c>
      <c r="F24" s="137">
        <f>VLOOKUP(A24,'Billing Dimensions'!$A:$N,6,FALSE)-VLOOKUP(A24,'Audit Dimensions'!$A:$N,6,FALSE)</f>
        <v>-2050</v>
      </c>
      <c r="G24" s="138">
        <f>VLOOKUP(A24,'Billing Dimensions'!$A:$N,7,FALSE)-VLOOKUP(A24,'Audit Dimensions'!$A:$N,7,FALSE)</f>
        <v>0</v>
      </c>
      <c r="H24" s="138">
        <f>VLOOKUP(A24,'Billing Dimensions'!$A:$N,8,FALSE)-VLOOKUP(A24,'Audit Dimensions'!$A:$N,8,FALSE)</f>
        <v>0</v>
      </c>
      <c r="I24" s="138">
        <f>VLOOKUP(A24,'Billing Dimensions'!$A:$N,9,FALSE)-VLOOKUP(A24,'Audit Dimensions'!$A:$N,9,FALSE)</f>
        <v>0</v>
      </c>
      <c r="J24" s="139">
        <f>VLOOKUP(A24,'Billing Dimensions'!$A:$N,10,FALSE)-VLOOKUP(A24,'Audit Dimensions'!$A:$N,10,FALSE)</f>
        <v>0</v>
      </c>
      <c r="K24" s="140">
        <f>VLOOKUP(A24,'Billing Dimensions'!$A:$N,11,FALSE)-VLOOKUP(A24,'Audit Dimensions'!$A:$N,11,FALSE)</f>
        <v>0</v>
      </c>
      <c r="L24" s="140">
        <f>VLOOKUP(A24,'Billing Dimensions'!$A:$N,12,FALSE)-VLOOKUP(A24,'Audit Dimensions'!$A:$N,12,FALSE)</f>
        <v>0</v>
      </c>
      <c r="M24" s="140">
        <f>VLOOKUP(A24,'Billing Dimensions'!$A:$N,13,FALSE)-VLOOKUP(A24,'Audit Dimensions'!$A:$N,13,FALSE)</f>
        <v>0</v>
      </c>
      <c r="N24" s="140">
        <f>VLOOKUP(A24,'Billing Dimensions'!$A:$N,14,FALSE)-VLOOKUP(A24,'Audit Dimensions'!$A:$N,14,FALSE)</f>
        <v>0</v>
      </c>
      <c r="O24" s="147">
        <f>VLOOKUP(A24,'Billing Dimensions'!A:Q,16,FALSE)-VLOOKUP('Audit VAR'!A24,'Audit Dimensions'!A:P,16,FALSE)</f>
        <v>-2050</v>
      </c>
      <c r="P24" s="148">
        <f t="shared" si="0"/>
        <v>-2.0499999999999998</v>
      </c>
      <c r="Q24" s="151">
        <f t="shared" si="1"/>
        <v>0</v>
      </c>
      <c r="R24" s="80" t="e">
        <f t="shared" si="2"/>
        <v>#DIV/0!</v>
      </c>
    </row>
    <row r="25" spans="1:18" ht="12.4" hidden="1" customHeight="1">
      <c r="A25" s="132" t="s">
        <v>73</v>
      </c>
      <c r="B25" s="52" t="str">
        <f>VLOOKUP(A25,'Billing Dimensions'!A:B,2,FALSE)</f>
        <v>SB</v>
      </c>
      <c r="C25" s="136">
        <f>VLOOKUP(A25,'Billing Dimensions'!$A:$N,3,FALSE)-VLOOKUP(A25,'Audit Dimensions'!$A:$N,3,FALSE)</f>
        <v>-1</v>
      </c>
      <c r="D25" s="136">
        <f>VLOOKUP(A25,'Billing Dimensions'!$A:$N,4,FALSE)-VLOOKUP(A25,'Audit Dimensions'!$A:$N,4,FALSE)</f>
        <v>0</v>
      </c>
      <c r="E25" s="136">
        <f>VLOOKUP(A25,'Billing Dimensions'!$A:$N,5,FALSE)-VLOOKUP(A25,'Audit Dimensions'!$A:$N,5,FALSE)</f>
        <v>0</v>
      </c>
      <c r="F25" s="137">
        <f>VLOOKUP(A25,'Billing Dimensions'!$A:$N,6,FALSE)-VLOOKUP(A25,'Audit Dimensions'!$A:$N,6,FALSE)</f>
        <v>-980</v>
      </c>
      <c r="G25" s="138">
        <f>VLOOKUP(A25,'Billing Dimensions'!$A:$N,7,FALSE)-VLOOKUP(A25,'Audit Dimensions'!$A:$N,7,FALSE)</f>
        <v>0</v>
      </c>
      <c r="H25" s="138">
        <f>VLOOKUP(A25,'Billing Dimensions'!$A:$N,8,FALSE)-VLOOKUP(A25,'Audit Dimensions'!$A:$N,8,FALSE)</f>
        <v>0</v>
      </c>
      <c r="I25" s="138">
        <f>VLOOKUP(A25,'Billing Dimensions'!$A:$N,9,FALSE)-VLOOKUP(A25,'Audit Dimensions'!$A:$N,9,FALSE)</f>
        <v>0</v>
      </c>
      <c r="J25" s="139">
        <f>VLOOKUP(A25,'Billing Dimensions'!$A:$N,10,FALSE)-VLOOKUP(A25,'Audit Dimensions'!$A:$N,10,FALSE)</f>
        <v>0</v>
      </c>
      <c r="K25" s="140">
        <f>VLOOKUP(A25,'Billing Dimensions'!$A:$N,11,FALSE)-VLOOKUP(A25,'Audit Dimensions'!$A:$N,11,FALSE)</f>
        <v>0</v>
      </c>
      <c r="L25" s="140">
        <f>VLOOKUP(A25,'Billing Dimensions'!$A:$N,12,FALSE)-VLOOKUP(A25,'Audit Dimensions'!$A:$N,12,FALSE)</f>
        <v>0</v>
      </c>
      <c r="M25" s="140">
        <f>VLOOKUP(A25,'Billing Dimensions'!$A:$N,13,FALSE)-VLOOKUP(A25,'Audit Dimensions'!$A:$N,13,FALSE)</f>
        <v>0</v>
      </c>
      <c r="N25" s="140">
        <f>VLOOKUP(A25,'Billing Dimensions'!$A:$N,14,FALSE)-VLOOKUP(A25,'Audit Dimensions'!$A:$N,14,FALSE)</f>
        <v>0</v>
      </c>
      <c r="O25" s="147">
        <f>VLOOKUP(A25,'Billing Dimensions'!A:Q,16,FALSE)-VLOOKUP('Audit VAR'!A25,'Audit Dimensions'!A:P,16,FALSE)</f>
        <v>-980</v>
      </c>
      <c r="P25" s="148">
        <f t="shared" si="0"/>
        <v>-0.98</v>
      </c>
      <c r="Q25" s="151">
        <f t="shared" si="1"/>
        <v>0</v>
      </c>
      <c r="R25" s="80" t="e">
        <f t="shared" si="2"/>
        <v>#DIV/0!</v>
      </c>
    </row>
    <row r="26" spans="1:18" hidden="1">
      <c r="A26" s="132" t="s">
        <v>74</v>
      </c>
      <c r="B26" s="52" t="str">
        <f>VLOOKUP(A26,'Billing Dimensions'!A:B,2,FALSE)</f>
        <v>SB</v>
      </c>
      <c r="C26" s="136">
        <f>VLOOKUP(A26,'Billing Dimensions'!$A:$N,3,FALSE)-VLOOKUP(A26,'Audit Dimensions'!$A:$N,3,FALSE)</f>
        <v>-2</v>
      </c>
      <c r="D26" s="136">
        <f>VLOOKUP(A26,'Billing Dimensions'!$A:$N,4,FALSE)-VLOOKUP(A26,'Audit Dimensions'!$A:$N,4,FALSE)</f>
        <v>1</v>
      </c>
      <c r="E26" s="136">
        <f>VLOOKUP(A26,'Billing Dimensions'!$A:$N,5,FALSE)-VLOOKUP(A26,'Audit Dimensions'!$A:$N,5,FALSE)</f>
        <v>0</v>
      </c>
      <c r="F26" s="137">
        <f>VLOOKUP(A26,'Billing Dimensions'!$A:$N,6,FALSE)-VLOOKUP(A26,'Audit Dimensions'!$A:$N,6,FALSE)</f>
        <v>-160</v>
      </c>
      <c r="G26" s="138">
        <f>VLOOKUP(A26,'Billing Dimensions'!$A:$N,7,FALSE)-VLOOKUP(A26,'Audit Dimensions'!$A:$N,7,FALSE)</f>
        <v>0</v>
      </c>
      <c r="H26" s="138">
        <f>VLOOKUP(A26,'Billing Dimensions'!$A:$N,8,FALSE)-VLOOKUP(A26,'Audit Dimensions'!$A:$N,8,FALSE)</f>
        <v>0</v>
      </c>
      <c r="I26" s="138">
        <f>VLOOKUP(A26,'Billing Dimensions'!$A:$N,9,FALSE)-VLOOKUP(A26,'Audit Dimensions'!$A:$N,9,FALSE)</f>
        <v>0</v>
      </c>
      <c r="J26" s="139">
        <f>VLOOKUP(A26,'Billing Dimensions'!$A:$N,10,FALSE)-VLOOKUP(A26,'Audit Dimensions'!$A:$N,10,FALSE)</f>
        <v>0</v>
      </c>
      <c r="K26" s="140">
        <f>VLOOKUP(A26,'Billing Dimensions'!$A:$N,11,FALSE)-VLOOKUP(A26,'Audit Dimensions'!$A:$N,11,FALSE)</f>
        <v>0</v>
      </c>
      <c r="L26" s="140">
        <f>VLOOKUP(A26,'Billing Dimensions'!$A:$N,12,FALSE)-VLOOKUP(A26,'Audit Dimensions'!$A:$N,12,FALSE)</f>
        <v>0</v>
      </c>
      <c r="M26" s="140">
        <f>VLOOKUP(A26,'Billing Dimensions'!$A:$N,13,FALSE)-VLOOKUP(A26,'Audit Dimensions'!$A:$N,13,FALSE)</f>
        <v>0</v>
      </c>
      <c r="N26" s="140">
        <f>VLOOKUP(A26,'Billing Dimensions'!$A:$N,14,FALSE)-VLOOKUP(A26,'Audit Dimensions'!$A:$N,14,FALSE)</f>
        <v>0</v>
      </c>
      <c r="O26" s="147">
        <f>VLOOKUP(A26,'Billing Dimensions'!A:Q,16,FALSE)-VLOOKUP('Audit VAR'!A26,'Audit Dimensions'!A:P,16,FALSE)</f>
        <v>-160</v>
      </c>
      <c r="P26" s="148">
        <f t="shared" si="0"/>
        <v>-0.16</v>
      </c>
      <c r="Q26" s="151">
        <f t="shared" si="1"/>
        <v>0</v>
      </c>
      <c r="R26" s="80" t="e">
        <f t="shared" si="2"/>
        <v>#DIV/0!</v>
      </c>
    </row>
    <row r="27" spans="1:18" ht="12.4" hidden="1" customHeight="1">
      <c r="A27" s="132" t="s">
        <v>75</v>
      </c>
      <c r="B27" s="52" t="str">
        <f>VLOOKUP(A27,'Billing Dimensions'!A:B,2,FALSE)</f>
        <v>SB</v>
      </c>
      <c r="C27" s="136">
        <f>VLOOKUP(A27,'Billing Dimensions'!$A:$N,3,FALSE)-VLOOKUP(A27,'Audit Dimensions'!$A:$N,3,FALSE)</f>
        <v>-2</v>
      </c>
      <c r="D27" s="136">
        <f>VLOOKUP(A27,'Billing Dimensions'!$A:$N,4,FALSE)-VLOOKUP(A27,'Audit Dimensions'!$A:$N,4,FALSE)</f>
        <v>-2</v>
      </c>
      <c r="E27" s="136">
        <f>VLOOKUP(A27,'Billing Dimensions'!$A:$N,5,FALSE)-VLOOKUP(A27,'Audit Dimensions'!$A:$N,5,FALSE)</f>
        <v>0</v>
      </c>
      <c r="F27" s="137">
        <f>VLOOKUP(A27,'Billing Dimensions'!$A:$N,6,FALSE)-VLOOKUP(A27,'Audit Dimensions'!$A:$N,6,FALSE)</f>
        <v>150</v>
      </c>
      <c r="G27" s="138">
        <f>VLOOKUP(A27,'Billing Dimensions'!$A:$N,7,FALSE)-VLOOKUP(A27,'Audit Dimensions'!$A:$N,7,FALSE)</f>
        <v>0</v>
      </c>
      <c r="H27" s="138">
        <f>VLOOKUP(A27,'Billing Dimensions'!$A:$N,8,FALSE)-VLOOKUP(A27,'Audit Dimensions'!$A:$N,8,FALSE)</f>
        <v>0</v>
      </c>
      <c r="I27" s="138">
        <f>VLOOKUP(A27,'Billing Dimensions'!$A:$N,9,FALSE)-VLOOKUP(A27,'Audit Dimensions'!$A:$N,9,FALSE)</f>
        <v>0</v>
      </c>
      <c r="J27" s="139">
        <f>VLOOKUP(A27,'Billing Dimensions'!$A:$N,10,FALSE)-VLOOKUP(A27,'Audit Dimensions'!$A:$N,10,FALSE)</f>
        <v>0</v>
      </c>
      <c r="K27" s="140">
        <f>VLOOKUP(A27,'Billing Dimensions'!$A:$N,11,FALSE)-VLOOKUP(A27,'Audit Dimensions'!$A:$N,11,FALSE)</f>
        <v>0</v>
      </c>
      <c r="L27" s="140">
        <f>VLOOKUP(A27,'Billing Dimensions'!$A:$N,12,FALSE)-VLOOKUP(A27,'Audit Dimensions'!$A:$N,12,FALSE)</f>
        <v>0</v>
      </c>
      <c r="M27" s="140">
        <f>VLOOKUP(A27,'Billing Dimensions'!$A:$N,13,FALSE)-VLOOKUP(A27,'Audit Dimensions'!$A:$N,13,FALSE)</f>
        <v>0</v>
      </c>
      <c r="N27" s="140">
        <f>VLOOKUP(A27,'Billing Dimensions'!$A:$N,14,FALSE)-VLOOKUP(A27,'Audit Dimensions'!$A:$N,14,FALSE)</f>
        <v>0</v>
      </c>
      <c r="O27" s="147">
        <f>VLOOKUP(A27,'Billing Dimensions'!A:Q,16,FALSE)-VLOOKUP('Audit VAR'!A27,'Audit Dimensions'!A:P,16,FALSE)</f>
        <v>150</v>
      </c>
      <c r="P27" s="148">
        <f t="shared" si="0"/>
        <v>0.15</v>
      </c>
      <c r="Q27" s="151">
        <f t="shared" si="1"/>
        <v>0</v>
      </c>
      <c r="R27" s="80" t="e">
        <f t="shared" si="2"/>
        <v>#DIV/0!</v>
      </c>
    </row>
    <row r="28" spans="1:18" hidden="1">
      <c r="A28" s="132" t="s">
        <v>76</v>
      </c>
      <c r="B28" s="52" t="str">
        <f>VLOOKUP(A28,'Billing Dimensions'!A:B,2,FALSE)</f>
        <v>SB</v>
      </c>
      <c r="C28" s="136">
        <f>VLOOKUP(A28,'Billing Dimensions'!$A:$N,3,FALSE)-VLOOKUP(A28,'Audit Dimensions'!$A:$N,3,FALSE)</f>
        <v>-3</v>
      </c>
      <c r="D28" s="136">
        <f>VLOOKUP(A28,'Billing Dimensions'!$A:$N,4,FALSE)-VLOOKUP(A28,'Audit Dimensions'!$A:$N,4,FALSE)</f>
        <v>-2</v>
      </c>
      <c r="E28" s="136">
        <f>VLOOKUP(A28,'Billing Dimensions'!$A:$N,5,FALSE)-VLOOKUP(A28,'Audit Dimensions'!$A:$N,5,FALSE)</f>
        <v>0</v>
      </c>
      <c r="F28" s="137">
        <f>VLOOKUP(A28,'Billing Dimensions'!$A:$N,6,FALSE)-VLOOKUP(A28,'Audit Dimensions'!$A:$N,6,FALSE)</f>
        <v>4100</v>
      </c>
      <c r="G28" s="138">
        <f>VLOOKUP(A28,'Billing Dimensions'!$A:$N,7,FALSE)-VLOOKUP(A28,'Audit Dimensions'!$A:$N,7,FALSE)</f>
        <v>0</v>
      </c>
      <c r="H28" s="138">
        <f>VLOOKUP(A28,'Billing Dimensions'!$A:$N,8,FALSE)-VLOOKUP(A28,'Audit Dimensions'!$A:$N,8,FALSE)</f>
        <v>0</v>
      </c>
      <c r="I28" s="138">
        <f>VLOOKUP(A28,'Billing Dimensions'!$A:$N,9,FALSE)-VLOOKUP(A28,'Audit Dimensions'!$A:$N,9,FALSE)</f>
        <v>0</v>
      </c>
      <c r="J28" s="139">
        <f>VLOOKUP(A28,'Billing Dimensions'!$A:$N,10,FALSE)-VLOOKUP(A28,'Audit Dimensions'!$A:$N,10,FALSE)</f>
        <v>0</v>
      </c>
      <c r="K28" s="140">
        <f>VLOOKUP(A28,'Billing Dimensions'!$A:$N,11,FALSE)-VLOOKUP(A28,'Audit Dimensions'!$A:$N,11,FALSE)</f>
        <v>0</v>
      </c>
      <c r="L28" s="140">
        <f>VLOOKUP(A28,'Billing Dimensions'!$A:$N,12,FALSE)-VLOOKUP(A28,'Audit Dimensions'!$A:$N,12,FALSE)</f>
        <v>0</v>
      </c>
      <c r="M28" s="140">
        <f>VLOOKUP(A28,'Billing Dimensions'!$A:$N,13,FALSE)-VLOOKUP(A28,'Audit Dimensions'!$A:$N,13,FALSE)</f>
        <v>0</v>
      </c>
      <c r="N28" s="140">
        <f>VLOOKUP(A28,'Billing Dimensions'!$A:$N,14,FALSE)-VLOOKUP(A28,'Audit Dimensions'!$A:$N,14,FALSE)</f>
        <v>0</v>
      </c>
      <c r="O28" s="147">
        <f>VLOOKUP(A28,'Billing Dimensions'!A:Q,16,FALSE)-VLOOKUP('Audit VAR'!A28,'Audit Dimensions'!A:P,16,FALSE)</f>
        <v>4100</v>
      </c>
      <c r="P28" s="148">
        <f t="shared" si="0"/>
        <v>4.0999999999999996</v>
      </c>
      <c r="Q28" s="151">
        <f t="shared" si="1"/>
        <v>0</v>
      </c>
      <c r="R28" s="80" t="e">
        <f t="shared" si="2"/>
        <v>#DIV/0!</v>
      </c>
    </row>
    <row r="29" spans="1:18" ht="12.4" hidden="1" customHeight="1">
      <c r="A29" s="132" t="s">
        <v>77</v>
      </c>
      <c r="B29" s="52" t="str">
        <f>VLOOKUP(A29,'Billing Dimensions'!A:B,2,FALSE)</f>
        <v>SB</v>
      </c>
      <c r="C29" s="136">
        <f>VLOOKUP(A29,'Billing Dimensions'!$A:$N,3,FALSE)-VLOOKUP(A29,'Audit Dimensions'!$A:$N,3,FALSE)</f>
        <v>10</v>
      </c>
      <c r="D29" s="136">
        <f>VLOOKUP(A29,'Billing Dimensions'!$A:$N,4,FALSE)-VLOOKUP(A29,'Audit Dimensions'!$A:$N,4,FALSE)</f>
        <v>6</v>
      </c>
      <c r="E29" s="136">
        <f>VLOOKUP(A29,'Billing Dimensions'!$A:$N,5,FALSE)-VLOOKUP(A29,'Audit Dimensions'!$A:$N,5,FALSE)</f>
        <v>-1</v>
      </c>
      <c r="F29" s="137">
        <f>VLOOKUP(A29,'Billing Dimensions'!$A:$N,6,FALSE)-VLOOKUP(A29,'Audit Dimensions'!$A:$N,6,FALSE)</f>
        <v>-2700</v>
      </c>
      <c r="G29" s="138">
        <f>VLOOKUP(A29,'Billing Dimensions'!$A:$N,7,FALSE)-VLOOKUP(A29,'Audit Dimensions'!$A:$N,7,FALSE)</f>
        <v>0</v>
      </c>
      <c r="H29" s="138">
        <f>VLOOKUP(A29,'Billing Dimensions'!$A:$N,8,FALSE)-VLOOKUP(A29,'Audit Dimensions'!$A:$N,8,FALSE)</f>
        <v>0</v>
      </c>
      <c r="I29" s="138">
        <f>VLOOKUP(A29,'Billing Dimensions'!$A:$N,9,FALSE)-VLOOKUP(A29,'Audit Dimensions'!$A:$N,9,FALSE)</f>
        <v>0</v>
      </c>
      <c r="J29" s="139">
        <f>VLOOKUP(A29,'Billing Dimensions'!$A:$N,10,FALSE)-VLOOKUP(A29,'Audit Dimensions'!$A:$N,10,FALSE)</f>
        <v>0</v>
      </c>
      <c r="K29" s="140">
        <f>VLOOKUP(A29,'Billing Dimensions'!$A:$N,11,FALSE)-VLOOKUP(A29,'Audit Dimensions'!$A:$N,11,FALSE)</f>
        <v>0</v>
      </c>
      <c r="L29" s="140">
        <f>VLOOKUP(A29,'Billing Dimensions'!$A:$N,12,FALSE)-VLOOKUP(A29,'Audit Dimensions'!$A:$N,12,FALSE)</f>
        <v>0</v>
      </c>
      <c r="M29" s="140">
        <f>VLOOKUP(A29,'Billing Dimensions'!$A:$N,13,FALSE)-VLOOKUP(A29,'Audit Dimensions'!$A:$N,13,FALSE)</f>
        <v>0</v>
      </c>
      <c r="N29" s="140">
        <f>VLOOKUP(A29,'Billing Dimensions'!$A:$N,14,FALSE)-VLOOKUP(A29,'Audit Dimensions'!$A:$N,14,FALSE)</f>
        <v>0</v>
      </c>
      <c r="O29" s="147">
        <f>VLOOKUP(A29,'Billing Dimensions'!A:Q,16,FALSE)-VLOOKUP('Audit VAR'!A29,'Audit Dimensions'!A:P,16,FALSE)</f>
        <v>-2700</v>
      </c>
      <c r="P29" s="148">
        <f t="shared" si="0"/>
        <v>-2.7</v>
      </c>
      <c r="Q29" s="151">
        <f t="shared" si="1"/>
        <v>-2.1191999999999999E-3</v>
      </c>
      <c r="R29" s="80">
        <f t="shared" si="2"/>
        <v>1274.0656851642132</v>
      </c>
    </row>
    <row r="30" spans="1:18" hidden="1">
      <c r="A30" s="132" t="s">
        <v>78</v>
      </c>
      <c r="B30" s="52" t="str">
        <f>VLOOKUP(A30,'Billing Dimensions'!A:B,2,FALSE)</f>
        <v>SB</v>
      </c>
      <c r="C30" s="136">
        <f>VLOOKUP(A30,'Billing Dimensions'!$A:$N,3,FALSE)-VLOOKUP(A30,'Audit Dimensions'!$A:$N,3,FALSE)</f>
        <v>0</v>
      </c>
      <c r="D30" s="136">
        <f>VLOOKUP(A30,'Billing Dimensions'!$A:$N,4,FALSE)-VLOOKUP(A30,'Audit Dimensions'!$A:$N,4,FALSE)</f>
        <v>-1</v>
      </c>
      <c r="E30" s="136">
        <f>VLOOKUP(A30,'Billing Dimensions'!$A:$N,5,FALSE)-VLOOKUP(A30,'Audit Dimensions'!$A:$N,5,FALSE)</f>
        <v>-1</v>
      </c>
      <c r="F30" s="137">
        <f>VLOOKUP(A30,'Billing Dimensions'!$A:$N,6,FALSE)-VLOOKUP(A30,'Audit Dimensions'!$A:$N,6,FALSE)</f>
        <v>-4608</v>
      </c>
      <c r="G30" s="138">
        <f>VLOOKUP(A30,'Billing Dimensions'!$A:$N,7,FALSE)-VLOOKUP(A30,'Audit Dimensions'!$A:$N,7,FALSE)</f>
        <v>0</v>
      </c>
      <c r="H30" s="138">
        <f>VLOOKUP(A30,'Billing Dimensions'!$A:$N,8,FALSE)-VLOOKUP(A30,'Audit Dimensions'!$A:$N,8,FALSE)</f>
        <v>0</v>
      </c>
      <c r="I30" s="138">
        <f>VLOOKUP(A30,'Billing Dimensions'!$A:$N,9,FALSE)-VLOOKUP(A30,'Audit Dimensions'!$A:$N,9,FALSE)</f>
        <v>0</v>
      </c>
      <c r="J30" s="139">
        <f>VLOOKUP(A30,'Billing Dimensions'!$A:$N,10,FALSE)-VLOOKUP(A30,'Audit Dimensions'!$A:$N,10,FALSE)</f>
        <v>0</v>
      </c>
      <c r="K30" s="140">
        <f>VLOOKUP(A30,'Billing Dimensions'!$A:$N,11,FALSE)-VLOOKUP(A30,'Audit Dimensions'!$A:$N,11,FALSE)</f>
        <v>0</v>
      </c>
      <c r="L30" s="140">
        <f>VLOOKUP(A30,'Billing Dimensions'!$A:$N,12,FALSE)-VLOOKUP(A30,'Audit Dimensions'!$A:$N,12,FALSE)</f>
        <v>0</v>
      </c>
      <c r="M30" s="140">
        <f>VLOOKUP(A30,'Billing Dimensions'!$A:$N,13,FALSE)-VLOOKUP(A30,'Audit Dimensions'!$A:$N,13,FALSE)</f>
        <v>0</v>
      </c>
      <c r="N30" s="140">
        <f>VLOOKUP(A30,'Billing Dimensions'!$A:$N,14,FALSE)-VLOOKUP(A30,'Audit Dimensions'!$A:$N,14,FALSE)</f>
        <v>0</v>
      </c>
      <c r="O30" s="147">
        <f>VLOOKUP(A30,'Billing Dimensions'!A:Q,16,FALSE)-VLOOKUP('Audit VAR'!A30,'Audit Dimensions'!A:P,16,FALSE)</f>
        <v>-4608</v>
      </c>
      <c r="P30" s="148">
        <f t="shared" si="0"/>
        <v>-4.6079999999999997</v>
      </c>
      <c r="Q30" s="151">
        <f t="shared" si="1"/>
        <v>0</v>
      </c>
      <c r="R30" s="80" t="e">
        <f t="shared" si="2"/>
        <v>#DIV/0!</v>
      </c>
    </row>
    <row r="31" spans="1:18" ht="12.4" hidden="1" customHeight="1">
      <c r="A31" s="132" t="s">
        <v>79</v>
      </c>
      <c r="B31" s="52" t="str">
        <f>VLOOKUP(A31,'Billing Dimensions'!A:B,2,FALSE)</f>
        <v>SB</v>
      </c>
      <c r="C31" s="136">
        <f>VLOOKUP(A31,'Billing Dimensions'!$A:$N,3,FALSE)-VLOOKUP(A31,'Audit Dimensions'!$A:$N,3,FALSE)</f>
        <v>17</v>
      </c>
      <c r="D31" s="136">
        <f>VLOOKUP(A31,'Billing Dimensions'!$A:$N,4,FALSE)-VLOOKUP(A31,'Audit Dimensions'!$A:$N,4,FALSE)</f>
        <v>11</v>
      </c>
      <c r="E31" s="136">
        <f>VLOOKUP(A31,'Billing Dimensions'!$A:$N,5,FALSE)-VLOOKUP(A31,'Audit Dimensions'!$A:$N,5,FALSE)</f>
        <v>-1</v>
      </c>
      <c r="F31" s="137">
        <f>VLOOKUP(A31,'Billing Dimensions'!$A:$N,6,FALSE)-VLOOKUP(A31,'Audit Dimensions'!$A:$N,6,FALSE)</f>
        <v>-1350</v>
      </c>
      <c r="G31" s="138">
        <f>VLOOKUP(A31,'Billing Dimensions'!$A:$N,7,FALSE)-VLOOKUP(A31,'Audit Dimensions'!$A:$N,7,FALSE)</f>
        <v>0</v>
      </c>
      <c r="H31" s="138">
        <f>VLOOKUP(A31,'Billing Dimensions'!$A:$N,8,FALSE)-VLOOKUP(A31,'Audit Dimensions'!$A:$N,8,FALSE)</f>
        <v>0</v>
      </c>
      <c r="I31" s="138">
        <f>VLOOKUP(A31,'Billing Dimensions'!$A:$N,9,FALSE)-VLOOKUP(A31,'Audit Dimensions'!$A:$N,9,FALSE)</f>
        <v>0</v>
      </c>
      <c r="J31" s="139">
        <f>VLOOKUP(A31,'Billing Dimensions'!$A:$N,10,FALSE)-VLOOKUP(A31,'Audit Dimensions'!$A:$N,10,FALSE)</f>
        <v>0</v>
      </c>
      <c r="K31" s="140">
        <f>VLOOKUP(A31,'Billing Dimensions'!$A:$N,11,FALSE)-VLOOKUP(A31,'Audit Dimensions'!$A:$N,11,FALSE)</f>
        <v>0</v>
      </c>
      <c r="L31" s="140">
        <f>VLOOKUP(A31,'Billing Dimensions'!$A:$N,12,FALSE)-VLOOKUP(A31,'Audit Dimensions'!$A:$N,12,FALSE)</f>
        <v>0</v>
      </c>
      <c r="M31" s="140">
        <f>VLOOKUP(A31,'Billing Dimensions'!$A:$N,13,FALSE)-VLOOKUP(A31,'Audit Dimensions'!$A:$N,13,FALSE)</f>
        <v>0</v>
      </c>
      <c r="N31" s="140">
        <f>VLOOKUP(A31,'Billing Dimensions'!$A:$N,14,FALSE)-VLOOKUP(A31,'Audit Dimensions'!$A:$N,14,FALSE)</f>
        <v>0</v>
      </c>
      <c r="O31" s="147">
        <f>VLOOKUP(A31,'Billing Dimensions'!A:Q,16,FALSE)-VLOOKUP('Audit VAR'!A31,'Audit Dimensions'!A:P,16,FALSE)</f>
        <v>-1350</v>
      </c>
      <c r="P31" s="148">
        <f t="shared" si="0"/>
        <v>-1.35</v>
      </c>
      <c r="Q31" s="151">
        <f t="shared" si="1"/>
        <v>-6.6048399999999998E-3</v>
      </c>
      <c r="R31" s="80">
        <f t="shared" si="2"/>
        <v>204.39556446484701</v>
      </c>
    </row>
    <row r="32" spans="1:18" hidden="1">
      <c r="A32" s="132" t="s">
        <v>80</v>
      </c>
      <c r="B32" s="52" t="str">
        <f>VLOOKUP(A32,'Billing Dimensions'!A:B,2,FALSE)</f>
        <v>SB</v>
      </c>
      <c r="C32" s="136">
        <f>VLOOKUP(A32,'Billing Dimensions'!$A:$N,3,FALSE)-VLOOKUP(A32,'Audit Dimensions'!$A:$N,3,FALSE)</f>
        <v>0</v>
      </c>
      <c r="D32" s="136">
        <f>VLOOKUP(A32,'Billing Dimensions'!$A:$N,4,FALSE)-VLOOKUP(A32,'Audit Dimensions'!$A:$N,4,FALSE)</f>
        <v>0</v>
      </c>
      <c r="E32" s="136">
        <f>VLOOKUP(A32,'Billing Dimensions'!$A:$N,5,FALSE)-VLOOKUP(A32,'Audit Dimensions'!$A:$N,5,FALSE)</f>
        <v>0</v>
      </c>
      <c r="F32" s="137">
        <f>VLOOKUP(A32,'Billing Dimensions'!$A:$N,6,FALSE)-VLOOKUP(A32,'Audit Dimensions'!$A:$N,6,FALSE)</f>
        <v>0</v>
      </c>
      <c r="G32" s="138">
        <f>VLOOKUP(A32,'Billing Dimensions'!$A:$N,7,FALSE)-VLOOKUP(A32,'Audit Dimensions'!$A:$N,7,FALSE)</f>
        <v>0</v>
      </c>
      <c r="H32" s="138">
        <f>VLOOKUP(A32,'Billing Dimensions'!$A:$N,8,FALSE)-VLOOKUP(A32,'Audit Dimensions'!$A:$N,8,FALSE)</f>
        <v>0</v>
      </c>
      <c r="I32" s="138">
        <f>VLOOKUP(A32,'Billing Dimensions'!$A:$N,9,FALSE)-VLOOKUP(A32,'Audit Dimensions'!$A:$N,9,FALSE)</f>
        <v>0</v>
      </c>
      <c r="J32" s="139">
        <f>VLOOKUP(A32,'Billing Dimensions'!$A:$N,10,FALSE)-VLOOKUP(A32,'Audit Dimensions'!$A:$N,10,FALSE)</f>
        <v>0</v>
      </c>
      <c r="K32" s="140">
        <f>VLOOKUP(A32,'Billing Dimensions'!$A:$N,11,FALSE)-VLOOKUP(A32,'Audit Dimensions'!$A:$N,11,FALSE)</f>
        <v>0</v>
      </c>
      <c r="L32" s="140">
        <f>VLOOKUP(A32,'Billing Dimensions'!$A:$N,12,FALSE)-VLOOKUP(A32,'Audit Dimensions'!$A:$N,12,FALSE)</f>
        <v>0</v>
      </c>
      <c r="M32" s="140">
        <f>VLOOKUP(A32,'Billing Dimensions'!$A:$N,13,FALSE)-VLOOKUP(A32,'Audit Dimensions'!$A:$N,13,FALSE)</f>
        <v>0</v>
      </c>
      <c r="N32" s="140">
        <f>VLOOKUP(A32,'Billing Dimensions'!$A:$N,14,FALSE)-VLOOKUP(A32,'Audit Dimensions'!$A:$N,14,FALSE)</f>
        <v>0</v>
      </c>
      <c r="O32" s="147">
        <f>VLOOKUP(A32,'Billing Dimensions'!A:Q,16,FALSE)-VLOOKUP('Audit VAR'!A32,'Audit Dimensions'!A:P,16,FALSE)</f>
        <v>0</v>
      </c>
      <c r="P32" s="148">
        <f t="shared" si="0"/>
        <v>0</v>
      </c>
      <c r="Q32" s="151">
        <f t="shared" si="1"/>
        <v>0</v>
      </c>
      <c r="R32" s="80" t="e">
        <f t="shared" si="2"/>
        <v>#DIV/0!</v>
      </c>
    </row>
    <row r="33" spans="1:18" ht="12.4" hidden="1" customHeight="1">
      <c r="A33" s="132" t="s">
        <v>81</v>
      </c>
      <c r="B33" s="52" t="str">
        <f>VLOOKUP(A33,'Billing Dimensions'!A:B,2,FALSE)</f>
        <v>SB</v>
      </c>
      <c r="C33" s="136">
        <f>VLOOKUP(A33,'Billing Dimensions'!$A:$N,3,FALSE)-VLOOKUP(A33,'Audit Dimensions'!$A:$N,3,FALSE)</f>
        <v>0</v>
      </c>
      <c r="D33" s="136">
        <f>VLOOKUP(A33,'Billing Dimensions'!$A:$N,4,FALSE)-VLOOKUP(A33,'Audit Dimensions'!$A:$N,4,FALSE)</f>
        <v>0</v>
      </c>
      <c r="E33" s="136">
        <f>VLOOKUP(A33,'Billing Dimensions'!$A:$N,5,FALSE)-VLOOKUP(A33,'Audit Dimensions'!$A:$N,5,FALSE)</f>
        <v>0</v>
      </c>
      <c r="F33" s="137">
        <f>VLOOKUP(A33,'Billing Dimensions'!$A:$N,6,FALSE)-VLOOKUP(A33,'Audit Dimensions'!$A:$N,6,FALSE)</f>
        <v>0</v>
      </c>
      <c r="G33" s="138">
        <f>VLOOKUP(A33,'Billing Dimensions'!$A:$N,7,FALSE)-VLOOKUP(A33,'Audit Dimensions'!$A:$N,7,FALSE)</f>
        <v>0</v>
      </c>
      <c r="H33" s="138">
        <f>VLOOKUP(A33,'Billing Dimensions'!$A:$N,8,FALSE)-VLOOKUP(A33,'Audit Dimensions'!$A:$N,8,FALSE)</f>
        <v>0</v>
      </c>
      <c r="I33" s="138">
        <f>VLOOKUP(A33,'Billing Dimensions'!$A:$N,9,FALSE)-VLOOKUP(A33,'Audit Dimensions'!$A:$N,9,FALSE)</f>
        <v>0</v>
      </c>
      <c r="J33" s="139">
        <f>VLOOKUP(A33,'Billing Dimensions'!$A:$N,10,FALSE)-VLOOKUP(A33,'Audit Dimensions'!$A:$N,10,FALSE)</f>
        <v>0</v>
      </c>
      <c r="K33" s="140">
        <f>VLOOKUP(A33,'Billing Dimensions'!$A:$N,11,FALSE)-VLOOKUP(A33,'Audit Dimensions'!$A:$N,11,FALSE)</f>
        <v>0</v>
      </c>
      <c r="L33" s="140">
        <f>VLOOKUP(A33,'Billing Dimensions'!$A:$N,12,FALSE)-VLOOKUP(A33,'Audit Dimensions'!$A:$N,12,FALSE)</f>
        <v>0</v>
      </c>
      <c r="M33" s="140">
        <f>VLOOKUP(A33,'Billing Dimensions'!$A:$N,13,FALSE)-VLOOKUP(A33,'Audit Dimensions'!$A:$N,13,FALSE)</f>
        <v>0</v>
      </c>
      <c r="N33" s="140">
        <f>VLOOKUP(A33,'Billing Dimensions'!$A:$N,14,FALSE)-VLOOKUP(A33,'Audit Dimensions'!$A:$N,14,FALSE)</f>
        <v>0</v>
      </c>
      <c r="O33" s="147">
        <f>VLOOKUP(A33,'Billing Dimensions'!A:Q,16,FALSE)-VLOOKUP('Audit VAR'!A33,'Audit Dimensions'!A:P,16,FALSE)</f>
        <v>0</v>
      </c>
      <c r="P33" s="148">
        <f t="shared" si="0"/>
        <v>0</v>
      </c>
      <c r="Q33" s="151">
        <f t="shared" si="1"/>
        <v>0</v>
      </c>
      <c r="R33" s="80" t="e">
        <f t="shared" si="2"/>
        <v>#DIV/0!</v>
      </c>
    </row>
    <row r="34" spans="1:18" hidden="1">
      <c r="A34" s="163" t="s">
        <v>82</v>
      </c>
      <c r="B34" s="52" t="str">
        <f>VLOOKUP(A34,'Billing Dimensions'!A:B,2,FALSE)</f>
        <v>MB</v>
      </c>
      <c r="C34" s="136">
        <f>VLOOKUP(A34,'Billing Dimensions'!$A:$N,3,FALSE)-VLOOKUP(A34,'Audit Dimensions'!$A:$N,3,FALSE)</f>
        <v>0</v>
      </c>
      <c r="D34" s="136">
        <f>VLOOKUP(A34,'Billing Dimensions'!$A:$N,4,FALSE)-VLOOKUP(A34,'Audit Dimensions'!$A:$N,4,FALSE)</f>
        <v>0</v>
      </c>
      <c r="E34" s="136">
        <f>VLOOKUP(A34,'Billing Dimensions'!$A:$N,5,FALSE)-VLOOKUP(A34,'Audit Dimensions'!$A:$N,5,FALSE)</f>
        <v>5</v>
      </c>
      <c r="F34" s="137">
        <f>VLOOKUP(A34,'Billing Dimensions'!$A:$N,6,FALSE)-VLOOKUP(A34,'Audit Dimensions'!$A:$N,6,FALSE)</f>
        <v>2620</v>
      </c>
      <c r="G34" s="138">
        <f>VLOOKUP(A34,'Billing Dimensions'!$A:$N,7,FALSE)-VLOOKUP(A34,'Audit Dimensions'!$A:$N,7,FALSE)</f>
        <v>1</v>
      </c>
      <c r="H34" s="138">
        <f>VLOOKUP(A34,'Billing Dimensions'!$A:$N,8,FALSE)-VLOOKUP(A34,'Audit Dimensions'!$A:$N,8,FALSE)</f>
        <v>0</v>
      </c>
      <c r="I34" s="138">
        <f>VLOOKUP(A34,'Billing Dimensions'!$A:$N,9,FALSE)-VLOOKUP(A34,'Audit Dimensions'!$A:$N,9,FALSE)</f>
        <v>2</v>
      </c>
      <c r="J34" s="139">
        <f>VLOOKUP(A34,'Billing Dimensions'!$A:$N,10,FALSE)-VLOOKUP(A34,'Audit Dimensions'!$A:$N,10,FALSE)</f>
        <v>-300</v>
      </c>
      <c r="K34" s="140">
        <f>VLOOKUP(A34,'Billing Dimensions'!$A:$N,11,FALSE)-VLOOKUP(A34,'Audit Dimensions'!$A:$N,11,FALSE)</f>
        <v>0</v>
      </c>
      <c r="L34" s="140">
        <f>VLOOKUP(A34,'Billing Dimensions'!$A:$N,12,FALSE)-VLOOKUP(A34,'Audit Dimensions'!$A:$N,12,FALSE)</f>
        <v>0</v>
      </c>
      <c r="M34" s="140">
        <f>VLOOKUP(A34,'Billing Dimensions'!$A:$N,13,FALSE)-VLOOKUP(A34,'Audit Dimensions'!$A:$N,13,FALSE)</f>
        <v>0</v>
      </c>
      <c r="N34" s="140">
        <f>VLOOKUP(A34,'Billing Dimensions'!$A:$N,14,FALSE)-VLOOKUP(A34,'Audit Dimensions'!$A:$N,14,FALSE)</f>
        <v>0</v>
      </c>
      <c r="O34" s="147">
        <f>VLOOKUP(A34,'Billing Dimensions'!A:Q,16,FALSE)-VLOOKUP('Audit VAR'!A34,'Audit Dimensions'!A:P,16,FALSE)</f>
        <v>2320</v>
      </c>
      <c r="P34" s="148">
        <f t="shared" si="0"/>
        <v>2.3199999999999998</v>
      </c>
      <c r="Q34" s="151">
        <f t="shared" si="1"/>
        <v>0</v>
      </c>
      <c r="R34" s="80" t="e">
        <f t="shared" si="2"/>
        <v>#DIV/0!</v>
      </c>
    </row>
    <row r="35" spans="1:18" hidden="1">
      <c r="A35" s="163" t="s">
        <v>83</v>
      </c>
      <c r="B35" s="52" t="str">
        <f>VLOOKUP(A35,'Billing Dimensions'!A:B,2,FALSE)</f>
        <v>MB</v>
      </c>
      <c r="C35" s="136">
        <f>VLOOKUP(A35,'Billing Dimensions'!$A:$N,3,FALSE)-VLOOKUP(A35,'Audit Dimensions'!$A:$N,3,FALSE)</f>
        <v>14</v>
      </c>
      <c r="D35" s="136">
        <f>VLOOKUP(A35,'Billing Dimensions'!$A:$N,4,FALSE)-VLOOKUP(A35,'Audit Dimensions'!$A:$N,4,FALSE)</f>
        <v>8</v>
      </c>
      <c r="E35" s="136">
        <f>VLOOKUP(A35,'Billing Dimensions'!$A:$N,5,FALSE)-VLOOKUP(A35,'Audit Dimensions'!$A:$N,5,FALSE)</f>
        <v>-1</v>
      </c>
      <c r="F35" s="137">
        <f>VLOOKUP(A35,'Billing Dimensions'!$A:$N,6,FALSE)-VLOOKUP(A35,'Audit Dimensions'!$A:$N,6,FALSE)</f>
        <v>700</v>
      </c>
      <c r="G35" s="138">
        <f>VLOOKUP(A35,'Billing Dimensions'!$A:$N,7,FALSE)-VLOOKUP(A35,'Audit Dimensions'!$A:$N,7,FALSE)</f>
        <v>1</v>
      </c>
      <c r="H35" s="138">
        <f>VLOOKUP(A35,'Billing Dimensions'!$A:$N,8,FALSE)-VLOOKUP(A35,'Audit Dimensions'!$A:$N,8,FALSE)</f>
        <v>0</v>
      </c>
      <c r="I35" s="138">
        <f>VLOOKUP(A35,'Billing Dimensions'!$A:$N,9,FALSE)-VLOOKUP(A35,'Audit Dimensions'!$A:$N,9,FALSE)</f>
        <v>2</v>
      </c>
      <c r="J35" s="139">
        <f>VLOOKUP(A35,'Billing Dimensions'!$A:$N,10,FALSE)-VLOOKUP(A35,'Audit Dimensions'!$A:$N,10,FALSE)</f>
        <v>-300</v>
      </c>
      <c r="K35" s="140">
        <f>VLOOKUP(A35,'Billing Dimensions'!$A:$N,11,FALSE)-VLOOKUP(A35,'Audit Dimensions'!$A:$N,11,FALSE)</f>
        <v>0</v>
      </c>
      <c r="L35" s="140">
        <f>VLOOKUP(A35,'Billing Dimensions'!$A:$N,12,FALSE)-VLOOKUP(A35,'Audit Dimensions'!$A:$N,12,FALSE)</f>
        <v>0</v>
      </c>
      <c r="M35" s="140">
        <f>VLOOKUP(A35,'Billing Dimensions'!$A:$N,13,FALSE)-VLOOKUP(A35,'Audit Dimensions'!$A:$N,13,FALSE)</f>
        <v>0</v>
      </c>
      <c r="N35" s="140">
        <f>VLOOKUP(A35,'Billing Dimensions'!$A:$N,14,FALSE)-VLOOKUP(A35,'Audit Dimensions'!$A:$N,14,FALSE)</f>
        <v>0</v>
      </c>
      <c r="O35" s="147">
        <f>VLOOKUP(A35,'Billing Dimensions'!A:Q,16,FALSE)-VLOOKUP('Audit VAR'!A35,'Audit Dimensions'!A:P,16,FALSE)</f>
        <v>400</v>
      </c>
      <c r="P35" s="148">
        <f t="shared" si="0"/>
        <v>0.4</v>
      </c>
      <c r="Q35" s="151">
        <f t="shared" si="1"/>
        <v>-3.9558400000000004E-3</v>
      </c>
      <c r="R35" s="80">
        <f t="shared" si="2"/>
        <v>-101.11632421938197</v>
      </c>
    </row>
    <row r="36" spans="1:18" hidden="1">
      <c r="A36" s="163" t="s">
        <v>84</v>
      </c>
      <c r="B36" s="52" t="str">
        <f>VLOOKUP(A36,'Billing Dimensions'!A:B,2,FALSE)</f>
        <v>MB</v>
      </c>
      <c r="C36" s="136">
        <f>VLOOKUP(A36,'Billing Dimensions'!$A:$N,3,FALSE)-VLOOKUP(A36,'Audit Dimensions'!$A:$N,3,FALSE)</f>
        <v>-20</v>
      </c>
      <c r="D36" s="136">
        <f>VLOOKUP(A36,'Billing Dimensions'!$A:$N,4,FALSE)-VLOOKUP(A36,'Audit Dimensions'!$A:$N,4,FALSE)</f>
        <v>30</v>
      </c>
      <c r="E36" s="136">
        <f>VLOOKUP(A36,'Billing Dimensions'!$A:$N,5,FALSE)-VLOOKUP(A36,'Audit Dimensions'!$A:$N,5,FALSE)</f>
        <v>1</v>
      </c>
      <c r="F36" s="137">
        <f>VLOOKUP(A36,'Billing Dimensions'!$A:$N,6,FALSE)-VLOOKUP(A36,'Audit Dimensions'!$A:$N,6,FALSE)</f>
        <v>-2705</v>
      </c>
      <c r="G36" s="138">
        <f>VLOOKUP(A36,'Billing Dimensions'!$A:$N,7,FALSE)-VLOOKUP(A36,'Audit Dimensions'!$A:$N,7,FALSE)</f>
        <v>1</v>
      </c>
      <c r="H36" s="138">
        <f>VLOOKUP(A36,'Billing Dimensions'!$A:$N,8,FALSE)-VLOOKUP(A36,'Audit Dimensions'!$A:$N,8,FALSE)</f>
        <v>0</v>
      </c>
      <c r="I36" s="138">
        <f>VLOOKUP(A36,'Billing Dimensions'!$A:$N,9,FALSE)-VLOOKUP(A36,'Audit Dimensions'!$A:$N,9,FALSE)</f>
        <v>2</v>
      </c>
      <c r="J36" s="139">
        <f>VLOOKUP(A36,'Billing Dimensions'!$A:$N,10,FALSE)-VLOOKUP(A36,'Audit Dimensions'!$A:$N,10,FALSE)</f>
        <v>-300</v>
      </c>
      <c r="K36" s="140">
        <f>VLOOKUP(A36,'Billing Dimensions'!$A:$N,11,FALSE)-VLOOKUP(A36,'Audit Dimensions'!$A:$N,11,FALSE)</f>
        <v>0</v>
      </c>
      <c r="L36" s="140">
        <f>VLOOKUP(A36,'Billing Dimensions'!$A:$N,12,FALSE)-VLOOKUP(A36,'Audit Dimensions'!$A:$N,12,FALSE)</f>
        <v>0</v>
      </c>
      <c r="M36" s="140">
        <f>VLOOKUP(A36,'Billing Dimensions'!$A:$N,13,FALSE)-VLOOKUP(A36,'Audit Dimensions'!$A:$N,13,FALSE)</f>
        <v>0</v>
      </c>
      <c r="N36" s="140">
        <f>VLOOKUP(A36,'Billing Dimensions'!$A:$N,14,FALSE)-VLOOKUP(A36,'Audit Dimensions'!$A:$N,14,FALSE)</f>
        <v>0</v>
      </c>
      <c r="O36" s="147">
        <f>VLOOKUP(A36,'Billing Dimensions'!A:Q,16,FALSE)-VLOOKUP('Audit VAR'!A36,'Audit Dimensions'!A:P,16,FALSE)</f>
        <v>-3005</v>
      </c>
      <c r="P36" s="148">
        <f t="shared" si="0"/>
        <v>-3.0049999999999999</v>
      </c>
      <c r="Q36" s="151">
        <f t="shared" si="1"/>
        <v>-2.1191999999999999E-2</v>
      </c>
      <c r="R36" s="80">
        <f t="shared" si="2"/>
        <v>141.79879199697999</v>
      </c>
    </row>
    <row r="37" spans="1:18" hidden="1">
      <c r="A37" s="132" t="s">
        <v>85</v>
      </c>
      <c r="B37" s="52" t="str">
        <f>VLOOKUP(A37,'Billing Dimensions'!A:B,2,FALSE)</f>
        <v>SB</v>
      </c>
      <c r="C37" s="136">
        <f>VLOOKUP(A37,'Billing Dimensions'!$A:$N,3,FALSE)-VLOOKUP(A37,'Audit Dimensions'!$A:$N,3,FALSE)</f>
        <v>0</v>
      </c>
      <c r="D37" s="136">
        <f>VLOOKUP(A37,'Billing Dimensions'!$A:$N,4,FALSE)-VLOOKUP(A37,'Audit Dimensions'!$A:$N,4,FALSE)</f>
        <v>0</v>
      </c>
      <c r="E37" s="136">
        <f>VLOOKUP(A37,'Billing Dimensions'!$A:$N,5,FALSE)-VLOOKUP(A37,'Audit Dimensions'!$A:$N,5,FALSE)</f>
        <v>0</v>
      </c>
      <c r="F37" s="137">
        <f>VLOOKUP(A37,'Billing Dimensions'!$A:$N,6,FALSE)-VLOOKUP(A37,'Audit Dimensions'!$A:$N,6,FALSE)</f>
        <v>100</v>
      </c>
      <c r="G37" s="138">
        <f>VLOOKUP(A37,'Billing Dimensions'!$A:$N,7,FALSE)-VLOOKUP(A37,'Audit Dimensions'!$A:$N,7,FALSE)</f>
        <v>-51</v>
      </c>
      <c r="H37" s="138">
        <f>VLOOKUP(A37,'Billing Dimensions'!$A:$N,8,FALSE)-VLOOKUP(A37,'Audit Dimensions'!$A:$N,8,FALSE)</f>
        <v>-12</v>
      </c>
      <c r="I37" s="138">
        <f>VLOOKUP(A37,'Billing Dimensions'!$A:$N,9,FALSE)-VLOOKUP(A37,'Audit Dimensions'!$A:$N,9,FALSE)</f>
        <v>-10</v>
      </c>
      <c r="J37" s="139">
        <f>VLOOKUP(A37,'Billing Dimensions'!$A:$N,10,FALSE)-VLOOKUP(A37,'Audit Dimensions'!$A:$N,10,FALSE)</f>
        <v>-1500</v>
      </c>
      <c r="K37" s="140">
        <f>VLOOKUP(A37,'Billing Dimensions'!$A:$N,11,FALSE)-VLOOKUP(A37,'Audit Dimensions'!$A:$N,11,FALSE)</f>
        <v>0</v>
      </c>
      <c r="L37" s="140">
        <f>VLOOKUP(A37,'Billing Dimensions'!$A:$N,12,FALSE)-VLOOKUP(A37,'Audit Dimensions'!$A:$N,12,FALSE)</f>
        <v>0</v>
      </c>
      <c r="M37" s="140">
        <f>VLOOKUP(A37,'Billing Dimensions'!$A:$N,13,FALSE)-VLOOKUP(A37,'Audit Dimensions'!$A:$N,13,FALSE)</f>
        <v>0</v>
      </c>
      <c r="N37" s="140">
        <f>VLOOKUP(A37,'Billing Dimensions'!$A:$N,14,FALSE)-VLOOKUP(A37,'Audit Dimensions'!$A:$N,14,FALSE)</f>
        <v>0</v>
      </c>
      <c r="O37" s="147">
        <f>VLOOKUP(A37,'Billing Dimensions'!A:Q,16,FALSE)-VLOOKUP('Audit VAR'!A37,'Audit Dimensions'!A:P,16,FALSE)</f>
        <v>-1400</v>
      </c>
      <c r="P37" s="148">
        <f t="shared" si="0"/>
        <v>-1.4</v>
      </c>
      <c r="Q37" s="151">
        <f t="shared" si="1"/>
        <v>-0.21615839999999997</v>
      </c>
      <c r="R37" s="80">
        <f t="shared" si="2"/>
        <v>6.4767318781042054</v>
      </c>
    </row>
    <row r="38" spans="1:18" hidden="1">
      <c r="A38" s="132" t="s">
        <v>86</v>
      </c>
      <c r="B38" s="52" t="str">
        <f>VLOOKUP(A38,'Billing Dimensions'!A:B,2,FALSE)</f>
        <v>SB</v>
      </c>
      <c r="C38" s="136">
        <f>VLOOKUP(A38,'Billing Dimensions'!$A:$N,3,FALSE)-VLOOKUP(A38,'Audit Dimensions'!$A:$N,3,FALSE)</f>
        <v>0</v>
      </c>
      <c r="D38" s="136">
        <f>VLOOKUP(A38,'Billing Dimensions'!$A:$N,4,FALSE)-VLOOKUP(A38,'Audit Dimensions'!$A:$N,4,FALSE)</f>
        <v>0</v>
      </c>
      <c r="E38" s="136">
        <f>VLOOKUP(A38,'Billing Dimensions'!$A:$N,5,FALSE)-VLOOKUP(A38,'Audit Dimensions'!$A:$N,5,FALSE)</f>
        <v>-1</v>
      </c>
      <c r="F38" s="137">
        <f>VLOOKUP(A38,'Billing Dimensions'!$A:$N,6,FALSE)-VLOOKUP(A38,'Audit Dimensions'!$A:$N,6,FALSE)</f>
        <v>-1100</v>
      </c>
      <c r="G38" s="138">
        <f>VLOOKUP(A38,'Billing Dimensions'!$A:$N,7,FALSE)-VLOOKUP(A38,'Audit Dimensions'!$A:$N,7,FALSE)</f>
        <v>0</v>
      </c>
      <c r="H38" s="138">
        <f>VLOOKUP(A38,'Billing Dimensions'!$A:$N,8,FALSE)-VLOOKUP(A38,'Audit Dimensions'!$A:$N,8,FALSE)</f>
        <v>0</v>
      </c>
      <c r="I38" s="138">
        <f>VLOOKUP(A38,'Billing Dimensions'!$A:$N,9,FALSE)-VLOOKUP(A38,'Audit Dimensions'!$A:$N,9,FALSE)</f>
        <v>0</v>
      </c>
      <c r="J38" s="139">
        <f>VLOOKUP(A38,'Billing Dimensions'!$A:$N,10,FALSE)-VLOOKUP(A38,'Audit Dimensions'!$A:$N,10,FALSE)</f>
        <v>0</v>
      </c>
      <c r="K38" s="140">
        <f>VLOOKUP(A38,'Billing Dimensions'!$A:$N,11,FALSE)-VLOOKUP(A38,'Audit Dimensions'!$A:$N,11,FALSE)</f>
        <v>0</v>
      </c>
      <c r="L38" s="140">
        <f>VLOOKUP(A38,'Billing Dimensions'!$A:$N,12,FALSE)-VLOOKUP(A38,'Audit Dimensions'!$A:$N,12,FALSE)</f>
        <v>0</v>
      </c>
      <c r="M38" s="140">
        <f>VLOOKUP(A38,'Billing Dimensions'!$A:$N,13,FALSE)-VLOOKUP(A38,'Audit Dimensions'!$A:$N,13,FALSE)</f>
        <v>0</v>
      </c>
      <c r="N38" s="140">
        <f>VLOOKUP(A38,'Billing Dimensions'!$A:$N,14,FALSE)-VLOOKUP(A38,'Audit Dimensions'!$A:$N,14,FALSE)</f>
        <v>0</v>
      </c>
      <c r="O38" s="147">
        <f>VLOOKUP(A38,'Billing Dimensions'!A:Q,16,FALSE)-VLOOKUP('Audit VAR'!A38,'Audit Dimensions'!A:P,16,FALSE)</f>
        <v>-1100</v>
      </c>
      <c r="P38" s="148">
        <f t="shared" si="0"/>
        <v>-1.1000000000000001</v>
      </c>
      <c r="Q38" s="151">
        <f t="shared" si="1"/>
        <v>0</v>
      </c>
      <c r="R38" s="80" t="e">
        <f t="shared" si="2"/>
        <v>#DIV/0!</v>
      </c>
    </row>
    <row r="39" spans="1:18" hidden="1">
      <c r="A39" s="132" t="s">
        <v>87</v>
      </c>
      <c r="B39" s="52" t="str">
        <f>VLOOKUP(A39,'Billing Dimensions'!A:B,2,FALSE)</f>
        <v>SB</v>
      </c>
      <c r="C39" s="136">
        <f>VLOOKUP(A39,'Billing Dimensions'!$A:$N,3,FALSE)-VLOOKUP(A39,'Audit Dimensions'!$A:$N,3,FALSE)</f>
        <v>16</v>
      </c>
      <c r="D39" s="136">
        <f>VLOOKUP(A39,'Billing Dimensions'!$A:$N,4,FALSE)-VLOOKUP(A39,'Audit Dimensions'!$A:$N,4,FALSE)</f>
        <v>-1</v>
      </c>
      <c r="E39" s="136">
        <f>VLOOKUP(A39,'Billing Dimensions'!$A:$N,5,FALSE)-VLOOKUP(A39,'Audit Dimensions'!$A:$N,5,FALSE)</f>
        <v>-3</v>
      </c>
      <c r="F39" s="137">
        <f>VLOOKUP(A39,'Billing Dimensions'!$A:$N,6,FALSE)-VLOOKUP(A39,'Audit Dimensions'!$A:$N,6,FALSE)</f>
        <v>900</v>
      </c>
      <c r="G39" s="138">
        <f>VLOOKUP(A39,'Billing Dimensions'!$A:$N,7,FALSE)-VLOOKUP(A39,'Audit Dimensions'!$A:$N,7,FALSE)</f>
        <v>0</v>
      </c>
      <c r="H39" s="138">
        <f>VLOOKUP(A39,'Billing Dimensions'!$A:$N,8,FALSE)-VLOOKUP(A39,'Audit Dimensions'!$A:$N,8,FALSE)</f>
        <v>0</v>
      </c>
      <c r="I39" s="138">
        <f>VLOOKUP(A39,'Billing Dimensions'!$A:$N,9,FALSE)-VLOOKUP(A39,'Audit Dimensions'!$A:$N,9,FALSE)</f>
        <v>0</v>
      </c>
      <c r="J39" s="139">
        <f>VLOOKUP(A39,'Billing Dimensions'!$A:$N,10,FALSE)-VLOOKUP(A39,'Audit Dimensions'!$A:$N,10,FALSE)</f>
        <v>0</v>
      </c>
      <c r="K39" s="140">
        <f>VLOOKUP(A39,'Billing Dimensions'!$A:$N,11,FALSE)-VLOOKUP(A39,'Audit Dimensions'!$A:$N,11,FALSE)</f>
        <v>0</v>
      </c>
      <c r="L39" s="140">
        <f>VLOOKUP(A39,'Billing Dimensions'!$A:$N,12,FALSE)-VLOOKUP(A39,'Audit Dimensions'!$A:$N,12,FALSE)</f>
        <v>0</v>
      </c>
      <c r="M39" s="140">
        <f>VLOOKUP(A39,'Billing Dimensions'!$A:$N,13,FALSE)-VLOOKUP(A39,'Audit Dimensions'!$A:$N,13,FALSE)</f>
        <v>0</v>
      </c>
      <c r="N39" s="140">
        <f>VLOOKUP(A39,'Billing Dimensions'!$A:$N,14,FALSE)-VLOOKUP(A39,'Audit Dimensions'!$A:$N,14,FALSE)</f>
        <v>0</v>
      </c>
      <c r="O39" s="147">
        <f>VLOOKUP(A39,'Billing Dimensions'!A:Q,16,FALSE)-VLOOKUP('Audit VAR'!A39,'Audit Dimensions'!A:P,16,FALSE)</f>
        <v>900</v>
      </c>
      <c r="P39" s="148">
        <f t="shared" si="0"/>
        <v>0.9</v>
      </c>
      <c r="Q39" s="151">
        <f t="shared" si="1"/>
        <v>1.6953600000000001E-3</v>
      </c>
      <c r="R39" s="80">
        <f t="shared" si="2"/>
        <v>530.86070215175539</v>
      </c>
    </row>
    <row r="40" spans="1:18" hidden="1">
      <c r="A40" s="132" t="s">
        <v>88</v>
      </c>
      <c r="B40" s="52" t="str">
        <f>VLOOKUP(A40,'Billing Dimensions'!A:B,2,FALSE)</f>
        <v>SB</v>
      </c>
      <c r="C40" s="136">
        <f>VLOOKUP(A40,'Billing Dimensions'!$A:$N,3,FALSE)-VLOOKUP(A40,'Audit Dimensions'!$A:$N,3,FALSE)</f>
        <v>0</v>
      </c>
      <c r="D40" s="136">
        <f>VLOOKUP(A40,'Billing Dimensions'!$A:$N,4,FALSE)-VLOOKUP(A40,'Audit Dimensions'!$A:$N,4,FALSE)</f>
        <v>0</v>
      </c>
      <c r="E40" s="136">
        <f>VLOOKUP(A40,'Billing Dimensions'!$A:$N,5,FALSE)-VLOOKUP(A40,'Audit Dimensions'!$A:$N,5,FALSE)</f>
        <v>0</v>
      </c>
      <c r="F40" s="137">
        <f>VLOOKUP(A40,'Billing Dimensions'!$A:$N,6,FALSE)-VLOOKUP(A40,'Audit Dimensions'!$A:$N,6,FALSE)</f>
        <v>-86760</v>
      </c>
      <c r="G40" s="138">
        <f>VLOOKUP(A40,'Billing Dimensions'!$A:$N,7,FALSE)-VLOOKUP(A40,'Audit Dimensions'!$A:$N,7,FALSE)</f>
        <v>0</v>
      </c>
      <c r="H40" s="138">
        <f>VLOOKUP(A40,'Billing Dimensions'!$A:$N,8,FALSE)-VLOOKUP(A40,'Audit Dimensions'!$A:$N,8,FALSE)</f>
        <v>0</v>
      </c>
      <c r="I40" s="138">
        <f>VLOOKUP(A40,'Billing Dimensions'!$A:$N,9,FALSE)-VLOOKUP(A40,'Audit Dimensions'!$A:$N,9,FALSE)</f>
        <v>0</v>
      </c>
      <c r="J40" s="139">
        <f>VLOOKUP(A40,'Billing Dimensions'!$A:$N,10,FALSE)-VLOOKUP(A40,'Audit Dimensions'!$A:$N,10,FALSE)</f>
        <v>0</v>
      </c>
      <c r="K40" s="140">
        <f>VLOOKUP(A40,'Billing Dimensions'!$A:$N,11,FALSE)-VLOOKUP(A40,'Audit Dimensions'!$A:$N,11,FALSE)</f>
        <v>0</v>
      </c>
      <c r="L40" s="140">
        <f>VLOOKUP(A40,'Billing Dimensions'!$A:$N,12,FALSE)-VLOOKUP(A40,'Audit Dimensions'!$A:$N,12,FALSE)</f>
        <v>0</v>
      </c>
      <c r="M40" s="140">
        <f>VLOOKUP(A40,'Billing Dimensions'!$A:$N,13,FALSE)-VLOOKUP(A40,'Audit Dimensions'!$A:$N,13,FALSE)</f>
        <v>0</v>
      </c>
      <c r="N40" s="140">
        <f>VLOOKUP(A40,'Billing Dimensions'!$A:$N,14,FALSE)-VLOOKUP(A40,'Audit Dimensions'!$A:$N,14,FALSE)</f>
        <v>0</v>
      </c>
      <c r="O40" s="147">
        <f>VLOOKUP(A40,'Billing Dimensions'!A:Q,16,FALSE)-VLOOKUP('Audit VAR'!A40,'Audit Dimensions'!A:P,16,FALSE)</f>
        <v>-86760</v>
      </c>
      <c r="P40" s="148">
        <f t="shared" si="0"/>
        <v>-86.76</v>
      </c>
      <c r="Q40" s="151">
        <f t="shared" si="1"/>
        <v>0</v>
      </c>
      <c r="R40" s="80" t="e">
        <f t="shared" si="2"/>
        <v>#DIV/0!</v>
      </c>
    </row>
    <row r="41" spans="1:18" ht="12.4" hidden="1" customHeight="1">
      <c r="A41" s="132" t="s">
        <v>89</v>
      </c>
      <c r="B41" s="52" t="str">
        <f>VLOOKUP(A41,'Billing Dimensions'!A:B,2,FALSE)</f>
        <v>SB</v>
      </c>
      <c r="C41" s="136">
        <f>VLOOKUP(A41,'Billing Dimensions'!$A:$N,3,FALSE)-VLOOKUP(A41,'Audit Dimensions'!$A:$N,3,FALSE)</f>
        <v>0</v>
      </c>
      <c r="D41" s="136">
        <f>VLOOKUP(A41,'Billing Dimensions'!$A:$N,4,FALSE)-VLOOKUP(A41,'Audit Dimensions'!$A:$N,4,FALSE)</f>
        <v>0</v>
      </c>
      <c r="E41" s="136">
        <f>VLOOKUP(A41,'Billing Dimensions'!$A:$N,5,FALSE)-VLOOKUP(A41,'Audit Dimensions'!$A:$N,5,FALSE)</f>
        <v>0</v>
      </c>
      <c r="F41" s="137">
        <f>VLOOKUP(A41,'Billing Dimensions'!$A:$N,6,FALSE)-VLOOKUP(A41,'Audit Dimensions'!$A:$N,6,FALSE)</f>
        <v>200</v>
      </c>
      <c r="G41" s="138">
        <f>VLOOKUP(A41,'Billing Dimensions'!$A:$N,7,FALSE)-VLOOKUP(A41,'Audit Dimensions'!$A:$N,7,FALSE)</f>
        <v>0</v>
      </c>
      <c r="H41" s="138">
        <f>VLOOKUP(A41,'Billing Dimensions'!$A:$N,8,FALSE)-VLOOKUP(A41,'Audit Dimensions'!$A:$N,8,FALSE)</f>
        <v>0</v>
      </c>
      <c r="I41" s="138">
        <f>VLOOKUP(A41,'Billing Dimensions'!$A:$N,9,FALSE)-VLOOKUP(A41,'Audit Dimensions'!$A:$N,9,FALSE)</f>
        <v>0</v>
      </c>
      <c r="J41" s="139">
        <f>VLOOKUP(A41,'Billing Dimensions'!$A:$N,10,FALSE)-VLOOKUP(A41,'Audit Dimensions'!$A:$N,10,FALSE)</f>
        <v>0</v>
      </c>
      <c r="K41" s="140">
        <f>VLOOKUP(A41,'Billing Dimensions'!$A:$N,11,FALSE)-VLOOKUP(A41,'Audit Dimensions'!$A:$N,11,FALSE)</f>
        <v>0</v>
      </c>
      <c r="L41" s="140">
        <f>VLOOKUP(A41,'Billing Dimensions'!$A:$N,12,FALSE)-VLOOKUP(A41,'Audit Dimensions'!$A:$N,12,FALSE)</f>
        <v>0</v>
      </c>
      <c r="M41" s="140">
        <f>VLOOKUP(A41,'Billing Dimensions'!$A:$N,13,FALSE)-VLOOKUP(A41,'Audit Dimensions'!$A:$N,13,FALSE)</f>
        <v>0</v>
      </c>
      <c r="N41" s="140">
        <f>VLOOKUP(A41,'Billing Dimensions'!$A:$N,14,FALSE)-VLOOKUP(A41,'Audit Dimensions'!$A:$N,14,FALSE)</f>
        <v>0</v>
      </c>
      <c r="O41" s="147">
        <f>VLOOKUP(A41,'Billing Dimensions'!A:Q,16,FALSE)-VLOOKUP('Audit VAR'!A41,'Audit Dimensions'!A:P,16,FALSE)</f>
        <v>200</v>
      </c>
      <c r="P41" s="148">
        <f t="shared" si="0"/>
        <v>0.2</v>
      </c>
      <c r="Q41" s="151">
        <f t="shared" si="1"/>
        <v>0</v>
      </c>
      <c r="R41" s="80" t="e">
        <f t="shared" si="2"/>
        <v>#DIV/0!</v>
      </c>
    </row>
    <row r="42" spans="1:18" hidden="1">
      <c r="A42" s="132" t="s">
        <v>91</v>
      </c>
      <c r="B42" s="52" t="str">
        <f>VLOOKUP(A42,'Billing Dimensions'!A:B,2,FALSE)</f>
        <v>SB</v>
      </c>
      <c r="C42" s="136">
        <f>VLOOKUP(A42,'Billing Dimensions'!$A:$N,3,FALSE)-VLOOKUP(A42,'Audit Dimensions'!$A:$N,3,FALSE)</f>
        <v>1</v>
      </c>
      <c r="D42" s="136">
        <f>VLOOKUP(A42,'Billing Dimensions'!$A:$N,4,FALSE)-VLOOKUP(A42,'Audit Dimensions'!$A:$N,4,FALSE)</f>
        <v>0</v>
      </c>
      <c r="E42" s="136">
        <f>VLOOKUP(A42,'Billing Dimensions'!$A:$N,5,FALSE)-VLOOKUP(A42,'Audit Dimensions'!$A:$N,5,FALSE)</f>
        <v>0</v>
      </c>
      <c r="F42" s="137">
        <f>VLOOKUP(A42,'Billing Dimensions'!$A:$N,6,FALSE)-VLOOKUP(A42,'Audit Dimensions'!$A:$N,6,FALSE)</f>
        <v>50</v>
      </c>
      <c r="G42" s="138">
        <f>VLOOKUP(A42,'Billing Dimensions'!$A:$N,7,FALSE)-VLOOKUP(A42,'Audit Dimensions'!$A:$N,7,FALSE)</f>
        <v>0</v>
      </c>
      <c r="H42" s="138">
        <f>VLOOKUP(A42,'Billing Dimensions'!$A:$N,8,FALSE)-VLOOKUP(A42,'Audit Dimensions'!$A:$N,8,FALSE)</f>
        <v>0</v>
      </c>
      <c r="I42" s="138">
        <f>VLOOKUP(A42,'Billing Dimensions'!$A:$N,9,FALSE)-VLOOKUP(A42,'Audit Dimensions'!$A:$N,9,FALSE)</f>
        <v>0</v>
      </c>
      <c r="J42" s="139">
        <f>VLOOKUP(A42,'Billing Dimensions'!$A:$N,10,FALSE)-VLOOKUP(A42,'Audit Dimensions'!$A:$N,10,FALSE)</f>
        <v>0</v>
      </c>
      <c r="K42" s="140">
        <f>VLOOKUP(A42,'Billing Dimensions'!$A:$N,11,FALSE)-VLOOKUP(A42,'Audit Dimensions'!$A:$N,11,FALSE)</f>
        <v>0</v>
      </c>
      <c r="L42" s="140">
        <f>VLOOKUP(A42,'Billing Dimensions'!$A:$N,12,FALSE)-VLOOKUP(A42,'Audit Dimensions'!$A:$N,12,FALSE)</f>
        <v>0</v>
      </c>
      <c r="M42" s="140">
        <f>VLOOKUP(A42,'Billing Dimensions'!$A:$N,13,FALSE)-VLOOKUP(A42,'Audit Dimensions'!$A:$N,13,FALSE)</f>
        <v>0</v>
      </c>
      <c r="N42" s="140">
        <f>VLOOKUP(A42,'Billing Dimensions'!$A:$N,14,FALSE)-VLOOKUP(A42,'Audit Dimensions'!$A:$N,14,FALSE)</f>
        <v>0</v>
      </c>
      <c r="O42" s="147">
        <f>VLOOKUP(A42,'Billing Dimensions'!A:Q,16,FALSE)-VLOOKUP('Audit VAR'!A42,'Audit Dimensions'!A:P,16,FALSE)</f>
        <v>50</v>
      </c>
      <c r="P42" s="148">
        <f t="shared" si="0"/>
        <v>0.05</v>
      </c>
      <c r="Q42" s="151">
        <f t="shared" si="1"/>
        <v>0</v>
      </c>
      <c r="R42" s="80" t="e">
        <f t="shared" si="2"/>
        <v>#DIV/0!</v>
      </c>
    </row>
    <row r="43" spans="1:18" ht="12.4" hidden="1" customHeight="1">
      <c r="A43" s="132" t="s">
        <v>384</v>
      </c>
      <c r="B43" s="52" t="e">
        <f>VLOOKUP(A43,'Billing Dimensions'!A:B,2,FALSE)</f>
        <v>#N/A</v>
      </c>
      <c r="C43" s="136" t="e">
        <f>VLOOKUP(A43,'Billing Dimensions'!$A:$N,3,FALSE)-VLOOKUP(A43,'Audit Dimensions'!$A:$N,3,FALSE)</f>
        <v>#N/A</v>
      </c>
      <c r="D43" s="136" t="e">
        <f>VLOOKUP(A43,'Billing Dimensions'!$A:$N,4,FALSE)-VLOOKUP(A43,'Audit Dimensions'!$A:$N,4,FALSE)</f>
        <v>#N/A</v>
      </c>
      <c r="E43" s="136" t="e">
        <f>VLOOKUP(A43,'Billing Dimensions'!$A:$N,5,FALSE)-VLOOKUP(A43,'Audit Dimensions'!$A:$N,5,FALSE)</f>
        <v>#N/A</v>
      </c>
      <c r="F43" s="137" t="e">
        <f>VLOOKUP(A43,'Billing Dimensions'!$A:$N,6,FALSE)-VLOOKUP(A43,'Audit Dimensions'!$A:$N,6,FALSE)</f>
        <v>#N/A</v>
      </c>
      <c r="G43" s="138" t="e">
        <f>VLOOKUP(A43,'Billing Dimensions'!$A:$N,7,FALSE)-VLOOKUP(A43,'Audit Dimensions'!$A:$N,7,FALSE)</f>
        <v>#N/A</v>
      </c>
      <c r="H43" s="138" t="e">
        <f>VLOOKUP(A43,'Billing Dimensions'!$A:$N,8,FALSE)-VLOOKUP(A43,'Audit Dimensions'!$A:$N,8,FALSE)</f>
        <v>#N/A</v>
      </c>
      <c r="I43" s="138" t="e">
        <f>VLOOKUP(A43,'Billing Dimensions'!$A:$N,9,FALSE)-VLOOKUP(A43,'Audit Dimensions'!$A:$N,9,FALSE)</f>
        <v>#N/A</v>
      </c>
      <c r="J43" s="139" t="e">
        <f>VLOOKUP(A43,'Billing Dimensions'!$A:$N,10,FALSE)-VLOOKUP(A43,'Audit Dimensions'!$A:$N,10,FALSE)</f>
        <v>#N/A</v>
      </c>
      <c r="K43" s="140" t="e">
        <f>VLOOKUP(A43,'Billing Dimensions'!$A:$N,11,FALSE)-VLOOKUP(A43,'Audit Dimensions'!$A:$N,11,FALSE)</f>
        <v>#N/A</v>
      </c>
      <c r="L43" s="140" t="e">
        <f>VLOOKUP(A43,'Billing Dimensions'!$A:$N,12,FALSE)-VLOOKUP(A43,'Audit Dimensions'!$A:$N,12,FALSE)</f>
        <v>#N/A</v>
      </c>
      <c r="M43" s="140" t="e">
        <f>VLOOKUP(A43,'Billing Dimensions'!$A:$N,13,FALSE)-VLOOKUP(A43,'Audit Dimensions'!$A:$N,13,FALSE)</f>
        <v>#N/A</v>
      </c>
      <c r="N43" s="140" t="e">
        <f>VLOOKUP(A43,'Billing Dimensions'!$A:$N,14,FALSE)-VLOOKUP(A43,'Audit Dimensions'!$A:$N,14,FALSE)</f>
        <v>#N/A</v>
      </c>
      <c r="O43" s="147" t="e">
        <f>VLOOKUP(A43,'Billing Dimensions'!A:Q,16,FALSE)-VLOOKUP('Audit VAR'!A43,'Audit Dimensions'!A:P,16,FALSE)</f>
        <v>#N/A</v>
      </c>
      <c r="P43" s="148" t="e">
        <f t="shared" si="0"/>
        <v>#N/A</v>
      </c>
      <c r="Q43" s="151" t="e">
        <f t="shared" si="1"/>
        <v>#N/A</v>
      </c>
      <c r="R43" s="80" t="e">
        <f t="shared" si="2"/>
        <v>#N/A</v>
      </c>
    </row>
    <row r="44" spans="1:18" hidden="1">
      <c r="A44" s="132" t="s">
        <v>94</v>
      </c>
      <c r="B44" s="52" t="str">
        <f>VLOOKUP(A44,'Billing Dimensions'!A:B,2,FALSE)</f>
        <v>SB</v>
      </c>
      <c r="C44" s="136">
        <f>VLOOKUP(A44,'Billing Dimensions'!$A:$N,3,FALSE)-VLOOKUP(A44,'Audit Dimensions'!$A:$N,3,FALSE)</f>
        <v>0</v>
      </c>
      <c r="D44" s="136">
        <f>VLOOKUP(A44,'Billing Dimensions'!$A:$N,4,FALSE)-VLOOKUP(A44,'Audit Dimensions'!$A:$N,4,FALSE)</f>
        <v>0</v>
      </c>
      <c r="E44" s="136">
        <f>VLOOKUP(A44,'Billing Dimensions'!$A:$N,5,FALSE)-VLOOKUP(A44,'Audit Dimensions'!$A:$N,5,FALSE)</f>
        <v>0</v>
      </c>
      <c r="F44" s="137">
        <f>VLOOKUP(A44,'Billing Dimensions'!$A:$N,6,FALSE)-VLOOKUP(A44,'Audit Dimensions'!$A:$N,6,FALSE)</f>
        <v>0</v>
      </c>
      <c r="G44" s="138">
        <f>VLOOKUP(A44,'Billing Dimensions'!$A:$N,7,FALSE)-VLOOKUP(A44,'Audit Dimensions'!$A:$N,7,FALSE)</f>
        <v>0</v>
      </c>
      <c r="H44" s="138">
        <f>VLOOKUP(A44,'Billing Dimensions'!$A:$N,8,FALSE)-VLOOKUP(A44,'Audit Dimensions'!$A:$N,8,FALSE)</f>
        <v>0</v>
      </c>
      <c r="I44" s="138">
        <f>VLOOKUP(A44,'Billing Dimensions'!$A:$N,9,FALSE)-VLOOKUP(A44,'Audit Dimensions'!$A:$N,9,FALSE)</f>
        <v>0</v>
      </c>
      <c r="J44" s="139">
        <f>VLOOKUP(A44,'Billing Dimensions'!$A:$N,10,FALSE)-VLOOKUP(A44,'Audit Dimensions'!$A:$N,10,FALSE)</f>
        <v>0</v>
      </c>
      <c r="K44" s="140">
        <f>VLOOKUP(A44,'Billing Dimensions'!$A:$N,11,FALSE)-VLOOKUP(A44,'Audit Dimensions'!$A:$N,11,FALSE)</f>
        <v>0</v>
      </c>
      <c r="L44" s="140">
        <f>VLOOKUP(A44,'Billing Dimensions'!$A:$N,12,FALSE)-VLOOKUP(A44,'Audit Dimensions'!$A:$N,12,FALSE)</f>
        <v>0</v>
      </c>
      <c r="M44" s="140">
        <f>VLOOKUP(A44,'Billing Dimensions'!$A:$N,13,FALSE)-VLOOKUP(A44,'Audit Dimensions'!$A:$N,13,FALSE)</f>
        <v>0</v>
      </c>
      <c r="N44" s="140">
        <f>VLOOKUP(A44,'Billing Dimensions'!$A:$N,14,FALSE)-VLOOKUP(A44,'Audit Dimensions'!$A:$N,14,FALSE)</f>
        <v>0</v>
      </c>
      <c r="O44" s="147">
        <f>VLOOKUP(A44,'Billing Dimensions'!A:Q,16,FALSE)-VLOOKUP('Audit VAR'!A44,'Audit Dimensions'!A:P,16,FALSE)</f>
        <v>0</v>
      </c>
      <c r="P44" s="148">
        <f t="shared" si="0"/>
        <v>0</v>
      </c>
      <c r="Q44" s="151">
        <f t="shared" si="1"/>
        <v>0</v>
      </c>
      <c r="R44" s="80" t="e">
        <f t="shared" si="2"/>
        <v>#DIV/0!</v>
      </c>
    </row>
    <row r="45" spans="1:18" hidden="1">
      <c r="A45" s="132" t="s">
        <v>96</v>
      </c>
      <c r="B45" s="52" t="str">
        <f>VLOOKUP(A45,'Billing Dimensions'!A:B,2,FALSE)</f>
        <v>SB</v>
      </c>
      <c r="C45" s="136">
        <f>VLOOKUP(A45,'Billing Dimensions'!$A:$N,3,FALSE)-VLOOKUP(A45,'Audit Dimensions'!$A:$N,3,FALSE)</f>
        <v>0</v>
      </c>
      <c r="D45" s="136">
        <f>VLOOKUP(A45,'Billing Dimensions'!$A:$N,4,FALSE)-VLOOKUP(A45,'Audit Dimensions'!$A:$N,4,FALSE)</f>
        <v>0</v>
      </c>
      <c r="E45" s="136">
        <f>VLOOKUP(A45,'Billing Dimensions'!$A:$N,5,FALSE)-VLOOKUP(A45,'Audit Dimensions'!$A:$N,5,FALSE)</f>
        <v>0</v>
      </c>
      <c r="F45" s="137">
        <f>VLOOKUP(A45,'Billing Dimensions'!$A:$N,6,FALSE)-VLOOKUP(A45,'Audit Dimensions'!$A:$N,6,FALSE)</f>
        <v>0</v>
      </c>
      <c r="G45" s="138">
        <f>VLOOKUP(A45,'Billing Dimensions'!$A:$N,7,FALSE)-VLOOKUP(A45,'Audit Dimensions'!$A:$N,7,FALSE)</f>
        <v>0</v>
      </c>
      <c r="H45" s="138">
        <f>VLOOKUP(A45,'Billing Dimensions'!$A:$N,8,FALSE)-VLOOKUP(A45,'Audit Dimensions'!$A:$N,8,FALSE)</f>
        <v>0</v>
      </c>
      <c r="I45" s="138">
        <f>VLOOKUP(A45,'Billing Dimensions'!$A:$N,9,FALSE)-VLOOKUP(A45,'Audit Dimensions'!$A:$N,9,FALSE)</f>
        <v>0</v>
      </c>
      <c r="J45" s="139">
        <f>VLOOKUP(A45,'Billing Dimensions'!$A:$N,10,FALSE)-VLOOKUP(A45,'Audit Dimensions'!$A:$N,10,FALSE)</f>
        <v>0</v>
      </c>
      <c r="K45" s="140">
        <f>VLOOKUP(A45,'Billing Dimensions'!$A:$N,11,FALSE)-VLOOKUP(A45,'Audit Dimensions'!$A:$N,11,FALSE)</f>
        <v>0</v>
      </c>
      <c r="L45" s="140">
        <f>VLOOKUP(A45,'Billing Dimensions'!$A:$N,12,FALSE)-VLOOKUP(A45,'Audit Dimensions'!$A:$N,12,FALSE)</f>
        <v>0</v>
      </c>
      <c r="M45" s="140">
        <f>VLOOKUP(A45,'Billing Dimensions'!$A:$N,13,FALSE)-VLOOKUP(A45,'Audit Dimensions'!$A:$N,13,FALSE)</f>
        <v>0</v>
      </c>
      <c r="N45" s="140">
        <f>VLOOKUP(A45,'Billing Dimensions'!$A:$N,14,FALSE)-VLOOKUP(A45,'Audit Dimensions'!$A:$N,14,FALSE)</f>
        <v>0</v>
      </c>
      <c r="O45" s="147">
        <f>VLOOKUP(A45,'Billing Dimensions'!A:Q,16,FALSE)-VLOOKUP('Audit VAR'!A45,'Audit Dimensions'!A:P,16,FALSE)</f>
        <v>0</v>
      </c>
      <c r="P45" s="148">
        <f t="shared" si="0"/>
        <v>0</v>
      </c>
      <c r="Q45" s="151">
        <f t="shared" si="1"/>
        <v>0</v>
      </c>
      <c r="R45" s="80" t="e">
        <f t="shared" si="2"/>
        <v>#DIV/0!</v>
      </c>
    </row>
    <row r="46" spans="1:18" hidden="1">
      <c r="A46" s="132" t="s">
        <v>100</v>
      </c>
      <c r="B46" s="52" t="str">
        <f>VLOOKUP(A46,'Billing Dimensions'!A:B,2,FALSE)</f>
        <v>SB</v>
      </c>
      <c r="C46" s="136">
        <f>VLOOKUP(A46,'Billing Dimensions'!$A:$N,3,FALSE)-VLOOKUP(A46,'Audit Dimensions'!$A:$N,3,FALSE)</f>
        <v>0</v>
      </c>
      <c r="D46" s="136">
        <f>VLOOKUP(A46,'Billing Dimensions'!$A:$N,4,FALSE)-VLOOKUP(A46,'Audit Dimensions'!$A:$N,4,FALSE)</f>
        <v>0</v>
      </c>
      <c r="E46" s="136">
        <f>VLOOKUP(A46,'Billing Dimensions'!$A:$N,5,FALSE)-VLOOKUP(A46,'Audit Dimensions'!$A:$N,5,FALSE)</f>
        <v>0</v>
      </c>
      <c r="F46" s="137">
        <f>VLOOKUP(A46,'Billing Dimensions'!$A:$N,6,FALSE)-VLOOKUP(A46,'Audit Dimensions'!$A:$N,6,FALSE)</f>
        <v>0</v>
      </c>
      <c r="G46" s="138">
        <f>VLOOKUP(A46,'Billing Dimensions'!$A:$N,7,FALSE)-VLOOKUP(A46,'Audit Dimensions'!$A:$N,7,FALSE)</f>
        <v>0</v>
      </c>
      <c r="H46" s="138">
        <f>VLOOKUP(A46,'Billing Dimensions'!$A:$N,8,FALSE)-VLOOKUP(A46,'Audit Dimensions'!$A:$N,8,FALSE)</f>
        <v>0</v>
      </c>
      <c r="I46" s="138">
        <f>VLOOKUP(A46,'Billing Dimensions'!$A:$N,9,FALSE)-VLOOKUP(A46,'Audit Dimensions'!$A:$N,9,FALSE)</f>
        <v>0</v>
      </c>
      <c r="J46" s="139">
        <f>VLOOKUP(A46,'Billing Dimensions'!$A:$N,10,FALSE)-VLOOKUP(A46,'Audit Dimensions'!$A:$N,10,FALSE)</f>
        <v>0</v>
      </c>
      <c r="K46" s="140">
        <f>VLOOKUP(A46,'Billing Dimensions'!$A:$N,11,FALSE)-VLOOKUP(A46,'Audit Dimensions'!$A:$N,11,FALSE)</f>
        <v>0</v>
      </c>
      <c r="L46" s="140">
        <f>VLOOKUP(A46,'Billing Dimensions'!$A:$N,12,FALSE)-VLOOKUP(A46,'Audit Dimensions'!$A:$N,12,FALSE)</f>
        <v>0</v>
      </c>
      <c r="M46" s="140">
        <f>VLOOKUP(A46,'Billing Dimensions'!$A:$N,13,FALSE)-VLOOKUP(A46,'Audit Dimensions'!$A:$N,13,FALSE)</f>
        <v>0</v>
      </c>
      <c r="N46" s="140">
        <f>VLOOKUP(A46,'Billing Dimensions'!$A:$N,14,FALSE)-VLOOKUP(A46,'Audit Dimensions'!$A:$N,14,FALSE)</f>
        <v>0</v>
      </c>
      <c r="O46" s="147">
        <f>VLOOKUP(A46,'Billing Dimensions'!A:Q,16,FALSE)-VLOOKUP('Audit VAR'!A46,'Audit Dimensions'!A:P,16,FALSE)</f>
        <v>0</v>
      </c>
      <c r="P46" s="148">
        <f t="shared" si="0"/>
        <v>0</v>
      </c>
      <c r="Q46" s="151">
        <f t="shared" si="1"/>
        <v>0</v>
      </c>
      <c r="R46" s="80" t="e">
        <f t="shared" si="2"/>
        <v>#DIV/0!</v>
      </c>
    </row>
    <row r="47" spans="1:18" hidden="1">
      <c r="A47" s="132" t="s">
        <v>101</v>
      </c>
      <c r="B47" s="52" t="str">
        <f>VLOOKUP(A47,'Billing Dimensions'!A:B,2,FALSE)</f>
        <v>SB</v>
      </c>
      <c r="C47" s="136">
        <f>VLOOKUP(A47,'Billing Dimensions'!$A:$N,3,FALSE)-VLOOKUP(A47,'Audit Dimensions'!$A:$N,3,FALSE)</f>
        <v>0</v>
      </c>
      <c r="D47" s="136">
        <f>VLOOKUP(A47,'Billing Dimensions'!$A:$N,4,FALSE)-VLOOKUP(A47,'Audit Dimensions'!$A:$N,4,FALSE)</f>
        <v>0</v>
      </c>
      <c r="E47" s="136">
        <f>VLOOKUP(A47,'Billing Dimensions'!$A:$N,5,FALSE)-VLOOKUP(A47,'Audit Dimensions'!$A:$N,5,FALSE)</f>
        <v>0</v>
      </c>
      <c r="F47" s="137">
        <f>VLOOKUP(A47,'Billing Dimensions'!$A:$N,6,FALSE)-VLOOKUP(A47,'Audit Dimensions'!$A:$N,6,FALSE)</f>
        <v>0</v>
      </c>
      <c r="G47" s="138">
        <f>VLOOKUP(A47,'Billing Dimensions'!$A:$N,7,FALSE)-VLOOKUP(A47,'Audit Dimensions'!$A:$N,7,FALSE)</f>
        <v>0</v>
      </c>
      <c r="H47" s="138">
        <f>VLOOKUP(A47,'Billing Dimensions'!$A:$N,8,FALSE)-VLOOKUP(A47,'Audit Dimensions'!$A:$N,8,FALSE)</f>
        <v>0</v>
      </c>
      <c r="I47" s="138">
        <f>VLOOKUP(A47,'Billing Dimensions'!$A:$N,9,FALSE)-VLOOKUP(A47,'Audit Dimensions'!$A:$N,9,FALSE)</f>
        <v>0</v>
      </c>
      <c r="J47" s="139">
        <f>VLOOKUP(A47,'Billing Dimensions'!$A:$N,10,FALSE)-VLOOKUP(A47,'Audit Dimensions'!$A:$N,10,FALSE)</f>
        <v>0</v>
      </c>
      <c r="K47" s="140">
        <f>VLOOKUP(A47,'Billing Dimensions'!$A:$N,11,FALSE)-VLOOKUP(A47,'Audit Dimensions'!$A:$N,11,FALSE)</f>
        <v>0</v>
      </c>
      <c r="L47" s="140">
        <f>VLOOKUP(A47,'Billing Dimensions'!$A:$N,12,FALSE)-VLOOKUP(A47,'Audit Dimensions'!$A:$N,12,FALSE)</f>
        <v>0</v>
      </c>
      <c r="M47" s="140">
        <f>VLOOKUP(A47,'Billing Dimensions'!$A:$N,13,FALSE)-VLOOKUP(A47,'Audit Dimensions'!$A:$N,13,FALSE)</f>
        <v>0</v>
      </c>
      <c r="N47" s="140">
        <f>VLOOKUP(A47,'Billing Dimensions'!$A:$N,14,FALSE)-VLOOKUP(A47,'Audit Dimensions'!$A:$N,14,FALSE)</f>
        <v>0</v>
      </c>
      <c r="O47" s="147">
        <f>VLOOKUP(A47,'Billing Dimensions'!A:Q,16,FALSE)-VLOOKUP('Audit VAR'!A47,'Audit Dimensions'!A:P,16,FALSE)</f>
        <v>0</v>
      </c>
      <c r="P47" s="148">
        <f t="shared" si="0"/>
        <v>0</v>
      </c>
      <c r="Q47" s="151">
        <f t="shared" si="1"/>
        <v>0</v>
      </c>
      <c r="R47" s="80" t="e">
        <f t="shared" si="2"/>
        <v>#DIV/0!</v>
      </c>
    </row>
    <row r="48" spans="1:18" hidden="1">
      <c r="A48" s="132" t="s">
        <v>102</v>
      </c>
      <c r="B48" s="52" t="str">
        <f>VLOOKUP(A48,'Billing Dimensions'!A:B,2,FALSE)</f>
        <v>SB</v>
      </c>
      <c r="C48" s="136">
        <f>VLOOKUP(A48,'Billing Dimensions'!$A:$N,3,FALSE)-VLOOKUP(A48,'Audit Dimensions'!$A:$N,3,FALSE)</f>
        <v>1</v>
      </c>
      <c r="D48" s="136">
        <f>VLOOKUP(A48,'Billing Dimensions'!$A:$N,4,FALSE)-VLOOKUP(A48,'Audit Dimensions'!$A:$N,4,FALSE)</f>
        <v>-2</v>
      </c>
      <c r="E48" s="136">
        <f>VLOOKUP(A48,'Billing Dimensions'!$A:$N,5,FALSE)-VLOOKUP(A48,'Audit Dimensions'!$A:$N,5,FALSE)</f>
        <v>-2</v>
      </c>
      <c r="F48" s="137">
        <f>VLOOKUP(A48,'Billing Dimensions'!$A:$N,6,FALSE)-VLOOKUP(A48,'Audit Dimensions'!$A:$N,6,FALSE)</f>
        <v>-3240</v>
      </c>
      <c r="G48" s="138">
        <f>VLOOKUP(A48,'Billing Dimensions'!$A:$N,7,FALSE)-VLOOKUP(A48,'Audit Dimensions'!$A:$N,7,FALSE)</f>
        <v>0</v>
      </c>
      <c r="H48" s="138">
        <f>VLOOKUP(A48,'Billing Dimensions'!$A:$N,8,FALSE)-VLOOKUP(A48,'Audit Dimensions'!$A:$N,8,FALSE)</f>
        <v>0</v>
      </c>
      <c r="I48" s="138">
        <f>VLOOKUP(A48,'Billing Dimensions'!$A:$N,9,FALSE)-VLOOKUP(A48,'Audit Dimensions'!$A:$N,9,FALSE)</f>
        <v>0</v>
      </c>
      <c r="J48" s="139">
        <f>VLOOKUP(A48,'Billing Dimensions'!$A:$N,10,FALSE)-VLOOKUP(A48,'Audit Dimensions'!$A:$N,10,FALSE)</f>
        <v>0</v>
      </c>
      <c r="K48" s="140">
        <f>VLOOKUP(A48,'Billing Dimensions'!$A:$N,11,FALSE)-VLOOKUP(A48,'Audit Dimensions'!$A:$N,11,FALSE)</f>
        <v>0</v>
      </c>
      <c r="L48" s="140">
        <f>VLOOKUP(A48,'Billing Dimensions'!$A:$N,12,FALSE)-VLOOKUP(A48,'Audit Dimensions'!$A:$N,12,FALSE)</f>
        <v>0</v>
      </c>
      <c r="M48" s="140">
        <f>VLOOKUP(A48,'Billing Dimensions'!$A:$N,13,FALSE)-VLOOKUP(A48,'Audit Dimensions'!$A:$N,13,FALSE)</f>
        <v>0</v>
      </c>
      <c r="N48" s="140">
        <f>VLOOKUP(A48,'Billing Dimensions'!$A:$N,14,FALSE)-VLOOKUP(A48,'Audit Dimensions'!$A:$N,14,FALSE)</f>
        <v>0</v>
      </c>
      <c r="O48" s="147">
        <f>VLOOKUP(A48,'Billing Dimensions'!A:Q,16,FALSE)-VLOOKUP('Audit VAR'!A48,'Audit Dimensions'!A:P,16,FALSE)</f>
        <v>-3240</v>
      </c>
      <c r="P48" s="148">
        <f t="shared" si="0"/>
        <v>-3.24</v>
      </c>
      <c r="Q48" s="151">
        <f t="shared" si="1"/>
        <v>1.4128E-4</v>
      </c>
      <c r="R48" s="80">
        <f t="shared" si="2"/>
        <v>-22933.182332955832</v>
      </c>
    </row>
    <row r="49" spans="1:18" hidden="1">
      <c r="A49" s="132" t="s">
        <v>103</v>
      </c>
      <c r="B49" s="52" t="str">
        <f>VLOOKUP(A49,'Billing Dimensions'!A:B,2,FALSE)</f>
        <v>SB</v>
      </c>
      <c r="C49" s="136">
        <f>VLOOKUP(A49,'Billing Dimensions'!$A:$N,3,FALSE)-VLOOKUP(A49,'Audit Dimensions'!$A:$N,3,FALSE)</f>
        <v>0</v>
      </c>
      <c r="D49" s="136">
        <f>VLOOKUP(A49,'Billing Dimensions'!$A:$N,4,FALSE)-VLOOKUP(A49,'Audit Dimensions'!$A:$N,4,FALSE)</f>
        <v>0</v>
      </c>
      <c r="E49" s="136">
        <f>VLOOKUP(A49,'Billing Dimensions'!$A:$N,5,FALSE)-VLOOKUP(A49,'Audit Dimensions'!$A:$N,5,FALSE)</f>
        <v>0</v>
      </c>
      <c r="F49" s="137">
        <f>VLOOKUP(A49,'Billing Dimensions'!$A:$N,6,FALSE)-VLOOKUP(A49,'Audit Dimensions'!$A:$N,6,FALSE)</f>
        <v>0</v>
      </c>
      <c r="G49" s="138">
        <f>VLOOKUP(A49,'Billing Dimensions'!$A:$N,7,FALSE)-VLOOKUP(A49,'Audit Dimensions'!$A:$N,7,FALSE)</f>
        <v>0</v>
      </c>
      <c r="H49" s="138">
        <f>VLOOKUP(A49,'Billing Dimensions'!$A:$N,8,FALSE)-VLOOKUP(A49,'Audit Dimensions'!$A:$N,8,FALSE)</f>
        <v>0</v>
      </c>
      <c r="I49" s="138">
        <f>VLOOKUP(A49,'Billing Dimensions'!$A:$N,9,FALSE)-VLOOKUP(A49,'Audit Dimensions'!$A:$N,9,FALSE)</f>
        <v>0</v>
      </c>
      <c r="J49" s="139">
        <f>VLOOKUP(A49,'Billing Dimensions'!$A:$N,10,FALSE)-VLOOKUP(A49,'Audit Dimensions'!$A:$N,10,FALSE)</f>
        <v>0</v>
      </c>
      <c r="K49" s="140">
        <f>VLOOKUP(A49,'Billing Dimensions'!$A:$N,11,FALSE)-VLOOKUP(A49,'Audit Dimensions'!$A:$N,11,FALSE)</f>
        <v>0</v>
      </c>
      <c r="L49" s="140">
        <f>VLOOKUP(A49,'Billing Dimensions'!$A:$N,12,FALSE)-VLOOKUP(A49,'Audit Dimensions'!$A:$N,12,FALSE)</f>
        <v>0</v>
      </c>
      <c r="M49" s="140">
        <f>VLOOKUP(A49,'Billing Dimensions'!$A:$N,13,FALSE)-VLOOKUP(A49,'Audit Dimensions'!$A:$N,13,FALSE)</f>
        <v>0</v>
      </c>
      <c r="N49" s="140">
        <f>VLOOKUP(A49,'Billing Dimensions'!$A:$N,14,FALSE)-VLOOKUP(A49,'Audit Dimensions'!$A:$N,14,FALSE)</f>
        <v>0</v>
      </c>
      <c r="O49" s="147">
        <f>VLOOKUP(A49,'Billing Dimensions'!A:Q,16,FALSE)-VLOOKUP('Audit VAR'!A49,'Audit Dimensions'!A:P,16,FALSE)</f>
        <v>0</v>
      </c>
      <c r="P49" s="148">
        <f t="shared" si="0"/>
        <v>0</v>
      </c>
      <c r="Q49" s="151">
        <f t="shared" si="1"/>
        <v>0</v>
      </c>
      <c r="R49" s="80" t="e">
        <f t="shared" si="2"/>
        <v>#DIV/0!</v>
      </c>
    </row>
    <row r="50" spans="1:18" hidden="1">
      <c r="A50" s="132" t="s">
        <v>105</v>
      </c>
      <c r="B50" s="52" t="str">
        <f>VLOOKUP(A50,'Billing Dimensions'!A:B,2,FALSE)</f>
        <v>SB</v>
      </c>
      <c r="C50" s="136">
        <f>VLOOKUP(A50,'Billing Dimensions'!$A:$N,3,FALSE)-VLOOKUP(A50,'Audit Dimensions'!$A:$N,3,FALSE)</f>
        <v>-2</v>
      </c>
      <c r="D50" s="136">
        <f>VLOOKUP(A50,'Billing Dimensions'!$A:$N,4,FALSE)-VLOOKUP(A50,'Audit Dimensions'!$A:$N,4,FALSE)</f>
        <v>0</v>
      </c>
      <c r="E50" s="136">
        <f>VLOOKUP(A50,'Billing Dimensions'!$A:$N,5,FALSE)-VLOOKUP(A50,'Audit Dimensions'!$A:$N,5,FALSE)</f>
        <v>0</v>
      </c>
      <c r="F50" s="137">
        <f>VLOOKUP(A50,'Billing Dimensions'!$A:$N,6,FALSE)-VLOOKUP(A50,'Audit Dimensions'!$A:$N,6,FALSE)</f>
        <v>0</v>
      </c>
      <c r="G50" s="138">
        <f>VLOOKUP(A50,'Billing Dimensions'!$A:$N,7,FALSE)-VLOOKUP(A50,'Audit Dimensions'!$A:$N,7,FALSE)</f>
        <v>0</v>
      </c>
      <c r="H50" s="138">
        <f>VLOOKUP(A50,'Billing Dimensions'!$A:$N,8,FALSE)-VLOOKUP(A50,'Audit Dimensions'!$A:$N,8,FALSE)</f>
        <v>0</v>
      </c>
      <c r="I50" s="138">
        <f>VLOOKUP(A50,'Billing Dimensions'!$A:$N,9,FALSE)-VLOOKUP(A50,'Audit Dimensions'!$A:$N,9,FALSE)</f>
        <v>0</v>
      </c>
      <c r="J50" s="139">
        <f>VLOOKUP(A50,'Billing Dimensions'!$A:$N,10,FALSE)-VLOOKUP(A50,'Audit Dimensions'!$A:$N,10,FALSE)</f>
        <v>0</v>
      </c>
      <c r="K50" s="140">
        <f>VLOOKUP(A50,'Billing Dimensions'!$A:$N,11,FALSE)-VLOOKUP(A50,'Audit Dimensions'!$A:$N,11,FALSE)</f>
        <v>0</v>
      </c>
      <c r="L50" s="140">
        <f>VLOOKUP(A50,'Billing Dimensions'!$A:$N,12,FALSE)-VLOOKUP(A50,'Audit Dimensions'!$A:$N,12,FALSE)</f>
        <v>0</v>
      </c>
      <c r="M50" s="140">
        <f>VLOOKUP(A50,'Billing Dimensions'!$A:$N,13,FALSE)-VLOOKUP(A50,'Audit Dimensions'!$A:$N,13,FALSE)</f>
        <v>0</v>
      </c>
      <c r="N50" s="140">
        <f>VLOOKUP(A50,'Billing Dimensions'!$A:$N,14,FALSE)-VLOOKUP(A50,'Audit Dimensions'!$A:$N,14,FALSE)</f>
        <v>0</v>
      </c>
      <c r="O50" s="147">
        <f>VLOOKUP(A50,'Billing Dimensions'!A:Q,16,FALSE)-VLOOKUP('Audit VAR'!A50,'Audit Dimensions'!A:P,16,FALSE)</f>
        <v>0</v>
      </c>
      <c r="P50" s="148">
        <f t="shared" si="0"/>
        <v>0</v>
      </c>
      <c r="Q50" s="151">
        <f t="shared" si="1"/>
        <v>0</v>
      </c>
      <c r="R50" s="80" t="e">
        <f t="shared" si="2"/>
        <v>#DIV/0!</v>
      </c>
    </row>
    <row r="51" spans="1:18" hidden="1">
      <c r="A51" s="132" t="s">
        <v>106</v>
      </c>
      <c r="B51" s="52" t="str">
        <f>VLOOKUP(A51,'Billing Dimensions'!A:B,2,FALSE)</f>
        <v>SB</v>
      </c>
      <c r="C51" s="136">
        <f>VLOOKUP(A51,'Billing Dimensions'!$A:$N,3,FALSE)-VLOOKUP(A51,'Audit Dimensions'!$A:$N,3,FALSE)</f>
        <v>1</v>
      </c>
      <c r="D51" s="136">
        <f>VLOOKUP(A51,'Billing Dimensions'!$A:$N,4,FALSE)-VLOOKUP(A51,'Audit Dimensions'!$A:$N,4,FALSE)</f>
        <v>-2</v>
      </c>
      <c r="E51" s="136">
        <f>VLOOKUP(A51,'Billing Dimensions'!$A:$N,5,FALSE)-VLOOKUP(A51,'Audit Dimensions'!$A:$N,5,FALSE)</f>
        <v>2</v>
      </c>
      <c r="F51" s="137">
        <f>VLOOKUP(A51,'Billing Dimensions'!$A:$N,6,FALSE)-VLOOKUP(A51,'Audit Dimensions'!$A:$N,6,FALSE)</f>
        <v>-150</v>
      </c>
      <c r="G51" s="138">
        <f>VLOOKUP(A51,'Billing Dimensions'!$A:$N,7,FALSE)-VLOOKUP(A51,'Audit Dimensions'!$A:$N,7,FALSE)</f>
        <v>0</v>
      </c>
      <c r="H51" s="138">
        <f>VLOOKUP(A51,'Billing Dimensions'!$A:$N,8,FALSE)-VLOOKUP(A51,'Audit Dimensions'!$A:$N,8,FALSE)</f>
        <v>0</v>
      </c>
      <c r="I51" s="138">
        <f>VLOOKUP(A51,'Billing Dimensions'!$A:$N,9,FALSE)-VLOOKUP(A51,'Audit Dimensions'!$A:$N,9,FALSE)</f>
        <v>0</v>
      </c>
      <c r="J51" s="139">
        <f>VLOOKUP(A51,'Billing Dimensions'!$A:$N,10,FALSE)-VLOOKUP(A51,'Audit Dimensions'!$A:$N,10,FALSE)</f>
        <v>0</v>
      </c>
      <c r="K51" s="140">
        <f>VLOOKUP(A51,'Billing Dimensions'!$A:$N,11,FALSE)-VLOOKUP(A51,'Audit Dimensions'!$A:$N,11,FALSE)</f>
        <v>0</v>
      </c>
      <c r="L51" s="140">
        <f>VLOOKUP(A51,'Billing Dimensions'!$A:$N,12,FALSE)-VLOOKUP(A51,'Audit Dimensions'!$A:$N,12,FALSE)</f>
        <v>0</v>
      </c>
      <c r="M51" s="140">
        <f>VLOOKUP(A51,'Billing Dimensions'!$A:$N,13,FALSE)-VLOOKUP(A51,'Audit Dimensions'!$A:$N,13,FALSE)</f>
        <v>0</v>
      </c>
      <c r="N51" s="140">
        <f>VLOOKUP(A51,'Billing Dimensions'!$A:$N,14,FALSE)-VLOOKUP(A51,'Audit Dimensions'!$A:$N,14,FALSE)</f>
        <v>0</v>
      </c>
      <c r="O51" s="147">
        <f>VLOOKUP(A51,'Billing Dimensions'!A:Q,16,FALSE)-VLOOKUP('Audit VAR'!A51,'Audit Dimensions'!A:P,16,FALSE)</f>
        <v>-150</v>
      </c>
      <c r="P51" s="148">
        <f t="shared" si="0"/>
        <v>-0.15</v>
      </c>
      <c r="Q51" s="151">
        <f t="shared" si="1"/>
        <v>-1.4128E-4</v>
      </c>
      <c r="R51" s="80">
        <f t="shared" si="2"/>
        <v>1061.7214043035108</v>
      </c>
    </row>
    <row r="52" spans="1:18" hidden="1">
      <c r="A52" s="132" t="s">
        <v>385</v>
      </c>
      <c r="B52" s="52" t="e">
        <f>VLOOKUP(A52,'Billing Dimensions'!A:B,2,FALSE)</f>
        <v>#N/A</v>
      </c>
      <c r="C52" s="136" t="e">
        <f>VLOOKUP(A52,'Billing Dimensions'!$A:$N,3,FALSE)-VLOOKUP(A52,'Audit Dimensions'!$A:$N,3,FALSE)</f>
        <v>#N/A</v>
      </c>
      <c r="D52" s="136" t="e">
        <f>VLOOKUP(A52,'Billing Dimensions'!$A:$N,4,FALSE)-VLOOKUP(A52,'Audit Dimensions'!$A:$N,4,FALSE)</f>
        <v>#N/A</v>
      </c>
      <c r="E52" s="136" t="e">
        <f>VLOOKUP(A52,'Billing Dimensions'!$A:$N,5,FALSE)-VLOOKUP(A52,'Audit Dimensions'!$A:$N,5,FALSE)</f>
        <v>#N/A</v>
      </c>
      <c r="F52" s="137" t="e">
        <f>VLOOKUP(A52,'Billing Dimensions'!$A:$N,6,FALSE)-VLOOKUP(A52,'Audit Dimensions'!$A:$N,6,FALSE)</f>
        <v>#N/A</v>
      </c>
      <c r="G52" s="138" t="e">
        <f>VLOOKUP(A52,'Billing Dimensions'!$A:$N,7,FALSE)-VLOOKUP(A52,'Audit Dimensions'!$A:$N,7,FALSE)</f>
        <v>#N/A</v>
      </c>
      <c r="H52" s="138" t="e">
        <f>VLOOKUP(A52,'Billing Dimensions'!$A:$N,8,FALSE)-VLOOKUP(A52,'Audit Dimensions'!$A:$N,8,FALSE)</f>
        <v>#N/A</v>
      </c>
      <c r="I52" s="138" t="e">
        <f>VLOOKUP(A52,'Billing Dimensions'!$A:$N,9,FALSE)-VLOOKUP(A52,'Audit Dimensions'!$A:$N,9,FALSE)</f>
        <v>#N/A</v>
      </c>
      <c r="J52" s="139" t="e">
        <f>VLOOKUP(A52,'Billing Dimensions'!$A:$N,10,FALSE)-VLOOKUP(A52,'Audit Dimensions'!$A:$N,10,FALSE)</f>
        <v>#N/A</v>
      </c>
      <c r="K52" s="140" t="e">
        <f>VLOOKUP(A52,'Billing Dimensions'!$A:$N,11,FALSE)-VLOOKUP(A52,'Audit Dimensions'!$A:$N,11,FALSE)</f>
        <v>#N/A</v>
      </c>
      <c r="L52" s="140" t="e">
        <f>VLOOKUP(A52,'Billing Dimensions'!$A:$N,12,FALSE)-VLOOKUP(A52,'Audit Dimensions'!$A:$N,12,FALSE)</f>
        <v>#N/A</v>
      </c>
      <c r="M52" s="140" t="e">
        <f>VLOOKUP(A52,'Billing Dimensions'!$A:$N,13,FALSE)-VLOOKUP(A52,'Audit Dimensions'!$A:$N,13,FALSE)</f>
        <v>#N/A</v>
      </c>
      <c r="N52" s="140" t="e">
        <f>VLOOKUP(A52,'Billing Dimensions'!$A:$N,14,FALSE)-VLOOKUP(A52,'Audit Dimensions'!$A:$N,14,FALSE)</f>
        <v>#N/A</v>
      </c>
      <c r="O52" s="147" t="e">
        <f>VLOOKUP(A52,'Billing Dimensions'!A:Q,16,FALSE)-VLOOKUP('Audit VAR'!A52,'Audit Dimensions'!A:P,16,FALSE)</f>
        <v>#N/A</v>
      </c>
      <c r="P52" s="148" t="e">
        <f t="shared" si="0"/>
        <v>#N/A</v>
      </c>
      <c r="Q52" s="151" t="e">
        <f t="shared" si="1"/>
        <v>#N/A</v>
      </c>
      <c r="R52" s="80" t="e">
        <f t="shared" si="2"/>
        <v>#N/A</v>
      </c>
    </row>
    <row r="53" spans="1:18" hidden="1">
      <c r="A53" s="132" t="s">
        <v>110</v>
      </c>
      <c r="B53" s="52" t="str">
        <f>VLOOKUP(A53,'Billing Dimensions'!A:B,2,FALSE)</f>
        <v>SB</v>
      </c>
      <c r="C53" s="136">
        <f>VLOOKUP(A53,'Billing Dimensions'!$A:$N,3,FALSE)-VLOOKUP(A53,'Audit Dimensions'!$A:$N,3,FALSE)</f>
        <v>0</v>
      </c>
      <c r="D53" s="136">
        <f>VLOOKUP(A53,'Billing Dimensions'!$A:$N,4,FALSE)-VLOOKUP(A53,'Audit Dimensions'!$A:$N,4,FALSE)</f>
        <v>0</v>
      </c>
      <c r="E53" s="136">
        <f>VLOOKUP(A53,'Billing Dimensions'!$A:$N,5,FALSE)-VLOOKUP(A53,'Audit Dimensions'!$A:$N,5,FALSE)</f>
        <v>0</v>
      </c>
      <c r="F53" s="137">
        <f>VLOOKUP(A53,'Billing Dimensions'!$A:$N,6,FALSE)-VLOOKUP(A53,'Audit Dimensions'!$A:$N,6,FALSE)</f>
        <v>0</v>
      </c>
      <c r="G53" s="138">
        <f>VLOOKUP(A53,'Billing Dimensions'!$A:$N,7,FALSE)-VLOOKUP(A53,'Audit Dimensions'!$A:$N,7,FALSE)</f>
        <v>0</v>
      </c>
      <c r="H53" s="138">
        <f>VLOOKUP(A53,'Billing Dimensions'!$A:$N,8,FALSE)-VLOOKUP(A53,'Audit Dimensions'!$A:$N,8,FALSE)</f>
        <v>0</v>
      </c>
      <c r="I53" s="138">
        <f>VLOOKUP(A53,'Billing Dimensions'!$A:$N,9,FALSE)-VLOOKUP(A53,'Audit Dimensions'!$A:$N,9,FALSE)</f>
        <v>0</v>
      </c>
      <c r="J53" s="139">
        <f>VLOOKUP(A53,'Billing Dimensions'!$A:$N,10,FALSE)-VLOOKUP(A53,'Audit Dimensions'!$A:$N,10,FALSE)</f>
        <v>0</v>
      </c>
      <c r="K53" s="140">
        <f>VLOOKUP(A53,'Billing Dimensions'!$A:$N,11,FALSE)-VLOOKUP(A53,'Audit Dimensions'!$A:$N,11,FALSE)</f>
        <v>0</v>
      </c>
      <c r="L53" s="140">
        <f>VLOOKUP(A53,'Billing Dimensions'!$A:$N,12,FALSE)-VLOOKUP(A53,'Audit Dimensions'!$A:$N,12,FALSE)</f>
        <v>0</v>
      </c>
      <c r="M53" s="140">
        <f>VLOOKUP(A53,'Billing Dimensions'!$A:$N,13,FALSE)-VLOOKUP(A53,'Audit Dimensions'!$A:$N,13,FALSE)</f>
        <v>0</v>
      </c>
      <c r="N53" s="140">
        <f>VLOOKUP(A53,'Billing Dimensions'!$A:$N,14,FALSE)-VLOOKUP(A53,'Audit Dimensions'!$A:$N,14,FALSE)</f>
        <v>0</v>
      </c>
      <c r="O53" s="147">
        <f>VLOOKUP(A53,'Billing Dimensions'!A:Q,16,FALSE)-VLOOKUP('Audit VAR'!A53,'Audit Dimensions'!A:P,16,FALSE)</f>
        <v>0</v>
      </c>
      <c r="P53" s="148">
        <f t="shared" si="0"/>
        <v>0</v>
      </c>
      <c r="Q53" s="151">
        <f t="shared" si="1"/>
        <v>0</v>
      </c>
      <c r="R53" s="80" t="e">
        <f t="shared" si="2"/>
        <v>#DIV/0!</v>
      </c>
    </row>
    <row r="54" spans="1:18" hidden="1">
      <c r="A54" s="132" t="s">
        <v>111</v>
      </c>
      <c r="B54" s="52" t="str">
        <f>VLOOKUP(A54,'Billing Dimensions'!A:B,2,FALSE)</f>
        <v>SB</v>
      </c>
      <c r="C54" s="136">
        <f>VLOOKUP(A54,'Billing Dimensions'!$A:$N,3,FALSE)-VLOOKUP(A54,'Audit Dimensions'!$A:$N,3,FALSE)</f>
        <v>-1</v>
      </c>
      <c r="D54" s="136">
        <f>VLOOKUP(A54,'Billing Dimensions'!$A:$N,4,FALSE)-VLOOKUP(A54,'Audit Dimensions'!$A:$N,4,FALSE)</f>
        <v>0</v>
      </c>
      <c r="E54" s="136">
        <f>VLOOKUP(A54,'Billing Dimensions'!$A:$N,5,FALSE)-VLOOKUP(A54,'Audit Dimensions'!$A:$N,5,FALSE)</f>
        <v>0</v>
      </c>
      <c r="F54" s="137">
        <f>VLOOKUP(A54,'Billing Dimensions'!$A:$N,6,FALSE)-VLOOKUP(A54,'Audit Dimensions'!$A:$N,6,FALSE)</f>
        <v>40</v>
      </c>
      <c r="G54" s="138">
        <f>VLOOKUP(A54,'Billing Dimensions'!$A:$N,7,FALSE)-VLOOKUP(A54,'Audit Dimensions'!$A:$N,7,FALSE)</f>
        <v>0</v>
      </c>
      <c r="H54" s="138">
        <f>VLOOKUP(A54,'Billing Dimensions'!$A:$N,8,FALSE)-VLOOKUP(A54,'Audit Dimensions'!$A:$N,8,FALSE)</f>
        <v>0</v>
      </c>
      <c r="I54" s="138">
        <f>VLOOKUP(A54,'Billing Dimensions'!$A:$N,9,FALSE)-VLOOKUP(A54,'Audit Dimensions'!$A:$N,9,FALSE)</f>
        <v>0</v>
      </c>
      <c r="J54" s="139">
        <f>VLOOKUP(A54,'Billing Dimensions'!$A:$N,10,FALSE)-VLOOKUP(A54,'Audit Dimensions'!$A:$N,10,FALSE)</f>
        <v>0</v>
      </c>
      <c r="K54" s="140">
        <f>VLOOKUP(A54,'Billing Dimensions'!$A:$N,11,FALSE)-VLOOKUP(A54,'Audit Dimensions'!$A:$N,11,FALSE)</f>
        <v>0</v>
      </c>
      <c r="L54" s="140">
        <f>VLOOKUP(A54,'Billing Dimensions'!$A:$N,12,FALSE)-VLOOKUP(A54,'Audit Dimensions'!$A:$N,12,FALSE)</f>
        <v>0</v>
      </c>
      <c r="M54" s="140">
        <f>VLOOKUP(A54,'Billing Dimensions'!$A:$N,13,FALSE)-VLOOKUP(A54,'Audit Dimensions'!$A:$N,13,FALSE)</f>
        <v>0</v>
      </c>
      <c r="N54" s="140">
        <f>VLOOKUP(A54,'Billing Dimensions'!$A:$N,14,FALSE)-VLOOKUP(A54,'Audit Dimensions'!$A:$N,14,FALSE)</f>
        <v>0</v>
      </c>
      <c r="O54" s="147">
        <f>VLOOKUP(A54,'Billing Dimensions'!A:Q,16,FALSE)-VLOOKUP('Audit VAR'!A54,'Audit Dimensions'!A:P,16,FALSE)</f>
        <v>40</v>
      </c>
      <c r="P54" s="148">
        <f t="shared" si="0"/>
        <v>0.04</v>
      </c>
      <c r="Q54" s="151">
        <f t="shared" si="1"/>
        <v>0</v>
      </c>
      <c r="R54" s="80" t="e">
        <f t="shared" si="2"/>
        <v>#DIV/0!</v>
      </c>
    </row>
    <row r="55" spans="1:18" hidden="1">
      <c r="A55" s="132" t="s">
        <v>112</v>
      </c>
      <c r="B55" s="52" t="str">
        <f>VLOOKUP(A55,'Billing Dimensions'!A:B,2,FALSE)</f>
        <v>SB</v>
      </c>
      <c r="C55" s="136">
        <f>VLOOKUP(A55,'Billing Dimensions'!$A:$N,3,FALSE)-VLOOKUP(A55,'Audit Dimensions'!$A:$N,3,FALSE)</f>
        <v>1</v>
      </c>
      <c r="D55" s="136">
        <f>VLOOKUP(A55,'Billing Dimensions'!$A:$N,4,FALSE)-VLOOKUP(A55,'Audit Dimensions'!$A:$N,4,FALSE)</f>
        <v>-2</v>
      </c>
      <c r="E55" s="136">
        <f>VLOOKUP(A55,'Billing Dimensions'!$A:$N,5,FALSE)-VLOOKUP(A55,'Audit Dimensions'!$A:$N,5,FALSE)</f>
        <v>0</v>
      </c>
      <c r="F55" s="137">
        <f>VLOOKUP(A55,'Billing Dimensions'!$A:$N,6,FALSE)-VLOOKUP(A55,'Audit Dimensions'!$A:$N,6,FALSE)</f>
        <v>0</v>
      </c>
      <c r="G55" s="138">
        <f>VLOOKUP(A55,'Billing Dimensions'!$A:$N,7,FALSE)-VLOOKUP(A55,'Audit Dimensions'!$A:$N,7,FALSE)</f>
        <v>0</v>
      </c>
      <c r="H55" s="138">
        <f>VLOOKUP(A55,'Billing Dimensions'!$A:$N,8,FALSE)-VLOOKUP(A55,'Audit Dimensions'!$A:$N,8,FALSE)</f>
        <v>0</v>
      </c>
      <c r="I55" s="138">
        <f>VLOOKUP(A55,'Billing Dimensions'!$A:$N,9,FALSE)-VLOOKUP(A55,'Audit Dimensions'!$A:$N,9,FALSE)</f>
        <v>0</v>
      </c>
      <c r="J55" s="139">
        <f>VLOOKUP(A55,'Billing Dimensions'!$A:$N,10,FALSE)-VLOOKUP(A55,'Audit Dimensions'!$A:$N,10,FALSE)</f>
        <v>0</v>
      </c>
      <c r="K55" s="140">
        <f>VLOOKUP(A55,'Billing Dimensions'!$A:$N,11,FALSE)-VLOOKUP(A55,'Audit Dimensions'!$A:$N,11,FALSE)</f>
        <v>0</v>
      </c>
      <c r="L55" s="140">
        <f>VLOOKUP(A55,'Billing Dimensions'!$A:$N,12,FALSE)-VLOOKUP(A55,'Audit Dimensions'!$A:$N,12,FALSE)</f>
        <v>0</v>
      </c>
      <c r="M55" s="140">
        <f>VLOOKUP(A55,'Billing Dimensions'!$A:$N,13,FALSE)-VLOOKUP(A55,'Audit Dimensions'!$A:$N,13,FALSE)</f>
        <v>0</v>
      </c>
      <c r="N55" s="140">
        <f>VLOOKUP(A55,'Billing Dimensions'!$A:$N,14,FALSE)-VLOOKUP(A55,'Audit Dimensions'!$A:$N,14,FALSE)</f>
        <v>0</v>
      </c>
      <c r="O55" s="147">
        <f>VLOOKUP(A55,'Billing Dimensions'!A:Q,16,FALSE)-VLOOKUP('Audit VAR'!A55,'Audit Dimensions'!A:P,16,FALSE)</f>
        <v>0</v>
      </c>
      <c r="P55" s="148">
        <f t="shared" si="0"/>
        <v>0</v>
      </c>
      <c r="Q55" s="151">
        <f t="shared" si="1"/>
        <v>0</v>
      </c>
      <c r="R55" s="80" t="e">
        <f t="shared" si="2"/>
        <v>#DIV/0!</v>
      </c>
    </row>
    <row r="56" spans="1:18" hidden="1">
      <c r="A56" s="132" t="s">
        <v>113</v>
      </c>
      <c r="B56" s="52" t="str">
        <f>VLOOKUP(A56,'Billing Dimensions'!A:B,2,FALSE)</f>
        <v>SB</v>
      </c>
      <c r="C56" s="136">
        <f>VLOOKUP(A56,'Billing Dimensions'!$A:$N,3,FALSE)-VLOOKUP(A56,'Audit Dimensions'!$A:$N,3,FALSE)</f>
        <v>-1</v>
      </c>
      <c r="D56" s="136">
        <f>VLOOKUP(A56,'Billing Dimensions'!$A:$N,4,FALSE)-VLOOKUP(A56,'Audit Dimensions'!$A:$N,4,FALSE)</f>
        <v>-1</v>
      </c>
      <c r="E56" s="136">
        <f>VLOOKUP(A56,'Billing Dimensions'!$A:$N,5,FALSE)-VLOOKUP(A56,'Audit Dimensions'!$A:$N,5,FALSE)</f>
        <v>0</v>
      </c>
      <c r="F56" s="137">
        <f>VLOOKUP(A56,'Billing Dimensions'!$A:$N,6,FALSE)-VLOOKUP(A56,'Audit Dimensions'!$A:$N,6,FALSE)</f>
        <v>-150</v>
      </c>
      <c r="G56" s="138">
        <f>VLOOKUP(A56,'Billing Dimensions'!$A:$N,7,FALSE)-VLOOKUP(A56,'Audit Dimensions'!$A:$N,7,FALSE)</f>
        <v>0</v>
      </c>
      <c r="H56" s="138">
        <f>VLOOKUP(A56,'Billing Dimensions'!$A:$N,8,FALSE)-VLOOKUP(A56,'Audit Dimensions'!$A:$N,8,FALSE)</f>
        <v>0</v>
      </c>
      <c r="I56" s="138">
        <f>VLOOKUP(A56,'Billing Dimensions'!$A:$N,9,FALSE)-VLOOKUP(A56,'Audit Dimensions'!$A:$N,9,FALSE)</f>
        <v>0</v>
      </c>
      <c r="J56" s="139">
        <f>VLOOKUP(A56,'Billing Dimensions'!$A:$N,10,FALSE)-VLOOKUP(A56,'Audit Dimensions'!$A:$N,10,FALSE)</f>
        <v>0</v>
      </c>
      <c r="K56" s="140">
        <f>VLOOKUP(A56,'Billing Dimensions'!$A:$N,11,FALSE)-VLOOKUP(A56,'Audit Dimensions'!$A:$N,11,FALSE)</f>
        <v>0</v>
      </c>
      <c r="L56" s="140">
        <f>VLOOKUP(A56,'Billing Dimensions'!$A:$N,12,FALSE)-VLOOKUP(A56,'Audit Dimensions'!$A:$N,12,FALSE)</f>
        <v>0</v>
      </c>
      <c r="M56" s="140">
        <f>VLOOKUP(A56,'Billing Dimensions'!$A:$N,13,FALSE)-VLOOKUP(A56,'Audit Dimensions'!$A:$N,13,FALSE)</f>
        <v>0</v>
      </c>
      <c r="N56" s="140">
        <f>VLOOKUP(A56,'Billing Dimensions'!$A:$N,14,FALSE)-VLOOKUP(A56,'Audit Dimensions'!$A:$N,14,FALSE)</f>
        <v>0</v>
      </c>
      <c r="O56" s="147">
        <f>VLOOKUP(A56,'Billing Dimensions'!A:Q,16,FALSE)-VLOOKUP('Audit VAR'!A56,'Audit Dimensions'!A:P,16,FALSE)</f>
        <v>-150</v>
      </c>
      <c r="P56" s="148">
        <f t="shared" si="0"/>
        <v>-0.15</v>
      </c>
      <c r="Q56" s="151">
        <f t="shared" si="1"/>
        <v>0</v>
      </c>
      <c r="R56" s="80" t="e">
        <f t="shared" si="2"/>
        <v>#DIV/0!</v>
      </c>
    </row>
    <row r="57" spans="1:18" hidden="1">
      <c r="A57" s="132" t="s">
        <v>114</v>
      </c>
      <c r="B57" s="52" t="str">
        <f>VLOOKUP(A57,'Billing Dimensions'!A:B,2,FALSE)</f>
        <v>SB</v>
      </c>
      <c r="C57" s="136">
        <f>VLOOKUP(A57,'Billing Dimensions'!$A:$N,3,FALSE)-VLOOKUP(A57,'Audit Dimensions'!$A:$N,3,FALSE)</f>
        <v>0</v>
      </c>
      <c r="D57" s="136">
        <f>VLOOKUP(A57,'Billing Dimensions'!$A:$N,4,FALSE)-VLOOKUP(A57,'Audit Dimensions'!$A:$N,4,FALSE)</f>
        <v>0</v>
      </c>
      <c r="E57" s="136">
        <f>VLOOKUP(A57,'Billing Dimensions'!$A:$N,5,FALSE)-VLOOKUP(A57,'Audit Dimensions'!$A:$N,5,FALSE)</f>
        <v>0</v>
      </c>
      <c r="F57" s="137">
        <f>VLOOKUP(A57,'Billing Dimensions'!$A:$N,6,FALSE)-VLOOKUP(A57,'Audit Dimensions'!$A:$N,6,FALSE)</f>
        <v>-105</v>
      </c>
      <c r="G57" s="138">
        <f>VLOOKUP(A57,'Billing Dimensions'!$A:$N,7,FALSE)-VLOOKUP(A57,'Audit Dimensions'!$A:$N,7,FALSE)</f>
        <v>0</v>
      </c>
      <c r="H57" s="138">
        <f>VLOOKUP(A57,'Billing Dimensions'!$A:$N,8,FALSE)-VLOOKUP(A57,'Audit Dimensions'!$A:$N,8,FALSE)</f>
        <v>0</v>
      </c>
      <c r="I57" s="138">
        <f>VLOOKUP(A57,'Billing Dimensions'!$A:$N,9,FALSE)-VLOOKUP(A57,'Audit Dimensions'!$A:$N,9,FALSE)</f>
        <v>0</v>
      </c>
      <c r="J57" s="139">
        <f>VLOOKUP(A57,'Billing Dimensions'!$A:$N,10,FALSE)-VLOOKUP(A57,'Audit Dimensions'!$A:$N,10,FALSE)</f>
        <v>0</v>
      </c>
      <c r="K57" s="140">
        <f>VLOOKUP(A57,'Billing Dimensions'!$A:$N,11,FALSE)-VLOOKUP(A57,'Audit Dimensions'!$A:$N,11,FALSE)</f>
        <v>0</v>
      </c>
      <c r="L57" s="140">
        <f>VLOOKUP(A57,'Billing Dimensions'!$A:$N,12,FALSE)-VLOOKUP(A57,'Audit Dimensions'!$A:$N,12,FALSE)</f>
        <v>0</v>
      </c>
      <c r="M57" s="140">
        <f>VLOOKUP(A57,'Billing Dimensions'!$A:$N,13,FALSE)-VLOOKUP(A57,'Audit Dimensions'!$A:$N,13,FALSE)</f>
        <v>0</v>
      </c>
      <c r="N57" s="140">
        <f>VLOOKUP(A57,'Billing Dimensions'!$A:$N,14,FALSE)-VLOOKUP(A57,'Audit Dimensions'!$A:$N,14,FALSE)</f>
        <v>0</v>
      </c>
      <c r="O57" s="147">
        <f>VLOOKUP(A57,'Billing Dimensions'!A:Q,16,FALSE)-VLOOKUP('Audit VAR'!A57,'Audit Dimensions'!A:P,16,FALSE)</f>
        <v>-105</v>
      </c>
      <c r="P57" s="148">
        <f t="shared" si="0"/>
        <v>-0.105</v>
      </c>
      <c r="Q57" s="151">
        <f t="shared" si="1"/>
        <v>0</v>
      </c>
      <c r="R57" s="80" t="e">
        <f t="shared" si="2"/>
        <v>#DIV/0!</v>
      </c>
    </row>
    <row r="58" spans="1:18" hidden="1">
      <c r="A58" s="132" t="s">
        <v>115</v>
      </c>
      <c r="B58" s="52" t="str">
        <f>VLOOKUP(A58,'Billing Dimensions'!A:B,2,FALSE)</f>
        <v>SB</v>
      </c>
      <c r="C58" s="136">
        <f>VLOOKUP(A58,'Billing Dimensions'!$A:$N,3,FALSE)-VLOOKUP(A58,'Audit Dimensions'!$A:$N,3,FALSE)</f>
        <v>0</v>
      </c>
      <c r="D58" s="136">
        <f>VLOOKUP(A58,'Billing Dimensions'!$A:$N,4,FALSE)-VLOOKUP(A58,'Audit Dimensions'!$A:$N,4,FALSE)</f>
        <v>0</v>
      </c>
      <c r="E58" s="136">
        <f>VLOOKUP(A58,'Billing Dimensions'!$A:$N,5,FALSE)-VLOOKUP(A58,'Audit Dimensions'!$A:$N,5,FALSE)</f>
        <v>-1</v>
      </c>
      <c r="F58" s="137">
        <f>VLOOKUP(A58,'Billing Dimensions'!$A:$N,6,FALSE)-VLOOKUP(A58,'Audit Dimensions'!$A:$N,6,FALSE)</f>
        <v>-300</v>
      </c>
      <c r="G58" s="138">
        <f>VLOOKUP(A58,'Billing Dimensions'!$A:$N,7,FALSE)-VLOOKUP(A58,'Audit Dimensions'!$A:$N,7,FALSE)</f>
        <v>0</v>
      </c>
      <c r="H58" s="138">
        <f>VLOOKUP(A58,'Billing Dimensions'!$A:$N,8,FALSE)-VLOOKUP(A58,'Audit Dimensions'!$A:$N,8,FALSE)</f>
        <v>0</v>
      </c>
      <c r="I58" s="138">
        <f>VLOOKUP(A58,'Billing Dimensions'!$A:$N,9,FALSE)-VLOOKUP(A58,'Audit Dimensions'!$A:$N,9,FALSE)</f>
        <v>0</v>
      </c>
      <c r="J58" s="139">
        <f>VLOOKUP(A58,'Billing Dimensions'!$A:$N,10,FALSE)-VLOOKUP(A58,'Audit Dimensions'!$A:$N,10,FALSE)</f>
        <v>0</v>
      </c>
      <c r="K58" s="140">
        <f>VLOOKUP(A58,'Billing Dimensions'!$A:$N,11,FALSE)-VLOOKUP(A58,'Audit Dimensions'!$A:$N,11,FALSE)</f>
        <v>0</v>
      </c>
      <c r="L58" s="140">
        <f>VLOOKUP(A58,'Billing Dimensions'!$A:$N,12,FALSE)-VLOOKUP(A58,'Audit Dimensions'!$A:$N,12,FALSE)</f>
        <v>0</v>
      </c>
      <c r="M58" s="140">
        <f>VLOOKUP(A58,'Billing Dimensions'!$A:$N,13,FALSE)-VLOOKUP(A58,'Audit Dimensions'!$A:$N,13,FALSE)</f>
        <v>0</v>
      </c>
      <c r="N58" s="140">
        <f>VLOOKUP(A58,'Billing Dimensions'!$A:$N,14,FALSE)-VLOOKUP(A58,'Audit Dimensions'!$A:$N,14,FALSE)</f>
        <v>0</v>
      </c>
      <c r="O58" s="147">
        <f>VLOOKUP(A58,'Billing Dimensions'!A:Q,16,FALSE)-VLOOKUP('Audit VAR'!A58,'Audit Dimensions'!A:P,16,FALSE)</f>
        <v>-300</v>
      </c>
      <c r="P58" s="148">
        <f t="shared" si="0"/>
        <v>-0.3</v>
      </c>
      <c r="Q58" s="151">
        <f t="shared" si="1"/>
        <v>0</v>
      </c>
      <c r="R58" s="80" t="e">
        <f t="shared" si="2"/>
        <v>#DIV/0!</v>
      </c>
    </row>
    <row r="59" spans="1:18" ht="12.4" hidden="1" customHeight="1">
      <c r="A59" s="132" t="s">
        <v>116</v>
      </c>
      <c r="B59" s="52" t="str">
        <f>VLOOKUP(A59,'Billing Dimensions'!A:B,2,FALSE)</f>
        <v>SB</v>
      </c>
      <c r="C59" s="136">
        <f>VLOOKUP(A59,'Billing Dimensions'!$A:$N,3,FALSE)-VLOOKUP(A59,'Audit Dimensions'!$A:$N,3,FALSE)</f>
        <v>2</v>
      </c>
      <c r="D59" s="136">
        <f>VLOOKUP(A59,'Billing Dimensions'!$A:$N,4,FALSE)-VLOOKUP(A59,'Audit Dimensions'!$A:$N,4,FALSE)</f>
        <v>-2</v>
      </c>
      <c r="E59" s="136">
        <f>VLOOKUP(A59,'Billing Dimensions'!$A:$N,5,FALSE)-VLOOKUP(A59,'Audit Dimensions'!$A:$N,5,FALSE)</f>
        <v>-2</v>
      </c>
      <c r="F59" s="137">
        <f>VLOOKUP(A59,'Billing Dimensions'!$A:$N,6,FALSE)-VLOOKUP(A59,'Audit Dimensions'!$A:$N,6,FALSE)</f>
        <v>-455</v>
      </c>
      <c r="G59" s="138">
        <f>VLOOKUP(A59,'Billing Dimensions'!$A:$N,7,FALSE)-VLOOKUP(A59,'Audit Dimensions'!$A:$N,7,FALSE)</f>
        <v>0</v>
      </c>
      <c r="H59" s="138">
        <f>VLOOKUP(A59,'Billing Dimensions'!$A:$N,8,FALSE)-VLOOKUP(A59,'Audit Dimensions'!$A:$N,8,FALSE)</f>
        <v>0</v>
      </c>
      <c r="I59" s="138">
        <f>VLOOKUP(A59,'Billing Dimensions'!$A:$N,9,FALSE)-VLOOKUP(A59,'Audit Dimensions'!$A:$N,9,FALSE)</f>
        <v>0</v>
      </c>
      <c r="J59" s="139">
        <f>VLOOKUP(A59,'Billing Dimensions'!$A:$N,10,FALSE)-VLOOKUP(A59,'Audit Dimensions'!$A:$N,10,FALSE)</f>
        <v>0</v>
      </c>
      <c r="K59" s="140">
        <f>VLOOKUP(A59,'Billing Dimensions'!$A:$N,11,FALSE)-VLOOKUP(A59,'Audit Dimensions'!$A:$N,11,FALSE)</f>
        <v>0</v>
      </c>
      <c r="L59" s="140">
        <f>VLOOKUP(A59,'Billing Dimensions'!$A:$N,12,FALSE)-VLOOKUP(A59,'Audit Dimensions'!$A:$N,12,FALSE)</f>
        <v>0</v>
      </c>
      <c r="M59" s="140">
        <f>VLOOKUP(A59,'Billing Dimensions'!$A:$N,13,FALSE)-VLOOKUP(A59,'Audit Dimensions'!$A:$N,13,FALSE)</f>
        <v>0</v>
      </c>
      <c r="N59" s="140">
        <f>VLOOKUP(A59,'Billing Dimensions'!$A:$N,14,FALSE)-VLOOKUP(A59,'Audit Dimensions'!$A:$N,14,FALSE)</f>
        <v>0</v>
      </c>
      <c r="O59" s="147">
        <f>VLOOKUP(A59,'Billing Dimensions'!A:Q,16,FALSE)-VLOOKUP('Audit VAR'!A59,'Audit Dimensions'!A:P,16,FALSE)</f>
        <v>-455</v>
      </c>
      <c r="P59" s="148">
        <f t="shared" si="0"/>
        <v>-0.45500000000000002</v>
      </c>
      <c r="Q59" s="151">
        <f t="shared" si="1"/>
        <v>2.8256000000000001E-4</v>
      </c>
      <c r="R59" s="80">
        <f t="shared" si="2"/>
        <v>-1610.2774631936579</v>
      </c>
    </row>
    <row r="60" spans="1:18" hidden="1">
      <c r="A60" s="132" t="s">
        <v>117</v>
      </c>
      <c r="B60" s="52" t="str">
        <f>VLOOKUP(A60,'Billing Dimensions'!A:B,2,FALSE)</f>
        <v>SB</v>
      </c>
      <c r="C60" s="136">
        <f>VLOOKUP(A60,'Billing Dimensions'!$A:$N,3,FALSE)-VLOOKUP(A60,'Audit Dimensions'!$A:$N,3,FALSE)</f>
        <v>0</v>
      </c>
      <c r="D60" s="136">
        <f>VLOOKUP(A60,'Billing Dimensions'!$A:$N,4,FALSE)-VLOOKUP(A60,'Audit Dimensions'!$A:$N,4,FALSE)</f>
        <v>0</v>
      </c>
      <c r="E60" s="136">
        <f>VLOOKUP(A60,'Billing Dimensions'!$A:$N,5,FALSE)-VLOOKUP(A60,'Audit Dimensions'!$A:$N,5,FALSE)</f>
        <v>0</v>
      </c>
      <c r="F60" s="137">
        <f>VLOOKUP(A60,'Billing Dimensions'!$A:$N,6,FALSE)-VLOOKUP(A60,'Audit Dimensions'!$A:$N,6,FALSE)</f>
        <v>-10</v>
      </c>
      <c r="G60" s="138">
        <f>VLOOKUP(A60,'Billing Dimensions'!$A:$N,7,FALSE)-VLOOKUP(A60,'Audit Dimensions'!$A:$N,7,FALSE)</f>
        <v>0</v>
      </c>
      <c r="H60" s="138">
        <f>VLOOKUP(A60,'Billing Dimensions'!$A:$N,8,FALSE)-VLOOKUP(A60,'Audit Dimensions'!$A:$N,8,FALSE)</f>
        <v>0</v>
      </c>
      <c r="I60" s="138">
        <f>VLOOKUP(A60,'Billing Dimensions'!$A:$N,9,FALSE)-VLOOKUP(A60,'Audit Dimensions'!$A:$N,9,FALSE)</f>
        <v>0</v>
      </c>
      <c r="J60" s="139">
        <f>VLOOKUP(A60,'Billing Dimensions'!$A:$N,10,FALSE)-VLOOKUP(A60,'Audit Dimensions'!$A:$N,10,FALSE)</f>
        <v>0</v>
      </c>
      <c r="K60" s="140">
        <f>VLOOKUP(A60,'Billing Dimensions'!$A:$N,11,FALSE)-VLOOKUP(A60,'Audit Dimensions'!$A:$N,11,FALSE)</f>
        <v>0</v>
      </c>
      <c r="L60" s="140">
        <f>VLOOKUP(A60,'Billing Dimensions'!$A:$N,12,FALSE)-VLOOKUP(A60,'Audit Dimensions'!$A:$N,12,FALSE)</f>
        <v>0</v>
      </c>
      <c r="M60" s="140">
        <f>VLOOKUP(A60,'Billing Dimensions'!$A:$N,13,FALSE)-VLOOKUP(A60,'Audit Dimensions'!$A:$N,13,FALSE)</f>
        <v>0</v>
      </c>
      <c r="N60" s="140">
        <f>VLOOKUP(A60,'Billing Dimensions'!$A:$N,14,FALSE)-VLOOKUP(A60,'Audit Dimensions'!$A:$N,14,FALSE)</f>
        <v>0</v>
      </c>
      <c r="O60" s="147">
        <f>VLOOKUP(A60,'Billing Dimensions'!A:Q,16,FALSE)-VLOOKUP('Audit VAR'!A60,'Audit Dimensions'!A:P,16,FALSE)</f>
        <v>-10</v>
      </c>
      <c r="P60" s="148">
        <f t="shared" si="0"/>
        <v>-0.01</v>
      </c>
      <c r="Q60" s="151">
        <f t="shared" si="1"/>
        <v>0</v>
      </c>
      <c r="R60" s="80" t="e">
        <f t="shared" si="2"/>
        <v>#DIV/0!</v>
      </c>
    </row>
    <row r="61" spans="1:18" hidden="1">
      <c r="A61" s="132" t="s">
        <v>119</v>
      </c>
      <c r="B61" s="52" t="str">
        <f>VLOOKUP(A61,'Billing Dimensions'!A:B,2,FALSE)</f>
        <v>SB</v>
      </c>
      <c r="C61" s="136">
        <f>VLOOKUP(A61,'Billing Dimensions'!$A:$N,3,FALSE)-VLOOKUP(A61,'Audit Dimensions'!$A:$N,3,FALSE)</f>
        <v>0</v>
      </c>
      <c r="D61" s="136">
        <f>VLOOKUP(A61,'Billing Dimensions'!$A:$N,4,FALSE)-VLOOKUP(A61,'Audit Dimensions'!$A:$N,4,FALSE)</f>
        <v>-10</v>
      </c>
      <c r="E61" s="136">
        <f>VLOOKUP(A61,'Billing Dimensions'!$A:$N,5,FALSE)-VLOOKUP(A61,'Audit Dimensions'!$A:$N,5,FALSE)</f>
        <v>0</v>
      </c>
      <c r="F61" s="137">
        <f>VLOOKUP(A61,'Billing Dimensions'!$A:$N,6,FALSE)-VLOOKUP(A61,'Audit Dimensions'!$A:$N,6,FALSE)</f>
        <v>-900</v>
      </c>
      <c r="G61" s="138">
        <f>VLOOKUP(A61,'Billing Dimensions'!$A:$N,7,FALSE)-VLOOKUP(A61,'Audit Dimensions'!$A:$N,7,FALSE)</f>
        <v>0</v>
      </c>
      <c r="H61" s="138">
        <f>VLOOKUP(A61,'Billing Dimensions'!$A:$N,8,FALSE)-VLOOKUP(A61,'Audit Dimensions'!$A:$N,8,FALSE)</f>
        <v>0</v>
      </c>
      <c r="I61" s="138">
        <f>VLOOKUP(A61,'Billing Dimensions'!$A:$N,9,FALSE)-VLOOKUP(A61,'Audit Dimensions'!$A:$N,9,FALSE)</f>
        <v>0</v>
      </c>
      <c r="J61" s="139">
        <f>VLOOKUP(A61,'Billing Dimensions'!$A:$N,10,FALSE)-VLOOKUP(A61,'Audit Dimensions'!$A:$N,10,FALSE)</f>
        <v>0</v>
      </c>
      <c r="K61" s="140">
        <f>VLOOKUP(A61,'Billing Dimensions'!$A:$N,11,FALSE)-VLOOKUP(A61,'Audit Dimensions'!$A:$N,11,FALSE)</f>
        <v>0</v>
      </c>
      <c r="L61" s="140">
        <f>VLOOKUP(A61,'Billing Dimensions'!$A:$N,12,FALSE)-VLOOKUP(A61,'Audit Dimensions'!$A:$N,12,FALSE)</f>
        <v>0</v>
      </c>
      <c r="M61" s="140">
        <f>VLOOKUP(A61,'Billing Dimensions'!$A:$N,13,FALSE)-VLOOKUP(A61,'Audit Dimensions'!$A:$N,13,FALSE)</f>
        <v>0</v>
      </c>
      <c r="N61" s="140">
        <f>VLOOKUP(A61,'Billing Dimensions'!$A:$N,14,FALSE)-VLOOKUP(A61,'Audit Dimensions'!$A:$N,14,FALSE)</f>
        <v>0</v>
      </c>
      <c r="O61" s="147">
        <f>VLOOKUP(A61,'Billing Dimensions'!A:Q,16,FALSE)-VLOOKUP('Audit VAR'!A61,'Audit Dimensions'!A:P,16,FALSE)</f>
        <v>-900</v>
      </c>
      <c r="P61" s="148">
        <f t="shared" si="0"/>
        <v>-0.9</v>
      </c>
      <c r="Q61" s="151">
        <f t="shared" si="1"/>
        <v>0</v>
      </c>
      <c r="R61" s="80" t="e">
        <f t="shared" si="2"/>
        <v>#DIV/0!</v>
      </c>
    </row>
    <row r="62" spans="1:18" hidden="1">
      <c r="A62" s="132" t="s">
        <v>386</v>
      </c>
      <c r="B62" s="52" t="e">
        <f>VLOOKUP(A62,'Billing Dimensions'!A:B,2,FALSE)</f>
        <v>#N/A</v>
      </c>
      <c r="C62" s="136" t="e">
        <f>VLOOKUP(A62,'Billing Dimensions'!$A:$N,3,FALSE)-VLOOKUP(A62,'Audit Dimensions'!$A:$N,3,FALSE)</f>
        <v>#N/A</v>
      </c>
      <c r="D62" s="136" t="e">
        <f>VLOOKUP(A62,'Billing Dimensions'!$A:$N,4,FALSE)-VLOOKUP(A62,'Audit Dimensions'!$A:$N,4,FALSE)</f>
        <v>#N/A</v>
      </c>
      <c r="E62" s="136" t="e">
        <f>VLOOKUP(A62,'Billing Dimensions'!$A:$N,5,FALSE)-VLOOKUP(A62,'Audit Dimensions'!$A:$N,5,FALSE)</f>
        <v>#N/A</v>
      </c>
      <c r="F62" s="137" t="e">
        <f>VLOOKUP(A62,'Billing Dimensions'!$A:$N,6,FALSE)-VLOOKUP(A62,'Audit Dimensions'!$A:$N,6,FALSE)</f>
        <v>#N/A</v>
      </c>
      <c r="G62" s="138" t="e">
        <f>VLOOKUP(A62,'Billing Dimensions'!$A:$N,7,FALSE)-VLOOKUP(A62,'Audit Dimensions'!$A:$N,7,FALSE)</f>
        <v>#N/A</v>
      </c>
      <c r="H62" s="138" t="e">
        <f>VLOOKUP(A62,'Billing Dimensions'!$A:$N,8,FALSE)-VLOOKUP(A62,'Audit Dimensions'!$A:$N,8,FALSE)</f>
        <v>#N/A</v>
      </c>
      <c r="I62" s="138" t="e">
        <f>VLOOKUP(A62,'Billing Dimensions'!$A:$N,9,FALSE)-VLOOKUP(A62,'Audit Dimensions'!$A:$N,9,FALSE)</f>
        <v>#N/A</v>
      </c>
      <c r="J62" s="139" t="e">
        <f>VLOOKUP(A62,'Billing Dimensions'!$A:$N,10,FALSE)-VLOOKUP(A62,'Audit Dimensions'!$A:$N,10,FALSE)</f>
        <v>#N/A</v>
      </c>
      <c r="K62" s="140" t="e">
        <f>VLOOKUP(A62,'Billing Dimensions'!$A:$N,11,FALSE)-VLOOKUP(A62,'Audit Dimensions'!$A:$N,11,FALSE)</f>
        <v>#N/A</v>
      </c>
      <c r="L62" s="140" t="e">
        <f>VLOOKUP(A62,'Billing Dimensions'!$A:$N,12,FALSE)-VLOOKUP(A62,'Audit Dimensions'!$A:$N,12,FALSE)</f>
        <v>#N/A</v>
      </c>
      <c r="M62" s="140" t="e">
        <f>VLOOKUP(A62,'Billing Dimensions'!$A:$N,13,FALSE)-VLOOKUP(A62,'Audit Dimensions'!$A:$N,13,FALSE)</f>
        <v>#N/A</v>
      </c>
      <c r="N62" s="140" t="e">
        <f>VLOOKUP(A62,'Billing Dimensions'!$A:$N,14,FALSE)-VLOOKUP(A62,'Audit Dimensions'!$A:$N,14,FALSE)</f>
        <v>#N/A</v>
      </c>
      <c r="O62" s="147" t="e">
        <f>VLOOKUP(A62,'Billing Dimensions'!A:Q,16,FALSE)-VLOOKUP('Audit VAR'!A62,'Audit Dimensions'!A:P,16,FALSE)</f>
        <v>#N/A</v>
      </c>
      <c r="P62" s="148" t="e">
        <f t="shared" si="0"/>
        <v>#N/A</v>
      </c>
      <c r="Q62" s="151" t="e">
        <f t="shared" si="1"/>
        <v>#N/A</v>
      </c>
      <c r="R62" s="80" t="e">
        <f t="shared" si="2"/>
        <v>#N/A</v>
      </c>
    </row>
    <row r="63" spans="1:18" hidden="1">
      <c r="A63" s="132" t="s">
        <v>387</v>
      </c>
      <c r="B63" s="52" t="e">
        <f>VLOOKUP(A63,'Billing Dimensions'!A:B,2,FALSE)</f>
        <v>#N/A</v>
      </c>
      <c r="C63" s="136" t="e">
        <f>VLOOKUP(A63,'Billing Dimensions'!$A:$N,3,FALSE)-VLOOKUP(A63,'Audit Dimensions'!$A:$N,3,FALSE)</f>
        <v>#N/A</v>
      </c>
      <c r="D63" s="136" t="e">
        <f>VLOOKUP(A63,'Billing Dimensions'!$A:$N,4,FALSE)-VLOOKUP(A63,'Audit Dimensions'!$A:$N,4,FALSE)</f>
        <v>#N/A</v>
      </c>
      <c r="E63" s="136" t="e">
        <f>VLOOKUP(A63,'Billing Dimensions'!$A:$N,5,FALSE)-VLOOKUP(A63,'Audit Dimensions'!$A:$N,5,FALSE)</f>
        <v>#N/A</v>
      </c>
      <c r="F63" s="137" t="e">
        <f>VLOOKUP(A63,'Billing Dimensions'!$A:$N,6,FALSE)-VLOOKUP(A63,'Audit Dimensions'!$A:$N,6,FALSE)</f>
        <v>#N/A</v>
      </c>
      <c r="G63" s="138" t="e">
        <f>VLOOKUP(A63,'Billing Dimensions'!$A:$N,7,FALSE)-VLOOKUP(A63,'Audit Dimensions'!$A:$N,7,FALSE)</f>
        <v>#N/A</v>
      </c>
      <c r="H63" s="138" t="e">
        <f>VLOOKUP(A63,'Billing Dimensions'!$A:$N,8,FALSE)-VLOOKUP(A63,'Audit Dimensions'!$A:$N,8,FALSE)</f>
        <v>#N/A</v>
      </c>
      <c r="I63" s="138" t="e">
        <f>VLOOKUP(A63,'Billing Dimensions'!$A:$N,9,FALSE)-VLOOKUP(A63,'Audit Dimensions'!$A:$N,9,FALSE)</f>
        <v>#N/A</v>
      </c>
      <c r="J63" s="139" t="e">
        <f>VLOOKUP(A63,'Billing Dimensions'!$A:$N,10,FALSE)-VLOOKUP(A63,'Audit Dimensions'!$A:$N,10,FALSE)</f>
        <v>#N/A</v>
      </c>
      <c r="K63" s="140" t="e">
        <f>VLOOKUP(A63,'Billing Dimensions'!$A:$N,11,FALSE)-VLOOKUP(A63,'Audit Dimensions'!$A:$N,11,FALSE)</f>
        <v>#N/A</v>
      </c>
      <c r="L63" s="140" t="e">
        <f>VLOOKUP(A63,'Billing Dimensions'!$A:$N,12,FALSE)-VLOOKUP(A63,'Audit Dimensions'!$A:$N,12,FALSE)</f>
        <v>#N/A</v>
      </c>
      <c r="M63" s="140" t="e">
        <f>VLOOKUP(A63,'Billing Dimensions'!$A:$N,13,FALSE)-VLOOKUP(A63,'Audit Dimensions'!$A:$N,13,FALSE)</f>
        <v>#N/A</v>
      </c>
      <c r="N63" s="140" t="e">
        <f>VLOOKUP(A63,'Billing Dimensions'!$A:$N,14,FALSE)-VLOOKUP(A63,'Audit Dimensions'!$A:$N,14,FALSE)</f>
        <v>#N/A</v>
      </c>
      <c r="O63" s="147" t="e">
        <f>VLOOKUP(A63,'Billing Dimensions'!A:Q,16,FALSE)-VLOOKUP('Audit VAR'!A63,'Audit Dimensions'!A:P,16,FALSE)</f>
        <v>#N/A</v>
      </c>
      <c r="P63" s="148" t="e">
        <f t="shared" si="0"/>
        <v>#N/A</v>
      </c>
      <c r="Q63" s="151" t="e">
        <f t="shared" si="1"/>
        <v>#N/A</v>
      </c>
      <c r="R63" s="80" t="e">
        <f t="shared" si="2"/>
        <v>#N/A</v>
      </c>
    </row>
    <row r="64" spans="1:18" hidden="1">
      <c r="A64" s="132" t="s">
        <v>388</v>
      </c>
      <c r="B64" s="52" t="e">
        <f>VLOOKUP(A64,'Billing Dimensions'!A:B,2,FALSE)</f>
        <v>#N/A</v>
      </c>
      <c r="C64" s="136" t="e">
        <f>VLOOKUP(A64,'Billing Dimensions'!$A:$N,3,FALSE)-VLOOKUP(A64,'Audit Dimensions'!$A:$N,3,FALSE)</f>
        <v>#N/A</v>
      </c>
      <c r="D64" s="136" t="e">
        <f>VLOOKUP(A64,'Billing Dimensions'!$A:$N,4,FALSE)-VLOOKUP(A64,'Audit Dimensions'!$A:$N,4,FALSE)</f>
        <v>#N/A</v>
      </c>
      <c r="E64" s="136" t="e">
        <f>VLOOKUP(A64,'Billing Dimensions'!$A:$N,5,FALSE)-VLOOKUP(A64,'Audit Dimensions'!$A:$N,5,FALSE)</f>
        <v>#N/A</v>
      </c>
      <c r="F64" s="137" t="e">
        <f>VLOOKUP(A64,'Billing Dimensions'!$A:$N,6,FALSE)-VLOOKUP(A64,'Audit Dimensions'!$A:$N,6,FALSE)</f>
        <v>#N/A</v>
      </c>
      <c r="G64" s="138" t="e">
        <f>VLOOKUP(A64,'Billing Dimensions'!$A:$N,7,FALSE)-VLOOKUP(A64,'Audit Dimensions'!$A:$N,7,FALSE)</f>
        <v>#N/A</v>
      </c>
      <c r="H64" s="138" t="e">
        <f>VLOOKUP(A64,'Billing Dimensions'!$A:$N,8,FALSE)-VLOOKUP(A64,'Audit Dimensions'!$A:$N,8,FALSE)</f>
        <v>#N/A</v>
      </c>
      <c r="I64" s="138" t="e">
        <f>VLOOKUP(A64,'Billing Dimensions'!$A:$N,9,FALSE)-VLOOKUP(A64,'Audit Dimensions'!$A:$N,9,FALSE)</f>
        <v>#N/A</v>
      </c>
      <c r="J64" s="139" t="e">
        <f>VLOOKUP(A64,'Billing Dimensions'!$A:$N,10,FALSE)-VLOOKUP(A64,'Audit Dimensions'!$A:$N,10,FALSE)</f>
        <v>#N/A</v>
      </c>
      <c r="K64" s="140" t="e">
        <f>VLOOKUP(A64,'Billing Dimensions'!$A:$N,11,FALSE)-VLOOKUP(A64,'Audit Dimensions'!$A:$N,11,FALSE)</f>
        <v>#N/A</v>
      </c>
      <c r="L64" s="140" t="e">
        <f>VLOOKUP(A64,'Billing Dimensions'!$A:$N,12,FALSE)-VLOOKUP(A64,'Audit Dimensions'!$A:$N,12,FALSE)</f>
        <v>#N/A</v>
      </c>
      <c r="M64" s="140" t="e">
        <f>VLOOKUP(A64,'Billing Dimensions'!$A:$N,13,FALSE)-VLOOKUP(A64,'Audit Dimensions'!$A:$N,13,FALSE)</f>
        <v>#N/A</v>
      </c>
      <c r="N64" s="140" t="e">
        <f>VLOOKUP(A64,'Billing Dimensions'!$A:$N,14,FALSE)-VLOOKUP(A64,'Audit Dimensions'!$A:$N,14,FALSE)</f>
        <v>#N/A</v>
      </c>
      <c r="O64" s="147" t="e">
        <f>VLOOKUP(A64,'Billing Dimensions'!A:Q,16,FALSE)-VLOOKUP('Audit VAR'!A64,'Audit Dimensions'!A:P,16,FALSE)</f>
        <v>#N/A</v>
      </c>
      <c r="P64" s="148" t="e">
        <f t="shared" si="0"/>
        <v>#N/A</v>
      </c>
      <c r="Q64" s="151" t="e">
        <f t="shared" si="1"/>
        <v>#N/A</v>
      </c>
      <c r="R64" s="80" t="e">
        <f t="shared" si="2"/>
        <v>#N/A</v>
      </c>
    </row>
    <row r="65" spans="1:18" hidden="1">
      <c r="A65" s="132" t="s">
        <v>389</v>
      </c>
      <c r="B65" s="52" t="e">
        <f>VLOOKUP(A65,'Billing Dimensions'!A:B,2,FALSE)</f>
        <v>#N/A</v>
      </c>
      <c r="C65" s="136" t="e">
        <f>VLOOKUP(A65,'Billing Dimensions'!$A:$N,3,FALSE)-VLOOKUP(A65,'Audit Dimensions'!$A:$N,3,FALSE)</f>
        <v>#N/A</v>
      </c>
      <c r="D65" s="136" t="e">
        <f>VLOOKUP(A65,'Billing Dimensions'!$A:$N,4,FALSE)-VLOOKUP(A65,'Audit Dimensions'!$A:$N,4,FALSE)</f>
        <v>#N/A</v>
      </c>
      <c r="E65" s="136" t="e">
        <f>VLOOKUP(A65,'Billing Dimensions'!$A:$N,5,FALSE)-VLOOKUP(A65,'Audit Dimensions'!$A:$N,5,FALSE)</f>
        <v>#N/A</v>
      </c>
      <c r="F65" s="137" t="e">
        <f>VLOOKUP(A65,'Billing Dimensions'!$A:$N,6,FALSE)-VLOOKUP(A65,'Audit Dimensions'!$A:$N,6,FALSE)</f>
        <v>#N/A</v>
      </c>
      <c r="G65" s="138" t="e">
        <f>VLOOKUP(A65,'Billing Dimensions'!$A:$N,7,FALSE)-VLOOKUP(A65,'Audit Dimensions'!$A:$N,7,FALSE)</f>
        <v>#N/A</v>
      </c>
      <c r="H65" s="138" t="e">
        <f>VLOOKUP(A65,'Billing Dimensions'!$A:$N,8,FALSE)-VLOOKUP(A65,'Audit Dimensions'!$A:$N,8,FALSE)</f>
        <v>#N/A</v>
      </c>
      <c r="I65" s="138" t="e">
        <f>VLOOKUP(A65,'Billing Dimensions'!$A:$N,9,FALSE)-VLOOKUP(A65,'Audit Dimensions'!$A:$N,9,FALSE)</f>
        <v>#N/A</v>
      </c>
      <c r="J65" s="139" t="e">
        <f>VLOOKUP(A65,'Billing Dimensions'!$A:$N,10,FALSE)-VLOOKUP(A65,'Audit Dimensions'!$A:$N,10,FALSE)</f>
        <v>#N/A</v>
      </c>
      <c r="K65" s="140" t="e">
        <f>VLOOKUP(A65,'Billing Dimensions'!$A:$N,11,FALSE)-VLOOKUP(A65,'Audit Dimensions'!$A:$N,11,FALSE)</f>
        <v>#N/A</v>
      </c>
      <c r="L65" s="140" t="e">
        <f>VLOOKUP(A65,'Billing Dimensions'!$A:$N,12,FALSE)-VLOOKUP(A65,'Audit Dimensions'!$A:$N,12,FALSE)</f>
        <v>#N/A</v>
      </c>
      <c r="M65" s="140" t="e">
        <f>VLOOKUP(A65,'Billing Dimensions'!$A:$N,13,FALSE)-VLOOKUP(A65,'Audit Dimensions'!$A:$N,13,FALSE)</f>
        <v>#N/A</v>
      </c>
      <c r="N65" s="140" t="e">
        <f>VLOOKUP(A65,'Billing Dimensions'!$A:$N,14,FALSE)-VLOOKUP(A65,'Audit Dimensions'!$A:$N,14,FALSE)</f>
        <v>#N/A</v>
      </c>
      <c r="O65" s="147" t="e">
        <f>VLOOKUP(A65,'Billing Dimensions'!A:Q,16,FALSE)-VLOOKUP('Audit VAR'!A65,'Audit Dimensions'!A:P,16,FALSE)</f>
        <v>#N/A</v>
      </c>
      <c r="P65" s="148" t="e">
        <f t="shared" si="0"/>
        <v>#N/A</v>
      </c>
      <c r="Q65" s="151" t="e">
        <f t="shared" si="1"/>
        <v>#N/A</v>
      </c>
      <c r="R65" s="80" t="e">
        <f t="shared" si="2"/>
        <v>#N/A</v>
      </c>
    </row>
    <row r="66" spans="1:18" hidden="1">
      <c r="A66" s="132" t="s">
        <v>390</v>
      </c>
      <c r="B66" s="52" t="e">
        <f>VLOOKUP(A66,'Billing Dimensions'!A:B,2,FALSE)</f>
        <v>#N/A</v>
      </c>
      <c r="C66" s="136" t="e">
        <f>VLOOKUP(A66,'Billing Dimensions'!$A:$N,3,FALSE)-VLOOKUP(A66,'Audit Dimensions'!$A:$N,3,FALSE)</f>
        <v>#N/A</v>
      </c>
      <c r="D66" s="136" t="e">
        <f>VLOOKUP(A66,'Billing Dimensions'!$A:$N,4,FALSE)-VLOOKUP(A66,'Audit Dimensions'!$A:$N,4,FALSE)</f>
        <v>#N/A</v>
      </c>
      <c r="E66" s="136" t="e">
        <f>VLOOKUP(A66,'Billing Dimensions'!$A:$N,5,FALSE)-VLOOKUP(A66,'Audit Dimensions'!$A:$N,5,FALSE)</f>
        <v>#N/A</v>
      </c>
      <c r="F66" s="137" t="e">
        <f>VLOOKUP(A66,'Billing Dimensions'!$A:$N,6,FALSE)-VLOOKUP(A66,'Audit Dimensions'!$A:$N,6,FALSE)</f>
        <v>#N/A</v>
      </c>
      <c r="G66" s="138" t="e">
        <f>VLOOKUP(A66,'Billing Dimensions'!$A:$N,7,FALSE)-VLOOKUP(A66,'Audit Dimensions'!$A:$N,7,FALSE)</f>
        <v>#N/A</v>
      </c>
      <c r="H66" s="138" t="e">
        <f>VLOOKUP(A66,'Billing Dimensions'!$A:$N,8,FALSE)-VLOOKUP(A66,'Audit Dimensions'!$A:$N,8,FALSE)</f>
        <v>#N/A</v>
      </c>
      <c r="I66" s="138" t="e">
        <f>VLOOKUP(A66,'Billing Dimensions'!$A:$N,9,FALSE)-VLOOKUP(A66,'Audit Dimensions'!$A:$N,9,FALSE)</f>
        <v>#N/A</v>
      </c>
      <c r="J66" s="139" t="e">
        <f>VLOOKUP(A66,'Billing Dimensions'!$A:$N,10,FALSE)-VLOOKUP(A66,'Audit Dimensions'!$A:$N,10,FALSE)</f>
        <v>#N/A</v>
      </c>
      <c r="K66" s="140" t="e">
        <f>VLOOKUP(A66,'Billing Dimensions'!$A:$N,11,FALSE)-VLOOKUP(A66,'Audit Dimensions'!$A:$N,11,FALSE)</f>
        <v>#N/A</v>
      </c>
      <c r="L66" s="140" t="e">
        <f>VLOOKUP(A66,'Billing Dimensions'!$A:$N,12,FALSE)-VLOOKUP(A66,'Audit Dimensions'!$A:$N,12,FALSE)</f>
        <v>#N/A</v>
      </c>
      <c r="M66" s="140" t="e">
        <f>VLOOKUP(A66,'Billing Dimensions'!$A:$N,13,FALSE)-VLOOKUP(A66,'Audit Dimensions'!$A:$N,13,FALSE)</f>
        <v>#N/A</v>
      </c>
      <c r="N66" s="140" t="e">
        <f>VLOOKUP(A66,'Billing Dimensions'!$A:$N,14,FALSE)-VLOOKUP(A66,'Audit Dimensions'!$A:$N,14,FALSE)</f>
        <v>#N/A</v>
      </c>
      <c r="O66" s="147" t="e">
        <f>VLOOKUP(A66,'Billing Dimensions'!A:Q,16,FALSE)-VLOOKUP('Audit VAR'!A66,'Audit Dimensions'!A:P,16,FALSE)</f>
        <v>#N/A</v>
      </c>
      <c r="P66" s="148" t="e">
        <f t="shared" si="0"/>
        <v>#N/A</v>
      </c>
      <c r="Q66" s="151" t="e">
        <f t="shared" si="1"/>
        <v>#N/A</v>
      </c>
      <c r="R66" s="80" t="e">
        <f t="shared" si="2"/>
        <v>#N/A</v>
      </c>
    </row>
    <row r="67" spans="1:18" hidden="1">
      <c r="A67" s="132" t="s">
        <v>126</v>
      </c>
      <c r="B67" s="52" t="str">
        <f>VLOOKUP(A67,'Billing Dimensions'!A:B,2,FALSE)</f>
        <v>SB</v>
      </c>
      <c r="C67" s="136">
        <f>VLOOKUP(A67,'Billing Dimensions'!$A:$N,3,FALSE)-VLOOKUP(A67,'Audit Dimensions'!$A:$N,3,FALSE)</f>
        <v>1</v>
      </c>
      <c r="D67" s="136">
        <f>VLOOKUP(A67,'Billing Dimensions'!$A:$N,4,FALSE)-VLOOKUP(A67,'Audit Dimensions'!$A:$N,4,FALSE)</f>
        <v>-6</v>
      </c>
      <c r="E67" s="136">
        <f>VLOOKUP(A67,'Billing Dimensions'!$A:$N,5,FALSE)-VLOOKUP(A67,'Audit Dimensions'!$A:$N,5,FALSE)</f>
        <v>-2</v>
      </c>
      <c r="F67" s="137">
        <f>VLOOKUP(A67,'Billing Dimensions'!$A:$N,6,FALSE)-VLOOKUP(A67,'Audit Dimensions'!$A:$N,6,FALSE)</f>
        <v>-370</v>
      </c>
      <c r="G67" s="138">
        <f>VLOOKUP(A67,'Billing Dimensions'!$A:$N,7,FALSE)-VLOOKUP(A67,'Audit Dimensions'!$A:$N,7,FALSE)</f>
        <v>0</v>
      </c>
      <c r="H67" s="138">
        <f>VLOOKUP(A67,'Billing Dimensions'!$A:$N,8,FALSE)-VLOOKUP(A67,'Audit Dimensions'!$A:$N,8,FALSE)</f>
        <v>0</v>
      </c>
      <c r="I67" s="138">
        <f>VLOOKUP(A67,'Billing Dimensions'!$A:$N,9,FALSE)-VLOOKUP(A67,'Audit Dimensions'!$A:$N,9,FALSE)</f>
        <v>0</v>
      </c>
      <c r="J67" s="139">
        <f>VLOOKUP(A67,'Billing Dimensions'!$A:$N,10,FALSE)-VLOOKUP(A67,'Audit Dimensions'!$A:$N,10,FALSE)</f>
        <v>0</v>
      </c>
      <c r="K67" s="140">
        <f>VLOOKUP(A67,'Billing Dimensions'!$A:$N,11,FALSE)-VLOOKUP(A67,'Audit Dimensions'!$A:$N,11,FALSE)</f>
        <v>0</v>
      </c>
      <c r="L67" s="140">
        <f>VLOOKUP(A67,'Billing Dimensions'!$A:$N,12,FALSE)-VLOOKUP(A67,'Audit Dimensions'!$A:$N,12,FALSE)</f>
        <v>0</v>
      </c>
      <c r="M67" s="140">
        <f>VLOOKUP(A67,'Billing Dimensions'!$A:$N,13,FALSE)-VLOOKUP(A67,'Audit Dimensions'!$A:$N,13,FALSE)</f>
        <v>0</v>
      </c>
      <c r="N67" s="140">
        <f>VLOOKUP(A67,'Billing Dimensions'!$A:$N,14,FALSE)-VLOOKUP(A67,'Audit Dimensions'!$A:$N,14,FALSE)</f>
        <v>0</v>
      </c>
      <c r="O67" s="147">
        <f>VLOOKUP(A67,'Billing Dimensions'!A:Q,16,FALSE)-VLOOKUP('Audit VAR'!A67,'Audit Dimensions'!A:P,16,FALSE)</f>
        <v>-370</v>
      </c>
      <c r="P67" s="148">
        <f t="shared" si="0"/>
        <v>-0.37</v>
      </c>
      <c r="Q67" s="151">
        <f t="shared" si="1"/>
        <v>4.2384000000000003E-4</v>
      </c>
      <c r="R67" s="80">
        <f t="shared" si="2"/>
        <v>-872.97093242733104</v>
      </c>
    </row>
    <row r="68" spans="1:18" hidden="1">
      <c r="A68" s="132" t="s">
        <v>127</v>
      </c>
      <c r="B68" s="52" t="str">
        <f>VLOOKUP(A68,'Billing Dimensions'!A:B,2,FALSE)</f>
        <v>SB</v>
      </c>
      <c r="C68" s="136">
        <f>VLOOKUP(A68,'Billing Dimensions'!$A:$N,3,FALSE)-VLOOKUP(A68,'Audit Dimensions'!$A:$N,3,FALSE)</f>
        <v>-1</v>
      </c>
      <c r="D68" s="136">
        <f>VLOOKUP(A68,'Billing Dimensions'!$A:$N,4,FALSE)-VLOOKUP(A68,'Audit Dimensions'!$A:$N,4,FALSE)</f>
        <v>-4</v>
      </c>
      <c r="E68" s="136">
        <f>VLOOKUP(A68,'Billing Dimensions'!$A:$N,5,FALSE)-VLOOKUP(A68,'Audit Dimensions'!$A:$N,5,FALSE)</f>
        <v>-3</v>
      </c>
      <c r="F68" s="137">
        <f>VLOOKUP(A68,'Billing Dimensions'!$A:$N,6,FALSE)-VLOOKUP(A68,'Audit Dimensions'!$A:$N,6,FALSE)</f>
        <v>-8790</v>
      </c>
      <c r="G68" s="138">
        <f>VLOOKUP(A68,'Billing Dimensions'!$A:$N,7,FALSE)-VLOOKUP(A68,'Audit Dimensions'!$A:$N,7,FALSE)</f>
        <v>0</v>
      </c>
      <c r="H68" s="138">
        <f>VLOOKUP(A68,'Billing Dimensions'!$A:$N,8,FALSE)-VLOOKUP(A68,'Audit Dimensions'!$A:$N,8,FALSE)</f>
        <v>0</v>
      </c>
      <c r="I68" s="138">
        <f>VLOOKUP(A68,'Billing Dimensions'!$A:$N,9,FALSE)-VLOOKUP(A68,'Audit Dimensions'!$A:$N,9,FALSE)</f>
        <v>0</v>
      </c>
      <c r="J68" s="139">
        <f>VLOOKUP(A68,'Billing Dimensions'!$A:$N,10,FALSE)-VLOOKUP(A68,'Audit Dimensions'!$A:$N,10,FALSE)</f>
        <v>0</v>
      </c>
      <c r="K68" s="140">
        <f>VLOOKUP(A68,'Billing Dimensions'!$A:$N,11,FALSE)-VLOOKUP(A68,'Audit Dimensions'!$A:$N,11,FALSE)</f>
        <v>0</v>
      </c>
      <c r="L68" s="140">
        <f>VLOOKUP(A68,'Billing Dimensions'!$A:$N,12,FALSE)-VLOOKUP(A68,'Audit Dimensions'!$A:$N,12,FALSE)</f>
        <v>0</v>
      </c>
      <c r="M68" s="140">
        <f>VLOOKUP(A68,'Billing Dimensions'!$A:$N,13,FALSE)-VLOOKUP(A68,'Audit Dimensions'!$A:$N,13,FALSE)</f>
        <v>0</v>
      </c>
      <c r="N68" s="140">
        <f>VLOOKUP(A68,'Billing Dimensions'!$A:$N,14,FALSE)-VLOOKUP(A68,'Audit Dimensions'!$A:$N,14,FALSE)</f>
        <v>0</v>
      </c>
      <c r="O68" s="147">
        <f>VLOOKUP(A68,'Billing Dimensions'!A:Q,16,FALSE)-VLOOKUP('Audit VAR'!A68,'Audit Dimensions'!A:P,16,FALSE)</f>
        <v>-8790</v>
      </c>
      <c r="P68" s="148">
        <f t="shared" ref="P68:P131" si="3">O68/1000</f>
        <v>-8.7899999999999991</v>
      </c>
      <c r="Q68" s="151">
        <f t="shared" ref="Q68:Q131" si="4">(((C68*D68*E68)+(G68*H68*I68)+(K68*L68*M68))/1000000)*35.32</f>
        <v>-4.2384000000000003E-4</v>
      </c>
      <c r="R68" s="80">
        <f t="shared" ref="R68:R131" si="5">P68/Q68</f>
        <v>20738.95809739524</v>
      </c>
    </row>
    <row r="69" spans="1:18" hidden="1">
      <c r="A69" s="132" t="s">
        <v>128</v>
      </c>
      <c r="B69" s="52" t="str">
        <f>VLOOKUP(A69,'Billing Dimensions'!A:B,2,FALSE)</f>
        <v> </v>
      </c>
      <c r="C69" s="136" t="e">
        <f>VLOOKUP(A69,'Billing Dimensions'!$A:$N,3,FALSE)-VLOOKUP(A69,'Audit Dimensions'!$A:$N,3,FALSE)</f>
        <v>#N/A</v>
      </c>
      <c r="D69" s="136" t="e">
        <f>VLOOKUP(A69,'Billing Dimensions'!$A:$N,4,FALSE)-VLOOKUP(A69,'Audit Dimensions'!$A:$N,4,FALSE)</f>
        <v>#N/A</v>
      </c>
      <c r="E69" s="136" t="e">
        <f>VLOOKUP(A69,'Billing Dimensions'!$A:$N,5,FALSE)-VLOOKUP(A69,'Audit Dimensions'!$A:$N,5,FALSE)</f>
        <v>#N/A</v>
      </c>
      <c r="F69" s="137" t="e">
        <f>VLOOKUP(A69,'Billing Dimensions'!$A:$N,6,FALSE)-VLOOKUP(A69,'Audit Dimensions'!$A:$N,6,FALSE)</f>
        <v>#N/A</v>
      </c>
      <c r="G69" s="138" t="e">
        <f>VLOOKUP(A69,'Billing Dimensions'!$A:$N,7,FALSE)-VLOOKUP(A69,'Audit Dimensions'!$A:$N,7,FALSE)</f>
        <v>#N/A</v>
      </c>
      <c r="H69" s="138" t="e">
        <f>VLOOKUP(A69,'Billing Dimensions'!$A:$N,8,FALSE)-VLOOKUP(A69,'Audit Dimensions'!$A:$N,8,FALSE)</f>
        <v>#N/A</v>
      </c>
      <c r="I69" s="138" t="e">
        <f>VLOOKUP(A69,'Billing Dimensions'!$A:$N,9,FALSE)-VLOOKUP(A69,'Audit Dimensions'!$A:$N,9,FALSE)</f>
        <v>#N/A</v>
      </c>
      <c r="J69" s="139" t="e">
        <f>VLOOKUP(A69,'Billing Dimensions'!$A:$N,10,FALSE)-VLOOKUP(A69,'Audit Dimensions'!$A:$N,10,FALSE)</f>
        <v>#N/A</v>
      </c>
      <c r="K69" s="140" t="e">
        <f>VLOOKUP(A69,'Billing Dimensions'!$A:$N,11,FALSE)-VLOOKUP(A69,'Audit Dimensions'!$A:$N,11,FALSE)</f>
        <v>#N/A</v>
      </c>
      <c r="L69" s="140" t="e">
        <f>VLOOKUP(A69,'Billing Dimensions'!$A:$N,12,FALSE)-VLOOKUP(A69,'Audit Dimensions'!$A:$N,12,FALSE)</f>
        <v>#N/A</v>
      </c>
      <c r="M69" s="140" t="e">
        <f>VLOOKUP(A69,'Billing Dimensions'!$A:$N,13,FALSE)-VLOOKUP(A69,'Audit Dimensions'!$A:$N,13,FALSE)</f>
        <v>#N/A</v>
      </c>
      <c r="N69" s="140" t="e">
        <f>VLOOKUP(A69,'Billing Dimensions'!$A:$N,14,FALSE)-VLOOKUP(A69,'Audit Dimensions'!$A:$N,14,FALSE)</f>
        <v>#N/A</v>
      </c>
      <c r="O69" s="147" t="e">
        <f>VLOOKUP(A69,'Billing Dimensions'!A:Q,16,FALSE)-VLOOKUP('Audit VAR'!A69,'Audit Dimensions'!A:P,16,FALSE)</f>
        <v>#N/A</v>
      </c>
      <c r="P69" s="148" t="e">
        <f t="shared" si="3"/>
        <v>#N/A</v>
      </c>
      <c r="Q69" s="151" t="e">
        <f t="shared" si="4"/>
        <v>#N/A</v>
      </c>
      <c r="R69" s="80" t="e">
        <f t="shared" si="5"/>
        <v>#N/A</v>
      </c>
    </row>
    <row r="70" spans="1:18" hidden="1">
      <c r="A70" s="132" t="s">
        <v>129</v>
      </c>
      <c r="B70" s="52" t="str">
        <f>VLOOKUP(A70,'Billing Dimensions'!A:B,2,FALSE)</f>
        <v>SB</v>
      </c>
      <c r="C70" s="136" t="e">
        <f>VLOOKUP(A70,'Billing Dimensions'!$A:$N,3,FALSE)-VLOOKUP(A70,'Audit Dimensions'!$A:$N,3,FALSE)</f>
        <v>#N/A</v>
      </c>
      <c r="D70" s="136" t="e">
        <f>VLOOKUP(A70,'Billing Dimensions'!$A:$N,4,FALSE)-VLOOKUP(A70,'Audit Dimensions'!$A:$N,4,FALSE)</f>
        <v>#N/A</v>
      </c>
      <c r="E70" s="136" t="e">
        <f>VLOOKUP(A70,'Billing Dimensions'!$A:$N,5,FALSE)-VLOOKUP(A70,'Audit Dimensions'!$A:$N,5,FALSE)</f>
        <v>#N/A</v>
      </c>
      <c r="F70" s="137" t="e">
        <f>VLOOKUP(A70,'Billing Dimensions'!$A:$N,6,FALSE)-VLOOKUP(A70,'Audit Dimensions'!$A:$N,6,FALSE)</f>
        <v>#N/A</v>
      </c>
      <c r="G70" s="138" t="e">
        <f>VLOOKUP(A70,'Billing Dimensions'!$A:$N,7,FALSE)-VLOOKUP(A70,'Audit Dimensions'!$A:$N,7,FALSE)</f>
        <v>#N/A</v>
      </c>
      <c r="H70" s="138" t="e">
        <f>VLOOKUP(A70,'Billing Dimensions'!$A:$N,8,FALSE)-VLOOKUP(A70,'Audit Dimensions'!$A:$N,8,FALSE)</f>
        <v>#N/A</v>
      </c>
      <c r="I70" s="138" t="e">
        <f>VLOOKUP(A70,'Billing Dimensions'!$A:$N,9,FALSE)-VLOOKUP(A70,'Audit Dimensions'!$A:$N,9,FALSE)</f>
        <v>#N/A</v>
      </c>
      <c r="J70" s="139" t="e">
        <f>VLOOKUP(A70,'Billing Dimensions'!$A:$N,10,FALSE)-VLOOKUP(A70,'Audit Dimensions'!$A:$N,10,FALSE)</f>
        <v>#N/A</v>
      </c>
      <c r="K70" s="140" t="e">
        <f>VLOOKUP(A70,'Billing Dimensions'!$A:$N,11,FALSE)-VLOOKUP(A70,'Audit Dimensions'!$A:$N,11,FALSE)</f>
        <v>#N/A</v>
      </c>
      <c r="L70" s="140" t="e">
        <f>VLOOKUP(A70,'Billing Dimensions'!$A:$N,12,FALSE)-VLOOKUP(A70,'Audit Dimensions'!$A:$N,12,FALSE)</f>
        <v>#N/A</v>
      </c>
      <c r="M70" s="140" t="e">
        <f>VLOOKUP(A70,'Billing Dimensions'!$A:$N,13,FALSE)-VLOOKUP(A70,'Audit Dimensions'!$A:$N,13,FALSE)</f>
        <v>#N/A</v>
      </c>
      <c r="N70" s="140" t="e">
        <f>VLOOKUP(A70,'Billing Dimensions'!$A:$N,14,FALSE)-VLOOKUP(A70,'Audit Dimensions'!$A:$N,14,FALSE)</f>
        <v>#N/A</v>
      </c>
      <c r="O70" s="147" t="e">
        <f>VLOOKUP(A70,'Billing Dimensions'!A:Q,16,FALSE)-VLOOKUP('Audit VAR'!A70,'Audit Dimensions'!A:P,16,FALSE)</f>
        <v>#N/A</v>
      </c>
      <c r="P70" s="148" t="e">
        <f t="shared" si="3"/>
        <v>#N/A</v>
      </c>
      <c r="Q70" s="151" t="e">
        <f t="shared" si="4"/>
        <v>#N/A</v>
      </c>
      <c r="R70" s="80" t="e">
        <f t="shared" si="5"/>
        <v>#N/A</v>
      </c>
    </row>
    <row r="71" spans="1:18" hidden="1">
      <c r="A71" s="132" t="s">
        <v>130</v>
      </c>
      <c r="B71" s="52" t="str">
        <f>VLOOKUP(A71,'Billing Dimensions'!A:B,2,FALSE)</f>
        <v>SB</v>
      </c>
      <c r="C71" s="136">
        <f>VLOOKUP(A71,'Billing Dimensions'!$A:$N,3,FALSE)-VLOOKUP(A71,'Audit Dimensions'!$A:$N,3,FALSE)</f>
        <v>3</v>
      </c>
      <c r="D71" s="136">
        <f>VLOOKUP(A71,'Billing Dimensions'!$A:$N,4,FALSE)-VLOOKUP(A71,'Audit Dimensions'!$A:$N,4,FALSE)</f>
        <v>3</v>
      </c>
      <c r="E71" s="136">
        <f>VLOOKUP(A71,'Billing Dimensions'!$A:$N,5,FALSE)-VLOOKUP(A71,'Audit Dimensions'!$A:$N,5,FALSE)</f>
        <v>-1</v>
      </c>
      <c r="F71" s="137">
        <f>VLOOKUP(A71,'Billing Dimensions'!$A:$N,6,FALSE)-VLOOKUP(A71,'Audit Dimensions'!$A:$N,6,FALSE)</f>
        <v>-1600</v>
      </c>
      <c r="G71" s="138">
        <f>VLOOKUP(A71,'Billing Dimensions'!$A:$N,7,FALSE)-VLOOKUP(A71,'Audit Dimensions'!$A:$N,7,FALSE)</f>
        <v>0</v>
      </c>
      <c r="H71" s="138">
        <f>VLOOKUP(A71,'Billing Dimensions'!$A:$N,8,FALSE)-VLOOKUP(A71,'Audit Dimensions'!$A:$N,8,FALSE)</f>
        <v>0</v>
      </c>
      <c r="I71" s="138">
        <f>VLOOKUP(A71,'Billing Dimensions'!$A:$N,9,FALSE)-VLOOKUP(A71,'Audit Dimensions'!$A:$N,9,FALSE)</f>
        <v>0</v>
      </c>
      <c r="J71" s="139">
        <f>VLOOKUP(A71,'Billing Dimensions'!$A:$N,10,FALSE)-VLOOKUP(A71,'Audit Dimensions'!$A:$N,10,FALSE)</f>
        <v>0</v>
      </c>
      <c r="K71" s="140">
        <f>VLOOKUP(A71,'Billing Dimensions'!$A:$N,11,FALSE)-VLOOKUP(A71,'Audit Dimensions'!$A:$N,11,FALSE)</f>
        <v>0</v>
      </c>
      <c r="L71" s="140">
        <f>VLOOKUP(A71,'Billing Dimensions'!$A:$N,12,FALSE)-VLOOKUP(A71,'Audit Dimensions'!$A:$N,12,FALSE)</f>
        <v>0</v>
      </c>
      <c r="M71" s="140">
        <f>VLOOKUP(A71,'Billing Dimensions'!$A:$N,13,FALSE)-VLOOKUP(A71,'Audit Dimensions'!$A:$N,13,FALSE)</f>
        <v>0</v>
      </c>
      <c r="N71" s="140">
        <f>VLOOKUP(A71,'Billing Dimensions'!$A:$N,14,FALSE)-VLOOKUP(A71,'Audit Dimensions'!$A:$N,14,FALSE)</f>
        <v>0</v>
      </c>
      <c r="O71" s="147">
        <f>VLOOKUP(A71,'Billing Dimensions'!A:Q,16,FALSE)-VLOOKUP('Audit VAR'!A71,'Audit Dimensions'!A:P,16,FALSE)</f>
        <v>-1600</v>
      </c>
      <c r="P71" s="148">
        <f t="shared" si="3"/>
        <v>-1.6</v>
      </c>
      <c r="Q71" s="151">
        <f t="shared" si="4"/>
        <v>-3.1787999999999999E-4</v>
      </c>
      <c r="R71" s="80">
        <f t="shared" si="5"/>
        <v>5033.3459166981256</v>
      </c>
    </row>
    <row r="72" spans="1:18" hidden="1">
      <c r="A72" s="132" t="s">
        <v>131</v>
      </c>
      <c r="B72" s="52" t="str">
        <f>VLOOKUP(A72,'Billing Dimensions'!A:B,2,FALSE)</f>
        <v>SB</v>
      </c>
      <c r="C72" s="136">
        <f>VLOOKUP(A72,'Billing Dimensions'!$A:$N,3,FALSE)-VLOOKUP(A72,'Audit Dimensions'!$A:$N,3,FALSE)</f>
        <v>1</v>
      </c>
      <c r="D72" s="136">
        <f>VLOOKUP(A72,'Billing Dimensions'!$A:$N,4,FALSE)-VLOOKUP(A72,'Audit Dimensions'!$A:$N,4,FALSE)</f>
        <v>0</v>
      </c>
      <c r="E72" s="136">
        <f>VLOOKUP(A72,'Billing Dimensions'!$A:$N,5,FALSE)-VLOOKUP(A72,'Audit Dimensions'!$A:$N,5,FALSE)</f>
        <v>-3</v>
      </c>
      <c r="F72" s="137">
        <f>VLOOKUP(A72,'Billing Dimensions'!$A:$N,6,FALSE)-VLOOKUP(A72,'Audit Dimensions'!$A:$N,6,FALSE)</f>
        <v>-900</v>
      </c>
      <c r="G72" s="138">
        <f>VLOOKUP(A72,'Billing Dimensions'!$A:$N,7,FALSE)-VLOOKUP(A72,'Audit Dimensions'!$A:$N,7,FALSE)</f>
        <v>0</v>
      </c>
      <c r="H72" s="138">
        <f>VLOOKUP(A72,'Billing Dimensions'!$A:$N,8,FALSE)-VLOOKUP(A72,'Audit Dimensions'!$A:$N,8,FALSE)</f>
        <v>0</v>
      </c>
      <c r="I72" s="138">
        <f>VLOOKUP(A72,'Billing Dimensions'!$A:$N,9,FALSE)-VLOOKUP(A72,'Audit Dimensions'!$A:$N,9,FALSE)</f>
        <v>0</v>
      </c>
      <c r="J72" s="139">
        <f>VLOOKUP(A72,'Billing Dimensions'!$A:$N,10,FALSE)-VLOOKUP(A72,'Audit Dimensions'!$A:$N,10,FALSE)</f>
        <v>0</v>
      </c>
      <c r="K72" s="140">
        <f>VLOOKUP(A72,'Billing Dimensions'!$A:$N,11,FALSE)-VLOOKUP(A72,'Audit Dimensions'!$A:$N,11,FALSE)</f>
        <v>0</v>
      </c>
      <c r="L72" s="140">
        <f>VLOOKUP(A72,'Billing Dimensions'!$A:$N,12,FALSE)-VLOOKUP(A72,'Audit Dimensions'!$A:$N,12,FALSE)</f>
        <v>0</v>
      </c>
      <c r="M72" s="140">
        <f>VLOOKUP(A72,'Billing Dimensions'!$A:$N,13,FALSE)-VLOOKUP(A72,'Audit Dimensions'!$A:$N,13,FALSE)</f>
        <v>0</v>
      </c>
      <c r="N72" s="140">
        <f>VLOOKUP(A72,'Billing Dimensions'!$A:$N,14,FALSE)-VLOOKUP(A72,'Audit Dimensions'!$A:$N,14,FALSE)</f>
        <v>0</v>
      </c>
      <c r="O72" s="147">
        <f>VLOOKUP(A72,'Billing Dimensions'!A:Q,16,FALSE)-VLOOKUP('Audit VAR'!A72,'Audit Dimensions'!A:P,16,FALSE)</f>
        <v>-900</v>
      </c>
      <c r="P72" s="148">
        <f t="shared" si="3"/>
        <v>-0.9</v>
      </c>
      <c r="Q72" s="151">
        <f t="shared" si="4"/>
        <v>0</v>
      </c>
      <c r="R72" s="80" t="e">
        <f t="shared" si="5"/>
        <v>#DIV/0!</v>
      </c>
    </row>
    <row r="73" spans="1:18" ht="12.4" hidden="1" customHeight="1">
      <c r="A73" s="132" t="s">
        <v>132</v>
      </c>
      <c r="B73" s="52" t="str">
        <f>VLOOKUP(A73,'Billing Dimensions'!A:B,2,FALSE)</f>
        <v>SB</v>
      </c>
      <c r="C73" s="136">
        <f>VLOOKUP(A73,'Billing Dimensions'!$A:$N,3,FALSE)-VLOOKUP(A73,'Audit Dimensions'!$A:$N,3,FALSE)</f>
        <v>0</v>
      </c>
      <c r="D73" s="136">
        <f>VLOOKUP(A73,'Billing Dimensions'!$A:$N,4,FALSE)-VLOOKUP(A73,'Audit Dimensions'!$A:$N,4,FALSE)</f>
        <v>0</v>
      </c>
      <c r="E73" s="136">
        <f>VLOOKUP(A73,'Billing Dimensions'!$A:$N,5,FALSE)-VLOOKUP(A73,'Audit Dimensions'!$A:$N,5,FALSE)</f>
        <v>0</v>
      </c>
      <c r="F73" s="137">
        <f>VLOOKUP(A73,'Billing Dimensions'!$A:$N,6,FALSE)-VLOOKUP(A73,'Audit Dimensions'!$A:$N,6,FALSE)</f>
        <v>700</v>
      </c>
      <c r="G73" s="138">
        <f>VLOOKUP(A73,'Billing Dimensions'!$A:$N,7,FALSE)-VLOOKUP(A73,'Audit Dimensions'!$A:$N,7,FALSE)</f>
        <v>0</v>
      </c>
      <c r="H73" s="138">
        <f>VLOOKUP(A73,'Billing Dimensions'!$A:$N,8,FALSE)-VLOOKUP(A73,'Audit Dimensions'!$A:$N,8,FALSE)</f>
        <v>0</v>
      </c>
      <c r="I73" s="138">
        <f>VLOOKUP(A73,'Billing Dimensions'!$A:$N,9,FALSE)-VLOOKUP(A73,'Audit Dimensions'!$A:$N,9,FALSE)</f>
        <v>0</v>
      </c>
      <c r="J73" s="139">
        <f>VLOOKUP(A73,'Billing Dimensions'!$A:$N,10,FALSE)-VLOOKUP(A73,'Audit Dimensions'!$A:$N,10,FALSE)</f>
        <v>0</v>
      </c>
      <c r="K73" s="140">
        <f>VLOOKUP(A73,'Billing Dimensions'!$A:$N,11,FALSE)-VLOOKUP(A73,'Audit Dimensions'!$A:$N,11,FALSE)</f>
        <v>0</v>
      </c>
      <c r="L73" s="140">
        <f>VLOOKUP(A73,'Billing Dimensions'!$A:$N,12,FALSE)-VLOOKUP(A73,'Audit Dimensions'!$A:$N,12,FALSE)</f>
        <v>0</v>
      </c>
      <c r="M73" s="140">
        <f>VLOOKUP(A73,'Billing Dimensions'!$A:$N,13,FALSE)-VLOOKUP(A73,'Audit Dimensions'!$A:$N,13,FALSE)</f>
        <v>0</v>
      </c>
      <c r="N73" s="140">
        <f>VLOOKUP(A73,'Billing Dimensions'!$A:$N,14,FALSE)-VLOOKUP(A73,'Audit Dimensions'!$A:$N,14,FALSE)</f>
        <v>0</v>
      </c>
      <c r="O73" s="147">
        <f>VLOOKUP(A73,'Billing Dimensions'!A:Q,16,FALSE)-VLOOKUP('Audit VAR'!A73,'Audit Dimensions'!A:P,16,FALSE)</f>
        <v>700</v>
      </c>
      <c r="P73" s="148">
        <f t="shared" si="3"/>
        <v>0.7</v>
      </c>
      <c r="Q73" s="151">
        <f t="shared" si="4"/>
        <v>0</v>
      </c>
      <c r="R73" s="80" t="e">
        <f t="shared" si="5"/>
        <v>#DIV/0!</v>
      </c>
    </row>
    <row r="74" spans="1:18" hidden="1">
      <c r="A74" s="132" t="s">
        <v>355</v>
      </c>
      <c r="B74" s="52" t="e">
        <f>VLOOKUP(A74,'Billing Dimensions'!A:B,2,FALSE)</f>
        <v>#N/A</v>
      </c>
      <c r="C74" s="136" t="e">
        <f>VLOOKUP(A74,'Billing Dimensions'!$A:$N,3,FALSE)-VLOOKUP(A74,'Audit Dimensions'!$A:$N,3,FALSE)</f>
        <v>#N/A</v>
      </c>
      <c r="D74" s="136" t="e">
        <f>VLOOKUP(A74,'Billing Dimensions'!$A:$N,4,FALSE)-VLOOKUP(A74,'Audit Dimensions'!$A:$N,4,FALSE)</f>
        <v>#N/A</v>
      </c>
      <c r="E74" s="136" t="e">
        <f>VLOOKUP(A74,'Billing Dimensions'!$A:$N,5,FALSE)-VLOOKUP(A74,'Audit Dimensions'!$A:$N,5,FALSE)</f>
        <v>#N/A</v>
      </c>
      <c r="F74" s="137" t="e">
        <f>VLOOKUP(A74,'Billing Dimensions'!$A:$N,6,FALSE)-VLOOKUP(A74,'Audit Dimensions'!$A:$N,6,FALSE)</f>
        <v>#N/A</v>
      </c>
      <c r="G74" s="138" t="e">
        <f>VLOOKUP(A74,'Billing Dimensions'!$A:$N,7,FALSE)-VLOOKUP(A74,'Audit Dimensions'!$A:$N,7,FALSE)</f>
        <v>#N/A</v>
      </c>
      <c r="H74" s="138" t="e">
        <f>VLOOKUP(A74,'Billing Dimensions'!$A:$N,8,FALSE)-VLOOKUP(A74,'Audit Dimensions'!$A:$N,8,FALSE)</f>
        <v>#N/A</v>
      </c>
      <c r="I74" s="138" t="e">
        <f>VLOOKUP(A74,'Billing Dimensions'!$A:$N,9,FALSE)-VLOOKUP(A74,'Audit Dimensions'!$A:$N,9,FALSE)</f>
        <v>#N/A</v>
      </c>
      <c r="J74" s="139" t="e">
        <f>VLOOKUP(A74,'Billing Dimensions'!$A:$N,10,FALSE)-VLOOKUP(A74,'Audit Dimensions'!$A:$N,10,FALSE)</f>
        <v>#N/A</v>
      </c>
      <c r="K74" s="140" t="e">
        <f>VLOOKUP(A74,'Billing Dimensions'!$A:$N,11,FALSE)-VLOOKUP(A74,'Audit Dimensions'!$A:$N,11,FALSE)</f>
        <v>#N/A</v>
      </c>
      <c r="L74" s="140" t="e">
        <f>VLOOKUP(A74,'Billing Dimensions'!$A:$N,12,FALSE)-VLOOKUP(A74,'Audit Dimensions'!$A:$N,12,FALSE)</f>
        <v>#N/A</v>
      </c>
      <c r="M74" s="140" t="e">
        <f>VLOOKUP(A74,'Billing Dimensions'!$A:$N,13,FALSE)-VLOOKUP(A74,'Audit Dimensions'!$A:$N,13,FALSE)</f>
        <v>#N/A</v>
      </c>
      <c r="N74" s="140" t="e">
        <f>VLOOKUP(A74,'Billing Dimensions'!$A:$N,14,FALSE)-VLOOKUP(A74,'Audit Dimensions'!$A:$N,14,FALSE)</f>
        <v>#N/A</v>
      </c>
      <c r="O74" s="147" t="e">
        <f>VLOOKUP(A74,'Billing Dimensions'!A:Q,16,FALSE)-VLOOKUP('Audit VAR'!A74,'Audit Dimensions'!A:P,16,FALSE)</f>
        <v>#N/A</v>
      </c>
      <c r="P74" s="148" t="e">
        <f t="shared" si="3"/>
        <v>#N/A</v>
      </c>
      <c r="Q74" s="151" t="e">
        <f t="shared" si="4"/>
        <v>#N/A</v>
      </c>
      <c r="R74" s="80" t="e">
        <f t="shared" si="5"/>
        <v>#N/A</v>
      </c>
    </row>
    <row r="75" spans="1:18" hidden="1">
      <c r="A75" s="132" t="s">
        <v>134</v>
      </c>
      <c r="B75" s="52" t="str">
        <f>VLOOKUP(A75,'Billing Dimensions'!A:B,2,FALSE)</f>
        <v>SB</v>
      </c>
      <c r="C75" s="136">
        <f>VLOOKUP(A75,'Billing Dimensions'!$A:$N,3,FALSE)-VLOOKUP(A75,'Audit Dimensions'!$A:$N,3,FALSE)</f>
        <v>1</v>
      </c>
      <c r="D75" s="136">
        <f>VLOOKUP(A75,'Billing Dimensions'!$A:$N,4,FALSE)-VLOOKUP(A75,'Audit Dimensions'!$A:$N,4,FALSE)</f>
        <v>1</v>
      </c>
      <c r="E75" s="136">
        <f>VLOOKUP(A75,'Billing Dimensions'!$A:$N,5,FALSE)-VLOOKUP(A75,'Audit Dimensions'!$A:$N,5,FALSE)</f>
        <v>2</v>
      </c>
      <c r="F75" s="137">
        <f>VLOOKUP(A75,'Billing Dimensions'!$A:$N,6,FALSE)-VLOOKUP(A75,'Audit Dimensions'!$A:$N,6,FALSE)</f>
        <v>150</v>
      </c>
      <c r="G75" s="138">
        <f>VLOOKUP(A75,'Billing Dimensions'!$A:$N,7,FALSE)-VLOOKUP(A75,'Audit Dimensions'!$A:$N,7,FALSE)</f>
        <v>0</v>
      </c>
      <c r="H75" s="138">
        <f>VLOOKUP(A75,'Billing Dimensions'!$A:$N,8,FALSE)-VLOOKUP(A75,'Audit Dimensions'!$A:$N,8,FALSE)</f>
        <v>0</v>
      </c>
      <c r="I75" s="138">
        <f>VLOOKUP(A75,'Billing Dimensions'!$A:$N,9,FALSE)-VLOOKUP(A75,'Audit Dimensions'!$A:$N,9,FALSE)</f>
        <v>0</v>
      </c>
      <c r="J75" s="139">
        <f>VLOOKUP(A75,'Billing Dimensions'!$A:$N,10,FALSE)-VLOOKUP(A75,'Audit Dimensions'!$A:$N,10,FALSE)</f>
        <v>0</v>
      </c>
      <c r="K75" s="140">
        <f>VLOOKUP(A75,'Billing Dimensions'!$A:$N,11,FALSE)-VLOOKUP(A75,'Audit Dimensions'!$A:$N,11,FALSE)</f>
        <v>0</v>
      </c>
      <c r="L75" s="140">
        <f>VLOOKUP(A75,'Billing Dimensions'!$A:$N,12,FALSE)-VLOOKUP(A75,'Audit Dimensions'!$A:$N,12,FALSE)</f>
        <v>0</v>
      </c>
      <c r="M75" s="140">
        <f>VLOOKUP(A75,'Billing Dimensions'!$A:$N,13,FALSE)-VLOOKUP(A75,'Audit Dimensions'!$A:$N,13,FALSE)</f>
        <v>0</v>
      </c>
      <c r="N75" s="140">
        <f>VLOOKUP(A75,'Billing Dimensions'!$A:$N,14,FALSE)-VLOOKUP(A75,'Audit Dimensions'!$A:$N,14,FALSE)</f>
        <v>0</v>
      </c>
      <c r="O75" s="147">
        <f>VLOOKUP(A75,'Billing Dimensions'!A:Q,16,FALSE)-VLOOKUP('Audit VAR'!A75,'Audit Dimensions'!A:P,16,FALSE)</f>
        <v>150</v>
      </c>
      <c r="P75" s="148">
        <f t="shared" si="3"/>
        <v>0.15</v>
      </c>
      <c r="Q75" s="151">
        <f t="shared" si="4"/>
        <v>7.0640000000000001E-5</v>
      </c>
      <c r="R75" s="80">
        <f t="shared" si="5"/>
        <v>2123.4428086070216</v>
      </c>
    </row>
    <row r="76" spans="1:18" hidden="1">
      <c r="A76" s="132" t="s">
        <v>135</v>
      </c>
      <c r="B76" s="52" t="str">
        <f>VLOOKUP(A76,'Billing Dimensions'!A:B,2,FALSE)</f>
        <v>SB</v>
      </c>
      <c r="C76" s="136">
        <f>VLOOKUP(A76,'Billing Dimensions'!$A:$N,3,FALSE)-VLOOKUP(A76,'Audit Dimensions'!$A:$N,3,FALSE)</f>
        <v>1</v>
      </c>
      <c r="D76" s="136">
        <f>VLOOKUP(A76,'Billing Dimensions'!$A:$N,4,FALSE)-VLOOKUP(A76,'Audit Dimensions'!$A:$N,4,FALSE)</f>
        <v>-1</v>
      </c>
      <c r="E76" s="136">
        <f>VLOOKUP(A76,'Billing Dimensions'!$A:$N,5,FALSE)-VLOOKUP(A76,'Audit Dimensions'!$A:$N,5,FALSE)</f>
        <v>0</v>
      </c>
      <c r="F76" s="137">
        <f>VLOOKUP(A76,'Billing Dimensions'!$A:$N,6,FALSE)-VLOOKUP(A76,'Audit Dimensions'!$A:$N,6,FALSE)</f>
        <v>90</v>
      </c>
      <c r="G76" s="138">
        <f>VLOOKUP(A76,'Billing Dimensions'!$A:$N,7,FALSE)-VLOOKUP(A76,'Audit Dimensions'!$A:$N,7,FALSE)</f>
        <v>0</v>
      </c>
      <c r="H76" s="138">
        <f>VLOOKUP(A76,'Billing Dimensions'!$A:$N,8,FALSE)-VLOOKUP(A76,'Audit Dimensions'!$A:$N,8,FALSE)</f>
        <v>0</v>
      </c>
      <c r="I76" s="138">
        <f>VLOOKUP(A76,'Billing Dimensions'!$A:$N,9,FALSE)-VLOOKUP(A76,'Audit Dimensions'!$A:$N,9,FALSE)</f>
        <v>0</v>
      </c>
      <c r="J76" s="139">
        <f>VLOOKUP(A76,'Billing Dimensions'!$A:$N,10,FALSE)-VLOOKUP(A76,'Audit Dimensions'!$A:$N,10,FALSE)</f>
        <v>0</v>
      </c>
      <c r="K76" s="140">
        <f>VLOOKUP(A76,'Billing Dimensions'!$A:$N,11,FALSE)-VLOOKUP(A76,'Audit Dimensions'!$A:$N,11,FALSE)</f>
        <v>0</v>
      </c>
      <c r="L76" s="140">
        <f>VLOOKUP(A76,'Billing Dimensions'!$A:$N,12,FALSE)-VLOOKUP(A76,'Audit Dimensions'!$A:$N,12,FALSE)</f>
        <v>0</v>
      </c>
      <c r="M76" s="140">
        <f>VLOOKUP(A76,'Billing Dimensions'!$A:$N,13,FALSE)-VLOOKUP(A76,'Audit Dimensions'!$A:$N,13,FALSE)</f>
        <v>0</v>
      </c>
      <c r="N76" s="140">
        <f>VLOOKUP(A76,'Billing Dimensions'!$A:$N,14,FALSE)-VLOOKUP(A76,'Audit Dimensions'!$A:$N,14,FALSE)</f>
        <v>0</v>
      </c>
      <c r="O76" s="147">
        <f>VLOOKUP(A76,'Billing Dimensions'!A:Q,16,FALSE)-VLOOKUP('Audit VAR'!A76,'Audit Dimensions'!A:P,16,FALSE)</f>
        <v>90</v>
      </c>
      <c r="P76" s="148">
        <f t="shared" si="3"/>
        <v>0.09</v>
      </c>
      <c r="Q76" s="151">
        <f t="shared" si="4"/>
        <v>0</v>
      </c>
      <c r="R76" s="80" t="e">
        <f t="shared" si="5"/>
        <v>#DIV/0!</v>
      </c>
    </row>
    <row r="77" spans="1:18" hidden="1">
      <c r="A77" s="132" t="s">
        <v>136</v>
      </c>
      <c r="B77" s="52" t="str">
        <f>VLOOKUP(A77,'Billing Dimensions'!A:B,2,FALSE)</f>
        <v>SB</v>
      </c>
      <c r="C77" s="136">
        <f>VLOOKUP(A77,'Billing Dimensions'!$A:$N,3,FALSE)-VLOOKUP(A77,'Audit Dimensions'!$A:$N,3,FALSE)</f>
        <v>0</v>
      </c>
      <c r="D77" s="136">
        <f>VLOOKUP(A77,'Billing Dimensions'!$A:$N,4,FALSE)-VLOOKUP(A77,'Audit Dimensions'!$A:$N,4,FALSE)</f>
        <v>0</v>
      </c>
      <c r="E77" s="136">
        <f>VLOOKUP(A77,'Billing Dimensions'!$A:$N,5,FALSE)-VLOOKUP(A77,'Audit Dimensions'!$A:$N,5,FALSE)</f>
        <v>0</v>
      </c>
      <c r="F77" s="137">
        <f>VLOOKUP(A77,'Billing Dimensions'!$A:$N,6,FALSE)-VLOOKUP(A77,'Audit Dimensions'!$A:$N,6,FALSE)</f>
        <v>-250</v>
      </c>
      <c r="G77" s="138">
        <f>VLOOKUP(A77,'Billing Dimensions'!$A:$N,7,FALSE)-VLOOKUP(A77,'Audit Dimensions'!$A:$N,7,FALSE)</f>
        <v>0</v>
      </c>
      <c r="H77" s="138">
        <f>VLOOKUP(A77,'Billing Dimensions'!$A:$N,8,FALSE)-VLOOKUP(A77,'Audit Dimensions'!$A:$N,8,FALSE)</f>
        <v>0</v>
      </c>
      <c r="I77" s="138">
        <f>VLOOKUP(A77,'Billing Dimensions'!$A:$N,9,FALSE)-VLOOKUP(A77,'Audit Dimensions'!$A:$N,9,FALSE)</f>
        <v>0</v>
      </c>
      <c r="J77" s="139">
        <f>VLOOKUP(A77,'Billing Dimensions'!$A:$N,10,FALSE)-VLOOKUP(A77,'Audit Dimensions'!$A:$N,10,FALSE)</f>
        <v>0</v>
      </c>
      <c r="K77" s="140">
        <f>VLOOKUP(A77,'Billing Dimensions'!$A:$N,11,FALSE)-VLOOKUP(A77,'Audit Dimensions'!$A:$N,11,FALSE)</f>
        <v>0</v>
      </c>
      <c r="L77" s="140">
        <f>VLOOKUP(A77,'Billing Dimensions'!$A:$N,12,FALSE)-VLOOKUP(A77,'Audit Dimensions'!$A:$N,12,FALSE)</f>
        <v>0</v>
      </c>
      <c r="M77" s="140">
        <f>VLOOKUP(A77,'Billing Dimensions'!$A:$N,13,FALSE)-VLOOKUP(A77,'Audit Dimensions'!$A:$N,13,FALSE)</f>
        <v>0</v>
      </c>
      <c r="N77" s="140">
        <f>VLOOKUP(A77,'Billing Dimensions'!$A:$N,14,FALSE)-VLOOKUP(A77,'Audit Dimensions'!$A:$N,14,FALSE)</f>
        <v>0</v>
      </c>
      <c r="O77" s="147">
        <f>VLOOKUP(A77,'Billing Dimensions'!A:Q,16,FALSE)-VLOOKUP('Audit VAR'!A77,'Audit Dimensions'!A:P,16,FALSE)</f>
        <v>-250</v>
      </c>
      <c r="P77" s="148">
        <f t="shared" si="3"/>
        <v>-0.25</v>
      </c>
      <c r="Q77" s="151">
        <f t="shared" si="4"/>
        <v>0</v>
      </c>
      <c r="R77" s="80" t="e">
        <f t="shared" si="5"/>
        <v>#DIV/0!</v>
      </c>
    </row>
    <row r="78" spans="1:18" hidden="1">
      <c r="A78" s="132" t="s">
        <v>137</v>
      </c>
      <c r="B78" s="52" t="str">
        <f>VLOOKUP(A78,'Billing Dimensions'!A:B,2,FALSE)</f>
        <v>SB</v>
      </c>
      <c r="C78" s="136">
        <f>VLOOKUP(A78,'Billing Dimensions'!$A:$N,3,FALSE)-VLOOKUP(A78,'Audit Dimensions'!$A:$N,3,FALSE)</f>
        <v>0</v>
      </c>
      <c r="D78" s="136">
        <f>VLOOKUP(A78,'Billing Dimensions'!$A:$N,4,FALSE)-VLOOKUP(A78,'Audit Dimensions'!$A:$N,4,FALSE)</f>
        <v>3</v>
      </c>
      <c r="E78" s="136">
        <f>VLOOKUP(A78,'Billing Dimensions'!$A:$N,5,FALSE)-VLOOKUP(A78,'Audit Dimensions'!$A:$N,5,FALSE)</f>
        <v>0</v>
      </c>
      <c r="F78" s="137">
        <f>VLOOKUP(A78,'Billing Dimensions'!$A:$N,6,FALSE)-VLOOKUP(A78,'Audit Dimensions'!$A:$N,6,FALSE)</f>
        <v>490</v>
      </c>
      <c r="G78" s="138">
        <f>VLOOKUP(A78,'Billing Dimensions'!$A:$N,7,FALSE)-VLOOKUP(A78,'Audit Dimensions'!$A:$N,7,FALSE)</f>
        <v>0</v>
      </c>
      <c r="H78" s="138">
        <f>VLOOKUP(A78,'Billing Dimensions'!$A:$N,8,FALSE)-VLOOKUP(A78,'Audit Dimensions'!$A:$N,8,FALSE)</f>
        <v>0</v>
      </c>
      <c r="I78" s="138">
        <f>VLOOKUP(A78,'Billing Dimensions'!$A:$N,9,FALSE)-VLOOKUP(A78,'Audit Dimensions'!$A:$N,9,FALSE)</f>
        <v>0</v>
      </c>
      <c r="J78" s="139">
        <f>VLOOKUP(A78,'Billing Dimensions'!$A:$N,10,FALSE)-VLOOKUP(A78,'Audit Dimensions'!$A:$N,10,FALSE)</f>
        <v>0</v>
      </c>
      <c r="K78" s="140">
        <f>VLOOKUP(A78,'Billing Dimensions'!$A:$N,11,FALSE)-VLOOKUP(A78,'Audit Dimensions'!$A:$N,11,FALSE)</f>
        <v>0</v>
      </c>
      <c r="L78" s="140">
        <f>VLOOKUP(A78,'Billing Dimensions'!$A:$N,12,FALSE)-VLOOKUP(A78,'Audit Dimensions'!$A:$N,12,FALSE)</f>
        <v>0</v>
      </c>
      <c r="M78" s="140">
        <f>VLOOKUP(A78,'Billing Dimensions'!$A:$N,13,FALSE)-VLOOKUP(A78,'Audit Dimensions'!$A:$N,13,FALSE)</f>
        <v>0</v>
      </c>
      <c r="N78" s="140">
        <f>VLOOKUP(A78,'Billing Dimensions'!$A:$N,14,FALSE)-VLOOKUP(A78,'Audit Dimensions'!$A:$N,14,FALSE)</f>
        <v>0</v>
      </c>
      <c r="O78" s="147">
        <f>VLOOKUP(A78,'Billing Dimensions'!A:Q,16,FALSE)-VLOOKUP('Audit VAR'!A78,'Audit Dimensions'!A:P,16,FALSE)</f>
        <v>490</v>
      </c>
      <c r="P78" s="148">
        <f t="shared" si="3"/>
        <v>0.49</v>
      </c>
      <c r="Q78" s="151">
        <f t="shared" si="4"/>
        <v>0</v>
      </c>
      <c r="R78" s="80" t="e">
        <f t="shared" si="5"/>
        <v>#DIV/0!</v>
      </c>
    </row>
    <row r="79" spans="1:18" hidden="1">
      <c r="A79" s="132" t="s">
        <v>138</v>
      </c>
      <c r="B79" s="52" t="str">
        <f>VLOOKUP(A79,'Billing Dimensions'!A:B,2,FALSE)</f>
        <v>SB</v>
      </c>
      <c r="C79" s="136">
        <f>VLOOKUP(A79,'Billing Dimensions'!$A:$N,3,FALSE)-VLOOKUP(A79,'Audit Dimensions'!$A:$N,3,FALSE)</f>
        <v>40</v>
      </c>
      <c r="D79" s="136">
        <f>VLOOKUP(A79,'Billing Dimensions'!$A:$N,4,FALSE)-VLOOKUP(A79,'Audit Dimensions'!$A:$N,4,FALSE)</f>
        <v>1</v>
      </c>
      <c r="E79" s="136">
        <f>VLOOKUP(A79,'Billing Dimensions'!$A:$N,5,FALSE)-VLOOKUP(A79,'Audit Dimensions'!$A:$N,5,FALSE)</f>
        <v>-2</v>
      </c>
      <c r="F79" s="137">
        <f>VLOOKUP(A79,'Billing Dimensions'!$A:$N,6,FALSE)-VLOOKUP(A79,'Audit Dimensions'!$A:$N,6,FALSE)</f>
        <v>-780</v>
      </c>
      <c r="G79" s="138">
        <f>VLOOKUP(A79,'Billing Dimensions'!$A:$N,7,FALSE)-VLOOKUP(A79,'Audit Dimensions'!$A:$N,7,FALSE)</f>
        <v>0</v>
      </c>
      <c r="H79" s="138">
        <f>VLOOKUP(A79,'Billing Dimensions'!$A:$N,8,FALSE)-VLOOKUP(A79,'Audit Dimensions'!$A:$N,8,FALSE)</f>
        <v>0</v>
      </c>
      <c r="I79" s="138">
        <f>VLOOKUP(A79,'Billing Dimensions'!$A:$N,9,FALSE)-VLOOKUP(A79,'Audit Dimensions'!$A:$N,9,FALSE)</f>
        <v>0</v>
      </c>
      <c r="J79" s="139">
        <f>VLOOKUP(A79,'Billing Dimensions'!$A:$N,10,FALSE)-VLOOKUP(A79,'Audit Dimensions'!$A:$N,10,FALSE)</f>
        <v>0</v>
      </c>
      <c r="K79" s="140">
        <f>VLOOKUP(A79,'Billing Dimensions'!$A:$N,11,FALSE)-VLOOKUP(A79,'Audit Dimensions'!$A:$N,11,FALSE)</f>
        <v>0</v>
      </c>
      <c r="L79" s="140">
        <f>VLOOKUP(A79,'Billing Dimensions'!$A:$N,12,FALSE)-VLOOKUP(A79,'Audit Dimensions'!$A:$N,12,FALSE)</f>
        <v>0</v>
      </c>
      <c r="M79" s="140">
        <f>VLOOKUP(A79,'Billing Dimensions'!$A:$N,13,FALSE)-VLOOKUP(A79,'Audit Dimensions'!$A:$N,13,FALSE)</f>
        <v>0</v>
      </c>
      <c r="N79" s="140">
        <f>VLOOKUP(A79,'Billing Dimensions'!$A:$N,14,FALSE)-VLOOKUP(A79,'Audit Dimensions'!$A:$N,14,FALSE)</f>
        <v>0</v>
      </c>
      <c r="O79" s="147">
        <f>VLOOKUP(A79,'Billing Dimensions'!A:Q,16,FALSE)-VLOOKUP('Audit VAR'!A79,'Audit Dimensions'!A:P,16,FALSE)</f>
        <v>-780</v>
      </c>
      <c r="P79" s="148">
        <f t="shared" si="3"/>
        <v>-0.78</v>
      </c>
      <c r="Q79" s="151">
        <f t="shared" si="4"/>
        <v>-2.8256000000000002E-3</v>
      </c>
      <c r="R79" s="80">
        <f t="shared" si="5"/>
        <v>276.04756511891281</v>
      </c>
    </row>
    <row r="80" spans="1:18" hidden="1">
      <c r="A80" s="132" t="s">
        <v>139</v>
      </c>
      <c r="B80" s="52" t="str">
        <f>VLOOKUP(A80,'Billing Dimensions'!A:B,2,FALSE)</f>
        <v>SB</v>
      </c>
      <c r="C80" s="136">
        <f>VLOOKUP(A80,'Billing Dimensions'!$A:$N,3,FALSE)-VLOOKUP(A80,'Audit Dimensions'!$A:$N,3,FALSE)</f>
        <v>0</v>
      </c>
      <c r="D80" s="136">
        <f>VLOOKUP(A80,'Billing Dimensions'!$A:$N,4,FALSE)-VLOOKUP(A80,'Audit Dimensions'!$A:$N,4,FALSE)</f>
        <v>0</v>
      </c>
      <c r="E80" s="136">
        <f>VLOOKUP(A80,'Billing Dimensions'!$A:$N,5,FALSE)-VLOOKUP(A80,'Audit Dimensions'!$A:$N,5,FALSE)</f>
        <v>1</v>
      </c>
      <c r="F80" s="137">
        <f>VLOOKUP(A80,'Billing Dimensions'!$A:$N,6,FALSE)-VLOOKUP(A80,'Audit Dimensions'!$A:$N,6,FALSE)</f>
        <v>40</v>
      </c>
      <c r="G80" s="138">
        <f>VLOOKUP(A80,'Billing Dimensions'!$A:$N,7,FALSE)-VLOOKUP(A80,'Audit Dimensions'!$A:$N,7,FALSE)</f>
        <v>0</v>
      </c>
      <c r="H80" s="138">
        <f>VLOOKUP(A80,'Billing Dimensions'!$A:$N,8,FALSE)-VLOOKUP(A80,'Audit Dimensions'!$A:$N,8,FALSE)</f>
        <v>0</v>
      </c>
      <c r="I80" s="138">
        <f>VLOOKUP(A80,'Billing Dimensions'!$A:$N,9,FALSE)-VLOOKUP(A80,'Audit Dimensions'!$A:$N,9,FALSE)</f>
        <v>0</v>
      </c>
      <c r="J80" s="139">
        <f>VLOOKUP(A80,'Billing Dimensions'!$A:$N,10,FALSE)-VLOOKUP(A80,'Audit Dimensions'!$A:$N,10,FALSE)</f>
        <v>0</v>
      </c>
      <c r="K80" s="140">
        <f>VLOOKUP(A80,'Billing Dimensions'!$A:$N,11,FALSE)-VLOOKUP(A80,'Audit Dimensions'!$A:$N,11,FALSE)</f>
        <v>0</v>
      </c>
      <c r="L80" s="140">
        <f>VLOOKUP(A80,'Billing Dimensions'!$A:$N,12,FALSE)-VLOOKUP(A80,'Audit Dimensions'!$A:$N,12,FALSE)</f>
        <v>0</v>
      </c>
      <c r="M80" s="140">
        <f>VLOOKUP(A80,'Billing Dimensions'!$A:$N,13,FALSE)-VLOOKUP(A80,'Audit Dimensions'!$A:$N,13,FALSE)</f>
        <v>0</v>
      </c>
      <c r="N80" s="140">
        <f>VLOOKUP(A80,'Billing Dimensions'!$A:$N,14,FALSE)-VLOOKUP(A80,'Audit Dimensions'!$A:$N,14,FALSE)</f>
        <v>0</v>
      </c>
      <c r="O80" s="147">
        <f>VLOOKUP(A80,'Billing Dimensions'!A:Q,16,FALSE)-VLOOKUP('Audit VAR'!A80,'Audit Dimensions'!A:P,16,FALSE)</f>
        <v>40</v>
      </c>
      <c r="P80" s="148">
        <f t="shared" si="3"/>
        <v>0.04</v>
      </c>
      <c r="Q80" s="151">
        <f t="shared" si="4"/>
        <v>0</v>
      </c>
      <c r="R80" s="80" t="e">
        <f t="shared" si="5"/>
        <v>#DIV/0!</v>
      </c>
    </row>
    <row r="81" spans="1:18" hidden="1">
      <c r="A81" s="132" t="s">
        <v>140</v>
      </c>
      <c r="B81" s="52" t="str">
        <f>VLOOKUP(A81,'Billing Dimensions'!A:B,2,FALSE)</f>
        <v>SB</v>
      </c>
      <c r="C81" s="136">
        <f>VLOOKUP(A81,'Billing Dimensions'!$A:$N,3,FALSE)-VLOOKUP(A81,'Audit Dimensions'!$A:$N,3,FALSE)</f>
        <v>-1</v>
      </c>
      <c r="D81" s="136">
        <f>VLOOKUP(A81,'Billing Dimensions'!$A:$N,4,FALSE)-VLOOKUP(A81,'Audit Dimensions'!$A:$N,4,FALSE)</f>
        <v>0</v>
      </c>
      <c r="E81" s="136">
        <f>VLOOKUP(A81,'Billing Dimensions'!$A:$N,5,FALSE)-VLOOKUP(A81,'Audit Dimensions'!$A:$N,5,FALSE)</f>
        <v>-4</v>
      </c>
      <c r="F81" s="137">
        <f>VLOOKUP(A81,'Billing Dimensions'!$A:$N,6,FALSE)-VLOOKUP(A81,'Audit Dimensions'!$A:$N,6,FALSE)</f>
        <v>0</v>
      </c>
      <c r="G81" s="138">
        <f>VLOOKUP(A81,'Billing Dimensions'!$A:$N,7,FALSE)-VLOOKUP(A81,'Audit Dimensions'!$A:$N,7,FALSE)</f>
        <v>0</v>
      </c>
      <c r="H81" s="138">
        <f>VLOOKUP(A81,'Billing Dimensions'!$A:$N,8,FALSE)-VLOOKUP(A81,'Audit Dimensions'!$A:$N,8,FALSE)</f>
        <v>0</v>
      </c>
      <c r="I81" s="138">
        <f>VLOOKUP(A81,'Billing Dimensions'!$A:$N,9,FALSE)-VLOOKUP(A81,'Audit Dimensions'!$A:$N,9,FALSE)</f>
        <v>0</v>
      </c>
      <c r="J81" s="139">
        <f>VLOOKUP(A81,'Billing Dimensions'!$A:$N,10,FALSE)-VLOOKUP(A81,'Audit Dimensions'!$A:$N,10,FALSE)</f>
        <v>0</v>
      </c>
      <c r="K81" s="140">
        <f>VLOOKUP(A81,'Billing Dimensions'!$A:$N,11,FALSE)-VLOOKUP(A81,'Audit Dimensions'!$A:$N,11,FALSE)</f>
        <v>0</v>
      </c>
      <c r="L81" s="140">
        <f>VLOOKUP(A81,'Billing Dimensions'!$A:$N,12,FALSE)-VLOOKUP(A81,'Audit Dimensions'!$A:$N,12,FALSE)</f>
        <v>0</v>
      </c>
      <c r="M81" s="140">
        <f>VLOOKUP(A81,'Billing Dimensions'!$A:$N,13,FALSE)-VLOOKUP(A81,'Audit Dimensions'!$A:$N,13,FALSE)</f>
        <v>0</v>
      </c>
      <c r="N81" s="140">
        <f>VLOOKUP(A81,'Billing Dimensions'!$A:$N,14,FALSE)-VLOOKUP(A81,'Audit Dimensions'!$A:$N,14,FALSE)</f>
        <v>0</v>
      </c>
      <c r="O81" s="147">
        <f>VLOOKUP(A81,'Billing Dimensions'!A:Q,16,FALSE)-VLOOKUP('Audit VAR'!A81,'Audit Dimensions'!A:P,16,FALSE)</f>
        <v>0</v>
      </c>
      <c r="P81" s="148">
        <f t="shared" si="3"/>
        <v>0</v>
      </c>
      <c r="Q81" s="151">
        <f t="shared" si="4"/>
        <v>0</v>
      </c>
      <c r="R81" s="80" t="e">
        <f t="shared" si="5"/>
        <v>#DIV/0!</v>
      </c>
    </row>
    <row r="82" spans="1:18" hidden="1">
      <c r="A82" s="132" t="s">
        <v>141</v>
      </c>
      <c r="B82" s="52" t="str">
        <f>VLOOKUP(A82,'Billing Dimensions'!A:B,2,FALSE)</f>
        <v>SB</v>
      </c>
      <c r="C82" s="136">
        <f>VLOOKUP(A82,'Billing Dimensions'!$A:$N,3,FALSE)-VLOOKUP(A82,'Audit Dimensions'!$A:$N,3,FALSE)</f>
        <v>3</v>
      </c>
      <c r="D82" s="136">
        <f>VLOOKUP(A82,'Billing Dimensions'!$A:$N,4,FALSE)-VLOOKUP(A82,'Audit Dimensions'!$A:$N,4,FALSE)</f>
        <v>1</v>
      </c>
      <c r="E82" s="136">
        <f>VLOOKUP(A82,'Billing Dimensions'!$A:$N,5,FALSE)-VLOOKUP(A82,'Audit Dimensions'!$A:$N,5,FALSE)</f>
        <v>0</v>
      </c>
      <c r="F82" s="137">
        <f>VLOOKUP(A82,'Billing Dimensions'!$A:$N,6,FALSE)-VLOOKUP(A82,'Audit Dimensions'!$A:$N,6,FALSE)</f>
        <v>-450</v>
      </c>
      <c r="G82" s="138">
        <f>VLOOKUP(A82,'Billing Dimensions'!$A:$N,7,FALSE)-VLOOKUP(A82,'Audit Dimensions'!$A:$N,7,FALSE)</f>
        <v>0</v>
      </c>
      <c r="H82" s="138">
        <f>VLOOKUP(A82,'Billing Dimensions'!$A:$N,8,FALSE)-VLOOKUP(A82,'Audit Dimensions'!$A:$N,8,FALSE)</f>
        <v>0</v>
      </c>
      <c r="I82" s="138">
        <f>VLOOKUP(A82,'Billing Dimensions'!$A:$N,9,FALSE)-VLOOKUP(A82,'Audit Dimensions'!$A:$N,9,FALSE)</f>
        <v>0</v>
      </c>
      <c r="J82" s="139">
        <f>VLOOKUP(A82,'Billing Dimensions'!$A:$N,10,FALSE)-VLOOKUP(A82,'Audit Dimensions'!$A:$N,10,FALSE)</f>
        <v>0</v>
      </c>
      <c r="K82" s="140">
        <f>VLOOKUP(A82,'Billing Dimensions'!$A:$N,11,FALSE)-VLOOKUP(A82,'Audit Dimensions'!$A:$N,11,FALSE)</f>
        <v>0</v>
      </c>
      <c r="L82" s="140">
        <f>VLOOKUP(A82,'Billing Dimensions'!$A:$N,12,FALSE)-VLOOKUP(A82,'Audit Dimensions'!$A:$N,12,FALSE)</f>
        <v>0</v>
      </c>
      <c r="M82" s="140">
        <f>VLOOKUP(A82,'Billing Dimensions'!$A:$N,13,FALSE)-VLOOKUP(A82,'Audit Dimensions'!$A:$N,13,FALSE)</f>
        <v>0</v>
      </c>
      <c r="N82" s="140">
        <f>VLOOKUP(A82,'Billing Dimensions'!$A:$N,14,FALSE)-VLOOKUP(A82,'Audit Dimensions'!$A:$N,14,FALSE)</f>
        <v>0</v>
      </c>
      <c r="O82" s="147">
        <f>VLOOKUP(A82,'Billing Dimensions'!A:Q,16,FALSE)-VLOOKUP('Audit VAR'!A82,'Audit Dimensions'!A:P,16,FALSE)</f>
        <v>-450</v>
      </c>
      <c r="P82" s="148">
        <f t="shared" si="3"/>
        <v>-0.45</v>
      </c>
      <c r="Q82" s="151">
        <f t="shared" si="4"/>
        <v>0</v>
      </c>
      <c r="R82" s="80" t="e">
        <f t="shared" si="5"/>
        <v>#DIV/0!</v>
      </c>
    </row>
    <row r="83" spans="1:18" hidden="1">
      <c r="A83" s="132" t="s">
        <v>142</v>
      </c>
      <c r="B83" s="52" t="str">
        <f>VLOOKUP(A83,'Billing Dimensions'!A:B,2,FALSE)</f>
        <v>SB</v>
      </c>
      <c r="C83" s="136">
        <f>VLOOKUP(A83,'Billing Dimensions'!$A:$N,3,FALSE)-VLOOKUP(A83,'Audit Dimensions'!$A:$N,3,FALSE)</f>
        <v>0</v>
      </c>
      <c r="D83" s="136">
        <f>VLOOKUP(A83,'Billing Dimensions'!$A:$N,4,FALSE)-VLOOKUP(A83,'Audit Dimensions'!$A:$N,4,FALSE)</f>
        <v>-2</v>
      </c>
      <c r="E83" s="136">
        <f>VLOOKUP(A83,'Billing Dimensions'!$A:$N,5,FALSE)-VLOOKUP(A83,'Audit Dimensions'!$A:$N,5,FALSE)</f>
        <v>1</v>
      </c>
      <c r="F83" s="137">
        <f>VLOOKUP(A83,'Billing Dimensions'!$A:$N,6,FALSE)-VLOOKUP(A83,'Audit Dimensions'!$A:$N,6,FALSE)</f>
        <v>140</v>
      </c>
      <c r="G83" s="138">
        <f>VLOOKUP(A83,'Billing Dimensions'!$A:$N,7,FALSE)-VLOOKUP(A83,'Audit Dimensions'!$A:$N,7,FALSE)</f>
        <v>0</v>
      </c>
      <c r="H83" s="138">
        <f>VLOOKUP(A83,'Billing Dimensions'!$A:$N,8,FALSE)-VLOOKUP(A83,'Audit Dimensions'!$A:$N,8,FALSE)</f>
        <v>0</v>
      </c>
      <c r="I83" s="138">
        <f>VLOOKUP(A83,'Billing Dimensions'!$A:$N,9,FALSE)-VLOOKUP(A83,'Audit Dimensions'!$A:$N,9,FALSE)</f>
        <v>0</v>
      </c>
      <c r="J83" s="139">
        <f>VLOOKUP(A83,'Billing Dimensions'!$A:$N,10,FALSE)-VLOOKUP(A83,'Audit Dimensions'!$A:$N,10,FALSE)</f>
        <v>0</v>
      </c>
      <c r="K83" s="140">
        <f>VLOOKUP(A83,'Billing Dimensions'!$A:$N,11,FALSE)-VLOOKUP(A83,'Audit Dimensions'!$A:$N,11,FALSE)</f>
        <v>0</v>
      </c>
      <c r="L83" s="140">
        <f>VLOOKUP(A83,'Billing Dimensions'!$A:$N,12,FALSE)-VLOOKUP(A83,'Audit Dimensions'!$A:$N,12,FALSE)</f>
        <v>0</v>
      </c>
      <c r="M83" s="140">
        <f>VLOOKUP(A83,'Billing Dimensions'!$A:$N,13,FALSE)-VLOOKUP(A83,'Audit Dimensions'!$A:$N,13,FALSE)</f>
        <v>0</v>
      </c>
      <c r="N83" s="140">
        <f>VLOOKUP(A83,'Billing Dimensions'!$A:$N,14,FALSE)-VLOOKUP(A83,'Audit Dimensions'!$A:$N,14,FALSE)</f>
        <v>0</v>
      </c>
      <c r="O83" s="147">
        <f>VLOOKUP(A83,'Billing Dimensions'!A:Q,16,FALSE)-VLOOKUP('Audit VAR'!A83,'Audit Dimensions'!A:P,16,FALSE)</f>
        <v>140</v>
      </c>
      <c r="P83" s="148">
        <f t="shared" si="3"/>
        <v>0.14000000000000001</v>
      </c>
      <c r="Q83" s="151">
        <f t="shared" si="4"/>
        <v>0</v>
      </c>
      <c r="R83" s="80" t="e">
        <f t="shared" si="5"/>
        <v>#DIV/0!</v>
      </c>
    </row>
    <row r="84" spans="1:18" hidden="1">
      <c r="A84" s="132" t="s">
        <v>143</v>
      </c>
      <c r="B84" s="52" t="str">
        <f>VLOOKUP(A84,'Billing Dimensions'!A:B,2,FALSE)</f>
        <v>SB</v>
      </c>
      <c r="C84" s="136">
        <f>VLOOKUP(A84,'Billing Dimensions'!$A:$N,3,FALSE)-VLOOKUP(A84,'Audit Dimensions'!$A:$N,3,FALSE)</f>
        <v>0</v>
      </c>
      <c r="D84" s="136">
        <f>VLOOKUP(A84,'Billing Dimensions'!$A:$N,4,FALSE)-VLOOKUP(A84,'Audit Dimensions'!$A:$N,4,FALSE)</f>
        <v>0</v>
      </c>
      <c r="E84" s="136">
        <f>VLOOKUP(A84,'Billing Dimensions'!$A:$N,5,FALSE)-VLOOKUP(A84,'Audit Dimensions'!$A:$N,5,FALSE)</f>
        <v>0</v>
      </c>
      <c r="F84" s="137">
        <f>VLOOKUP(A84,'Billing Dimensions'!$A:$N,6,FALSE)-VLOOKUP(A84,'Audit Dimensions'!$A:$N,6,FALSE)</f>
        <v>-110</v>
      </c>
      <c r="G84" s="138">
        <f>VLOOKUP(A84,'Billing Dimensions'!$A:$N,7,FALSE)-VLOOKUP(A84,'Audit Dimensions'!$A:$N,7,FALSE)</f>
        <v>0</v>
      </c>
      <c r="H84" s="138">
        <f>VLOOKUP(A84,'Billing Dimensions'!$A:$N,8,FALSE)-VLOOKUP(A84,'Audit Dimensions'!$A:$N,8,FALSE)</f>
        <v>0</v>
      </c>
      <c r="I84" s="138">
        <f>VLOOKUP(A84,'Billing Dimensions'!$A:$N,9,FALSE)-VLOOKUP(A84,'Audit Dimensions'!$A:$N,9,FALSE)</f>
        <v>0</v>
      </c>
      <c r="J84" s="139">
        <f>VLOOKUP(A84,'Billing Dimensions'!$A:$N,10,FALSE)-VLOOKUP(A84,'Audit Dimensions'!$A:$N,10,FALSE)</f>
        <v>0</v>
      </c>
      <c r="K84" s="140">
        <f>VLOOKUP(A84,'Billing Dimensions'!$A:$N,11,FALSE)-VLOOKUP(A84,'Audit Dimensions'!$A:$N,11,FALSE)</f>
        <v>0</v>
      </c>
      <c r="L84" s="140">
        <f>VLOOKUP(A84,'Billing Dimensions'!$A:$N,12,FALSE)-VLOOKUP(A84,'Audit Dimensions'!$A:$N,12,FALSE)</f>
        <v>0</v>
      </c>
      <c r="M84" s="140">
        <f>VLOOKUP(A84,'Billing Dimensions'!$A:$N,13,FALSE)-VLOOKUP(A84,'Audit Dimensions'!$A:$N,13,FALSE)</f>
        <v>0</v>
      </c>
      <c r="N84" s="140">
        <f>VLOOKUP(A84,'Billing Dimensions'!$A:$N,14,FALSE)-VLOOKUP(A84,'Audit Dimensions'!$A:$N,14,FALSE)</f>
        <v>0</v>
      </c>
      <c r="O84" s="147">
        <f>VLOOKUP(A84,'Billing Dimensions'!A:Q,16,FALSE)-VLOOKUP('Audit VAR'!A84,'Audit Dimensions'!A:P,16,FALSE)</f>
        <v>-110</v>
      </c>
      <c r="P84" s="148">
        <f t="shared" si="3"/>
        <v>-0.11</v>
      </c>
      <c r="Q84" s="151">
        <f t="shared" si="4"/>
        <v>0</v>
      </c>
      <c r="R84" s="80" t="e">
        <f t="shared" si="5"/>
        <v>#DIV/0!</v>
      </c>
    </row>
    <row r="85" spans="1:18" hidden="1">
      <c r="A85" s="132" t="s">
        <v>144</v>
      </c>
      <c r="B85" s="52" t="str">
        <f>VLOOKUP(A85,'Billing Dimensions'!A:B,2,FALSE)</f>
        <v>SB</v>
      </c>
      <c r="C85" s="136">
        <f>VLOOKUP(A85,'Billing Dimensions'!$A:$N,3,FALSE)-VLOOKUP(A85,'Audit Dimensions'!$A:$N,3,FALSE)</f>
        <v>0</v>
      </c>
      <c r="D85" s="136">
        <f>VLOOKUP(A85,'Billing Dimensions'!$A:$N,4,FALSE)-VLOOKUP(A85,'Audit Dimensions'!$A:$N,4,FALSE)</f>
        <v>0</v>
      </c>
      <c r="E85" s="136">
        <f>VLOOKUP(A85,'Billing Dimensions'!$A:$N,5,FALSE)-VLOOKUP(A85,'Audit Dimensions'!$A:$N,5,FALSE)</f>
        <v>0</v>
      </c>
      <c r="F85" s="137">
        <f>VLOOKUP(A85,'Billing Dimensions'!$A:$N,6,FALSE)-VLOOKUP(A85,'Audit Dimensions'!$A:$N,6,FALSE)</f>
        <v>-110</v>
      </c>
      <c r="G85" s="138">
        <f>VLOOKUP(A85,'Billing Dimensions'!$A:$N,7,FALSE)-VLOOKUP(A85,'Audit Dimensions'!$A:$N,7,FALSE)</f>
        <v>0</v>
      </c>
      <c r="H85" s="138">
        <f>VLOOKUP(A85,'Billing Dimensions'!$A:$N,8,FALSE)-VLOOKUP(A85,'Audit Dimensions'!$A:$N,8,FALSE)</f>
        <v>0</v>
      </c>
      <c r="I85" s="138">
        <f>VLOOKUP(A85,'Billing Dimensions'!$A:$N,9,FALSE)-VLOOKUP(A85,'Audit Dimensions'!$A:$N,9,FALSE)</f>
        <v>0</v>
      </c>
      <c r="J85" s="139">
        <f>VLOOKUP(A85,'Billing Dimensions'!$A:$N,10,FALSE)-VLOOKUP(A85,'Audit Dimensions'!$A:$N,10,FALSE)</f>
        <v>0</v>
      </c>
      <c r="K85" s="140">
        <f>VLOOKUP(A85,'Billing Dimensions'!$A:$N,11,FALSE)-VLOOKUP(A85,'Audit Dimensions'!$A:$N,11,FALSE)</f>
        <v>0</v>
      </c>
      <c r="L85" s="140">
        <f>VLOOKUP(A85,'Billing Dimensions'!$A:$N,12,FALSE)-VLOOKUP(A85,'Audit Dimensions'!$A:$N,12,FALSE)</f>
        <v>0</v>
      </c>
      <c r="M85" s="140">
        <f>VLOOKUP(A85,'Billing Dimensions'!$A:$N,13,FALSE)-VLOOKUP(A85,'Audit Dimensions'!$A:$N,13,FALSE)</f>
        <v>0</v>
      </c>
      <c r="N85" s="140">
        <f>VLOOKUP(A85,'Billing Dimensions'!$A:$N,14,FALSE)-VLOOKUP(A85,'Audit Dimensions'!$A:$N,14,FALSE)</f>
        <v>0</v>
      </c>
      <c r="O85" s="147">
        <f>VLOOKUP(A85,'Billing Dimensions'!A:Q,16,FALSE)-VLOOKUP('Audit VAR'!A85,'Audit Dimensions'!A:P,16,FALSE)</f>
        <v>-110</v>
      </c>
      <c r="P85" s="148">
        <f t="shared" si="3"/>
        <v>-0.11</v>
      </c>
      <c r="Q85" s="151">
        <f t="shared" si="4"/>
        <v>0</v>
      </c>
      <c r="R85" s="80" t="e">
        <f t="shared" si="5"/>
        <v>#DIV/0!</v>
      </c>
    </row>
    <row r="86" spans="1:18" hidden="1">
      <c r="A86" s="132" t="s">
        <v>146</v>
      </c>
      <c r="B86" s="52" t="str">
        <f>VLOOKUP(A86,'Billing Dimensions'!A:B,2,FALSE)</f>
        <v>SB</v>
      </c>
      <c r="C86" s="136">
        <f>VLOOKUP(A86,'Billing Dimensions'!$A:$N,3,FALSE)-VLOOKUP(A86,'Audit Dimensions'!$A:$N,3,FALSE)</f>
        <v>56</v>
      </c>
      <c r="D86" s="136">
        <f>VLOOKUP(A86,'Billing Dimensions'!$A:$N,4,FALSE)-VLOOKUP(A86,'Audit Dimensions'!$A:$N,4,FALSE)</f>
        <v>-1</v>
      </c>
      <c r="E86" s="136">
        <f>VLOOKUP(A86,'Billing Dimensions'!$A:$N,5,FALSE)-VLOOKUP(A86,'Audit Dimensions'!$A:$N,5,FALSE)</f>
        <v>0</v>
      </c>
      <c r="F86" s="137">
        <f>VLOOKUP(A86,'Billing Dimensions'!$A:$N,6,FALSE)-VLOOKUP(A86,'Audit Dimensions'!$A:$N,6,FALSE)</f>
        <v>-210</v>
      </c>
      <c r="G86" s="138">
        <f>VLOOKUP(A86,'Billing Dimensions'!$A:$N,7,FALSE)-VLOOKUP(A86,'Audit Dimensions'!$A:$N,7,FALSE)</f>
        <v>0</v>
      </c>
      <c r="H86" s="138">
        <f>VLOOKUP(A86,'Billing Dimensions'!$A:$N,8,FALSE)-VLOOKUP(A86,'Audit Dimensions'!$A:$N,8,FALSE)</f>
        <v>0</v>
      </c>
      <c r="I86" s="138">
        <f>VLOOKUP(A86,'Billing Dimensions'!$A:$N,9,FALSE)-VLOOKUP(A86,'Audit Dimensions'!$A:$N,9,FALSE)</f>
        <v>0</v>
      </c>
      <c r="J86" s="139">
        <f>VLOOKUP(A86,'Billing Dimensions'!$A:$N,10,FALSE)-VLOOKUP(A86,'Audit Dimensions'!$A:$N,10,FALSE)</f>
        <v>0</v>
      </c>
      <c r="K86" s="140">
        <f>VLOOKUP(A86,'Billing Dimensions'!$A:$N,11,FALSE)-VLOOKUP(A86,'Audit Dimensions'!$A:$N,11,FALSE)</f>
        <v>0</v>
      </c>
      <c r="L86" s="140">
        <f>VLOOKUP(A86,'Billing Dimensions'!$A:$N,12,FALSE)-VLOOKUP(A86,'Audit Dimensions'!$A:$N,12,FALSE)</f>
        <v>0</v>
      </c>
      <c r="M86" s="140">
        <f>VLOOKUP(A86,'Billing Dimensions'!$A:$N,13,FALSE)-VLOOKUP(A86,'Audit Dimensions'!$A:$N,13,FALSE)</f>
        <v>0</v>
      </c>
      <c r="N86" s="140">
        <f>VLOOKUP(A86,'Billing Dimensions'!$A:$N,14,FALSE)-VLOOKUP(A86,'Audit Dimensions'!$A:$N,14,FALSE)</f>
        <v>0</v>
      </c>
      <c r="O86" s="147">
        <f>VLOOKUP(A86,'Billing Dimensions'!A:Q,16,FALSE)-VLOOKUP('Audit VAR'!A86,'Audit Dimensions'!A:P,16,FALSE)</f>
        <v>-210</v>
      </c>
      <c r="P86" s="148">
        <f t="shared" si="3"/>
        <v>-0.21</v>
      </c>
      <c r="Q86" s="151">
        <f t="shared" si="4"/>
        <v>0</v>
      </c>
      <c r="R86" s="80" t="e">
        <f t="shared" si="5"/>
        <v>#DIV/0!</v>
      </c>
    </row>
    <row r="87" spans="1:18" ht="13.5" hidden="1" customHeight="1">
      <c r="A87" s="132" t="s">
        <v>147</v>
      </c>
      <c r="B87" s="52" t="str">
        <f>VLOOKUP(A87,'Billing Dimensions'!A:B,2,FALSE)</f>
        <v>SB</v>
      </c>
      <c r="C87" s="136">
        <f>VLOOKUP(A87,'Billing Dimensions'!$A:$N,3,FALSE)-VLOOKUP(A87,'Audit Dimensions'!$A:$N,3,FALSE)</f>
        <v>-1</v>
      </c>
      <c r="D87" s="136">
        <f>VLOOKUP(A87,'Billing Dimensions'!$A:$N,4,FALSE)-VLOOKUP(A87,'Audit Dimensions'!$A:$N,4,FALSE)</f>
        <v>-1</v>
      </c>
      <c r="E87" s="136">
        <f>VLOOKUP(A87,'Billing Dimensions'!$A:$N,5,FALSE)-VLOOKUP(A87,'Audit Dimensions'!$A:$N,5,FALSE)</f>
        <v>-1</v>
      </c>
      <c r="F87" s="137">
        <f>VLOOKUP(A87,'Billing Dimensions'!$A:$N,6,FALSE)-VLOOKUP(A87,'Audit Dimensions'!$A:$N,6,FALSE)</f>
        <v>-1850</v>
      </c>
      <c r="G87" s="138">
        <f>VLOOKUP(A87,'Billing Dimensions'!$A:$N,7,FALSE)-VLOOKUP(A87,'Audit Dimensions'!$A:$N,7,FALSE)</f>
        <v>0</v>
      </c>
      <c r="H87" s="138">
        <f>VLOOKUP(A87,'Billing Dimensions'!$A:$N,8,FALSE)-VLOOKUP(A87,'Audit Dimensions'!$A:$N,8,FALSE)</f>
        <v>0</v>
      </c>
      <c r="I87" s="138">
        <f>VLOOKUP(A87,'Billing Dimensions'!$A:$N,9,FALSE)-VLOOKUP(A87,'Audit Dimensions'!$A:$N,9,FALSE)</f>
        <v>0</v>
      </c>
      <c r="J87" s="139">
        <f>VLOOKUP(A87,'Billing Dimensions'!$A:$N,10,FALSE)-VLOOKUP(A87,'Audit Dimensions'!$A:$N,10,FALSE)</f>
        <v>0</v>
      </c>
      <c r="K87" s="140">
        <f>VLOOKUP(A87,'Billing Dimensions'!$A:$N,11,FALSE)-VLOOKUP(A87,'Audit Dimensions'!$A:$N,11,FALSE)</f>
        <v>0</v>
      </c>
      <c r="L87" s="140">
        <f>VLOOKUP(A87,'Billing Dimensions'!$A:$N,12,FALSE)-VLOOKUP(A87,'Audit Dimensions'!$A:$N,12,FALSE)</f>
        <v>0</v>
      </c>
      <c r="M87" s="140">
        <f>VLOOKUP(A87,'Billing Dimensions'!$A:$N,13,FALSE)-VLOOKUP(A87,'Audit Dimensions'!$A:$N,13,FALSE)</f>
        <v>0</v>
      </c>
      <c r="N87" s="140">
        <f>VLOOKUP(A87,'Billing Dimensions'!$A:$N,14,FALSE)-VLOOKUP(A87,'Audit Dimensions'!$A:$N,14,FALSE)</f>
        <v>0</v>
      </c>
      <c r="O87" s="147">
        <f>VLOOKUP(A87,'Billing Dimensions'!A:Q,16,FALSE)-VLOOKUP('Audit VAR'!A87,'Audit Dimensions'!A:P,16,FALSE)</f>
        <v>-1850</v>
      </c>
      <c r="P87" s="148">
        <f t="shared" si="3"/>
        <v>-1.85</v>
      </c>
      <c r="Q87" s="151">
        <f t="shared" si="4"/>
        <v>-3.5320000000000001E-5</v>
      </c>
      <c r="R87" s="80">
        <f t="shared" si="5"/>
        <v>52378.255945639867</v>
      </c>
    </row>
    <row r="88" spans="1:18" hidden="1">
      <c r="A88" s="132" t="s">
        <v>148</v>
      </c>
      <c r="B88" s="52" t="str">
        <f>VLOOKUP(A88,'Billing Dimensions'!A:B,2,FALSE)</f>
        <v>SB</v>
      </c>
      <c r="C88" s="136">
        <f>VLOOKUP(A88,'Billing Dimensions'!$A:$N,3,FALSE)-VLOOKUP(A88,'Audit Dimensions'!$A:$N,3,FALSE)</f>
        <v>0</v>
      </c>
      <c r="D88" s="136">
        <f>VLOOKUP(A88,'Billing Dimensions'!$A:$N,4,FALSE)-VLOOKUP(A88,'Audit Dimensions'!$A:$N,4,FALSE)</f>
        <v>1</v>
      </c>
      <c r="E88" s="136">
        <f>VLOOKUP(A88,'Billing Dimensions'!$A:$N,5,FALSE)-VLOOKUP(A88,'Audit Dimensions'!$A:$N,5,FALSE)</f>
        <v>0</v>
      </c>
      <c r="F88" s="137">
        <f>VLOOKUP(A88,'Billing Dimensions'!$A:$N,6,FALSE)-VLOOKUP(A88,'Audit Dimensions'!$A:$N,6,FALSE)</f>
        <v>-1150</v>
      </c>
      <c r="G88" s="138">
        <f>VLOOKUP(A88,'Billing Dimensions'!$A:$N,7,FALSE)-VLOOKUP(A88,'Audit Dimensions'!$A:$N,7,FALSE)</f>
        <v>0</v>
      </c>
      <c r="H88" s="138">
        <f>VLOOKUP(A88,'Billing Dimensions'!$A:$N,8,FALSE)-VLOOKUP(A88,'Audit Dimensions'!$A:$N,8,FALSE)</f>
        <v>0</v>
      </c>
      <c r="I88" s="138">
        <f>VLOOKUP(A88,'Billing Dimensions'!$A:$N,9,FALSE)-VLOOKUP(A88,'Audit Dimensions'!$A:$N,9,FALSE)</f>
        <v>0</v>
      </c>
      <c r="J88" s="139">
        <f>VLOOKUP(A88,'Billing Dimensions'!$A:$N,10,FALSE)-VLOOKUP(A88,'Audit Dimensions'!$A:$N,10,FALSE)</f>
        <v>0</v>
      </c>
      <c r="K88" s="140">
        <f>VLOOKUP(A88,'Billing Dimensions'!$A:$N,11,FALSE)-VLOOKUP(A88,'Audit Dimensions'!$A:$N,11,FALSE)</f>
        <v>0</v>
      </c>
      <c r="L88" s="140">
        <f>VLOOKUP(A88,'Billing Dimensions'!$A:$N,12,FALSE)-VLOOKUP(A88,'Audit Dimensions'!$A:$N,12,FALSE)</f>
        <v>0</v>
      </c>
      <c r="M88" s="140">
        <f>VLOOKUP(A88,'Billing Dimensions'!$A:$N,13,FALSE)-VLOOKUP(A88,'Audit Dimensions'!$A:$N,13,FALSE)</f>
        <v>0</v>
      </c>
      <c r="N88" s="140">
        <f>VLOOKUP(A88,'Billing Dimensions'!$A:$N,14,FALSE)-VLOOKUP(A88,'Audit Dimensions'!$A:$N,14,FALSE)</f>
        <v>0</v>
      </c>
      <c r="O88" s="147">
        <f>VLOOKUP(A88,'Billing Dimensions'!A:Q,16,FALSE)-VLOOKUP('Audit VAR'!A88,'Audit Dimensions'!A:P,16,FALSE)</f>
        <v>-1150</v>
      </c>
      <c r="P88" s="148">
        <f t="shared" si="3"/>
        <v>-1.1499999999999999</v>
      </c>
      <c r="Q88" s="151">
        <f t="shared" si="4"/>
        <v>0</v>
      </c>
      <c r="R88" s="80" t="e">
        <f t="shared" si="5"/>
        <v>#DIV/0!</v>
      </c>
    </row>
    <row r="89" spans="1:18" hidden="1">
      <c r="A89" s="132" t="s">
        <v>149</v>
      </c>
      <c r="B89" s="52" t="str">
        <f>VLOOKUP(A89,'Billing Dimensions'!A:B,2,FALSE)</f>
        <v>SB</v>
      </c>
      <c r="C89" s="136">
        <f>VLOOKUP(A89,'Billing Dimensions'!$A:$N,3,FALSE)-VLOOKUP(A89,'Audit Dimensions'!$A:$N,3,FALSE)</f>
        <v>0</v>
      </c>
      <c r="D89" s="136">
        <f>VLOOKUP(A89,'Billing Dimensions'!$A:$N,4,FALSE)-VLOOKUP(A89,'Audit Dimensions'!$A:$N,4,FALSE)</f>
        <v>0</v>
      </c>
      <c r="E89" s="136">
        <f>VLOOKUP(A89,'Billing Dimensions'!$A:$N,5,FALSE)-VLOOKUP(A89,'Audit Dimensions'!$A:$N,5,FALSE)</f>
        <v>0</v>
      </c>
      <c r="F89" s="137">
        <f>VLOOKUP(A89,'Billing Dimensions'!$A:$N,6,FALSE)-VLOOKUP(A89,'Audit Dimensions'!$A:$N,6,FALSE)</f>
        <v>-150</v>
      </c>
      <c r="G89" s="138">
        <f>VLOOKUP(A89,'Billing Dimensions'!$A:$N,7,FALSE)-VLOOKUP(A89,'Audit Dimensions'!$A:$N,7,FALSE)</f>
        <v>0</v>
      </c>
      <c r="H89" s="138">
        <f>VLOOKUP(A89,'Billing Dimensions'!$A:$N,8,FALSE)-VLOOKUP(A89,'Audit Dimensions'!$A:$N,8,FALSE)</f>
        <v>0</v>
      </c>
      <c r="I89" s="138">
        <f>VLOOKUP(A89,'Billing Dimensions'!$A:$N,9,FALSE)-VLOOKUP(A89,'Audit Dimensions'!$A:$N,9,FALSE)</f>
        <v>0</v>
      </c>
      <c r="J89" s="139">
        <f>VLOOKUP(A89,'Billing Dimensions'!$A:$N,10,FALSE)-VLOOKUP(A89,'Audit Dimensions'!$A:$N,10,FALSE)</f>
        <v>0</v>
      </c>
      <c r="K89" s="140">
        <f>VLOOKUP(A89,'Billing Dimensions'!$A:$N,11,FALSE)-VLOOKUP(A89,'Audit Dimensions'!$A:$N,11,FALSE)</f>
        <v>0</v>
      </c>
      <c r="L89" s="140">
        <f>VLOOKUP(A89,'Billing Dimensions'!$A:$N,12,FALSE)-VLOOKUP(A89,'Audit Dimensions'!$A:$N,12,FALSE)</f>
        <v>0</v>
      </c>
      <c r="M89" s="140">
        <f>VLOOKUP(A89,'Billing Dimensions'!$A:$N,13,FALSE)-VLOOKUP(A89,'Audit Dimensions'!$A:$N,13,FALSE)</f>
        <v>0</v>
      </c>
      <c r="N89" s="140">
        <f>VLOOKUP(A89,'Billing Dimensions'!$A:$N,14,FALSE)-VLOOKUP(A89,'Audit Dimensions'!$A:$N,14,FALSE)</f>
        <v>0</v>
      </c>
      <c r="O89" s="147">
        <f>VLOOKUP(A89,'Billing Dimensions'!A:Q,16,FALSE)-VLOOKUP('Audit VAR'!A89,'Audit Dimensions'!A:P,16,FALSE)</f>
        <v>-150</v>
      </c>
      <c r="P89" s="148">
        <f t="shared" si="3"/>
        <v>-0.15</v>
      </c>
      <c r="Q89" s="151">
        <f t="shared" si="4"/>
        <v>0</v>
      </c>
      <c r="R89" s="80" t="e">
        <f t="shared" si="5"/>
        <v>#DIV/0!</v>
      </c>
    </row>
    <row r="90" spans="1:18" hidden="1">
      <c r="A90" s="132" t="s">
        <v>150</v>
      </c>
      <c r="B90" s="52" t="str">
        <f>VLOOKUP(A90,'Billing Dimensions'!A:B,2,FALSE)</f>
        <v>SB</v>
      </c>
      <c r="C90" s="136">
        <f>VLOOKUP(A90,'Billing Dimensions'!$A:$N,3,FALSE)-VLOOKUP(A90,'Audit Dimensions'!$A:$N,3,FALSE)</f>
        <v>-2</v>
      </c>
      <c r="D90" s="136">
        <f>VLOOKUP(A90,'Billing Dimensions'!$A:$N,4,FALSE)-VLOOKUP(A90,'Audit Dimensions'!$A:$N,4,FALSE)</f>
        <v>1</v>
      </c>
      <c r="E90" s="136">
        <f>VLOOKUP(A90,'Billing Dimensions'!$A:$N,5,FALSE)-VLOOKUP(A90,'Audit Dimensions'!$A:$N,5,FALSE)</f>
        <v>0</v>
      </c>
      <c r="F90" s="137">
        <f>VLOOKUP(A90,'Billing Dimensions'!$A:$N,6,FALSE)-VLOOKUP(A90,'Audit Dimensions'!$A:$N,6,FALSE)</f>
        <v>-2560</v>
      </c>
      <c r="G90" s="138">
        <f>VLOOKUP(A90,'Billing Dimensions'!$A:$N,7,FALSE)-VLOOKUP(A90,'Audit Dimensions'!$A:$N,7,FALSE)</f>
        <v>0</v>
      </c>
      <c r="H90" s="138">
        <f>VLOOKUP(A90,'Billing Dimensions'!$A:$N,8,FALSE)-VLOOKUP(A90,'Audit Dimensions'!$A:$N,8,FALSE)</f>
        <v>0</v>
      </c>
      <c r="I90" s="138">
        <f>VLOOKUP(A90,'Billing Dimensions'!$A:$N,9,FALSE)-VLOOKUP(A90,'Audit Dimensions'!$A:$N,9,FALSE)</f>
        <v>0</v>
      </c>
      <c r="J90" s="139">
        <f>VLOOKUP(A90,'Billing Dimensions'!$A:$N,10,FALSE)-VLOOKUP(A90,'Audit Dimensions'!$A:$N,10,FALSE)</f>
        <v>0</v>
      </c>
      <c r="K90" s="140">
        <f>VLOOKUP(A90,'Billing Dimensions'!$A:$N,11,FALSE)-VLOOKUP(A90,'Audit Dimensions'!$A:$N,11,FALSE)</f>
        <v>0</v>
      </c>
      <c r="L90" s="140">
        <f>VLOOKUP(A90,'Billing Dimensions'!$A:$N,12,FALSE)-VLOOKUP(A90,'Audit Dimensions'!$A:$N,12,FALSE)</f>
        <v>0</v>
      </c>
      <c r="M90" s="140">
        <f>VLOOKUP(A90,'Billing Dimensions'!$A:$N,13,FALSE)-VLOOKUP(A90,'Audit Dimensions'!$A:$N,13,FALSE)</f>
        <v>0</v>
      </c>
      <c r="N90" s="140">
        <f>VLOOKUP(A90,'Billing Dimensions'!$A:$N,14,FALSE)-VLOOKUP(A90,'Audit Dimensions'!$A:$N,14,FALSE)</f>
        <v>0</v>
      </c>
      <c r="O90" s="147">
        <f>VLOOKUP(A90,'Billing Dimensions'!A:Q,16,FALSE)-VLOOKUP('Audit VAR'!A90,'Audit Dimensions'!A:P,16,FALSE)</f>
        <v>-2560</v>
      </c>
      <c r="P90" s="148">
        <f t="shared" si="3"/>
        <v>-2.56</v>
      </c>
      <c r="Q90" s="151">
        <f t="shared" si="4"/>
        <v>0</v>
      </c>
      <c r="R90" s="80" t="e">
        <f t="shared" si="5"/>
        <v>#DIV/0!</v>
      </c>
    </row>
    <row r="91" spans="1:18" ht="12.4" hidden="1" customHeight="1">
      <c r="A91" s="132" t="s">
        <v>152</v>
      </c>
      <c r="B91" s="52" t="str">
        <f>VLOOKUP(A91,'Billing Dimensions'!A:B,2,FALSE)</f>
        <v>SB</v>
      </c>
      <c r="C91" s="136">
        <f>VLOOKUP(A91,'Billing Dimensions'!$A:$N,3,FALSE)-VLOOKUP(A91,'Audit Dimensions'!$A:$N,3,FALSE)</f>
        <v>2</v>
      </c>
      <c r="D91" s="136">
        <f>VLOOKUP(A91,'Billing Dimensions'!$A:$N,4,FALSE)-VLOOKUP(A91,'Audit Dimensions'!$A:$N,4,FALSE)</f>
        <v>6</v>
      </c>
      <c r="E91" s="136">
        <f>VLOOKUP(A91,'Billing Dimensions'!$A:$N,5,FALSE)-VLOOKUP(A91,'Audit Dimensions'!$A:$N,5,FALSE)</f>
        <v>-2</v>
      </c>
      <c r="F91" s="137">
        <f>VLOOKUP(A91,'Billing Dimensions'!$A:$N,6,FALSE)-VLOOKUP(A91,'Audit Dimensions'!$A:$N,6,FALSE)</f>
        <v>-1400</v>
      </c>
      <c r="G91" s="138">
        <f>VLOOKUP(A91,'Billing Dimensions'!$A:$N,7,FALSE)-VLOOKUP(A91,'Audit Dimensions'!$A:$N,7,FALSE)</f>
        <v>0</v>
      </c>
      <c r="H91" s="138">
        <f>VLOOKUP(A91,'Billing Dimensions'!$A:$N,8,FALSE)-VLOOKUP(A91,'Audit Dimensions'!$A:$N,8,FALSE)</f>
        <v>0</v>
      </c>
      <c r="I91" s="138">
        <f>VLOOKUP(A91,'Billing Dimensions'!$A:$N,9,FALSE)-VLOOKUP(A91,'Audit Dimensions'!$A:$N,9,FALSE)</f>
        <v>0</v>
      </c>
      <c r="J91" s="139">
        <f>VLOOKUP(A91,'Billing Dimensions'!$A:$N,10,FALSE)-VLOOKUP(A91,'Audit Dimensions'!$A:$N,10,FALSE)</f>
        <v>0</v>
      </c>
      <c r="K91" s="140">
        <f>VLOOKUP(A91,'Billing Dimensions'!$A:$N,11,FALSE)-VLOOKUP(A91,'Audit Dimensions'!$A:$N,11,FALSE)</f>
        <v>0</v>
      </c>
      <c r="L91" s="140">
        <f>VLOOKUP(A91,'Billing Dimensions'!$A:$N,12,FALSE)-VLOOKUP(A91,'Audit Dimensions'!$A:$N,12,FALSE)</f>
        <v>0</v>
      </c>
      <c r="M91" s="140">
        <f>VLOOKUP(A91,'Billing Dimensions'!$A:$N,13,FALSE)-VLOOKUP(A91,'Audit Dimensions'!$A:$N,13,FALSE)</f>
        <v>0</v>
      </c>
      <c r="N91" s="140">
        <f>VLOOKUP(A91,'Billing Dimensions'!$A:$N,14,FALSE)-VLOOKUP(A91,'Audit Dimensions'!$A:$N,14,FALSE)</f>
        <v>0</v>
      </c>
      <c r="O91" s="147">
        <f>VLOOKUP(A91,'Billing Dimensions'!A:Q,16,FALSE)-VLOOKUP('Audit VAR'!A91,'Audit Dimensions'!A:P,16,FALSE)</f>
        <v>-1400</v>
      </c>
      <c r="P91" s="148">
        <f t="shared" si="3"/>
        <v>-1.4</v>
      </c>
      <c r="Q91" s="151">
        <f t="shared" si="4"/>
        <v>-8.4768000000000007E-4</v>
      </c>
      <c r="R91" s="80">
        <f t="shared" si="5"/>
        <v>1651.566628916572</v>
      </c>
    </row>
    <row r="92" spans="1:18" hidden="1">
      <c r="A92" s="132" t="s">
        <v>153</v>
      </c>
      <c r="B92" s="52" t="str">
        <f>VLOOKUP(A92,'Billing Dimensions'!A:B,2,FALSE)</f>
        <v>SB</v>
      </c>
      <c r="C92" s="136">
        <f>VLOOKUP(A92,'Billing Dimensions'!$A:$N,3,FALSE)-VLOOKUP(A92,'Audit Dimensions'!$A:$N,3,FALSE)</f>
        <v>0</v>
      </c>
      <c r="D92" s="136">
        <f>VLOOKUP(A92,'Billing Dimensions'!$A:$N,4,FALSE)-VLOOKUP(A92,'Audit Dimensions'!$A:$N,4,FALSE)</f>
        <v>0</v>
      </c>
      <c r="E92" s="136">
        <f>VLOOKUP(A92,'Billing Dimensions'!$A:$N,5,FALSE)-VLOOKUP(A92,'Audit Dimensions'!$A:$N,5,FALSE)</f>
        <v>0</v>
      </c>
      <c r="F92" s="137">
        <f>VLOOKUP(A92,'Billing Dimensions'!$A:$N,6,FALSE)-VLOOKUP(A92,'Audit Dimensions'!$A:$N,6,FALSE)</f>
        <v>0</v>
      </c>
      <c r="G92" s="138">
        <f>VLOOKUP(A92,'Billing Dimensions'!$A:$N,7,FALSE)-VLOOKUP(A92,'Audit Dimensions'!$A:$N,7,FALSE)</f>
        <v>0</v>
      </c>
      <c r="H92" s="138">
        <f>VLOOKUP(A92,'Billing Dimensions'!$A:$N,8,FALSE)-VLOOKUP(A92,'Audit Dimensions'!$A:$N,8,FALSE)</f>
        <v>0</v>
      </c>
      <c r="I92" s="138">
        <f>VLOOKUP(A92,'Billing Dimensions'!$A:$N,9,FALSE)-VLOOKUP(A92,'Audit Dimensions'!$A:$N,9,FALSE)</f>
        <v>0</v>
      </c>
      <c r="J92" s="139">
        <f>VLOOKUP(A92,'Billing Dimensions'!$A:$N,10,FALSE)-VLOOKUP(A92,'Audit Dimensions'!$A:$N,10,FALSE)</f>
        <v>0</v>
      </c>
      <c r="K92" s="140">
        <f>VLOOKUP(A92,'Billing Dimensions'!$A:$N,11,FALSE)-VLOOKUP(A92,'Audit Dimensions'!$A:$N,11,FALSE)</f>
        <v>0</v>
      </c>
      <c r="L92" s="140">
        <f>VLOOKUP(A92,'Billing Dimensions'!$A:$N,12,FALSE)-VLOOKUP(A92,'Audit Dimensions'!$A:$N,12,FALSE)</f>
        <v>0</v>
      </c>
      <c r="M92" s="140">
        <f>VLOOKUP(A92,'Billing Dimensions'!$A:$N,13,FALSE)-VLOOKUP(A92,'Audit Dimensions'!$A:$N,13,FALSE)</f>
        <v>0</v>
      </c>
      <c r="N92" s="140">
        <f>VLOOKUP(A92,'Billing Dimensions'!$A:$N,14,FALSE)-VLOOKUP(A92,'Audit Dimensions'!$A:$N,14,FALSE)</f>
        <v>0</v>
      </c>
      <c r="O92" s="147">
        <f>VLOOKUP(A92,'Billing Dimensions'!A:Q,16,FALSE)-VLOOKUP('Audit VAR'!A92,'Audit Dimensions'!A:P,16,FALSE)</f>
        <v>0</v>
      </c>
      <c r="P92" s="148">
        <f t="shared" si="3"/>
        <v>0</v>
      </c>
      <c r="Q92" s="151">
        <f t="shared" si="4"/>
        <v>0</v>
      </c>
      <c r="R92" s="80" t="e">
        <f t="shared" si="5"/>
        <v>#DIV/0!</v>
      </c>
    </row>
    <row r="93" spans="1:18" hidden="1">
      <c r="A93" s="132" t="s">
        <v>156</v>
      </c>
      <c r="B93" s="52" t="str">
        <f>VLOOKUP(A93,'Billing Dimensions'!A:B,2,FALSE)</f>
        <v>SB</v>
      </c>
      <c r="C93" s="136">
        <f>VLOOKUP(A93,'Billing Dimensions'!$A:$N,3,FALSE)-VLOOKUP(A93,'Audit Dimensions'!$A:$N,3,FALSE)</f>
        <v>29</v>
      </c>
      <c r="D93" s="136">
        <f>VLOOKUP(A93,'Billing Dimensions'!$A:$N,4,FALSE)-VLOOKUP(A93,'Audit Dimensions'!$A:$N,4,FALSE)</f>
        <v>-4</v>
      </c>
      <c r="E93" s="136">
        <f>VLOOKUP(A93,'Billing Dimensions'!$A:$N,5,FALSE)-VLOOKUP(A93,'Audit Dimensions'!$A:$N,5,FALSE)</f>
        <v>-2</v>
      </c>
      <c r="F93" s="137">
        <f>VLOOKUP(A93,'Billing Dimensions'!$A:$N,6,FALSE)-VLOOKUP(A93,'Audit Dimensions'!$A:$N,6,FALSE)</f>
        <v>-4050</v>
      </c>
      <c r="G93" s="138">
        <f>VLOOKUP(A93,'Billing Dimensions'!$A:$N,7,FALSE)-VLOOKUP(A93,'Audit Dimensions'!$A:$N,7,FALSE)</f>
        <v>0</v>
      </c>
      <c r="H93" s="138">
        <f>VLOOKUP(A93,'Billing Dimensions'!$A:$N,8,FALSE)-VLOOKUP(A93,'Audit Dimensions'!$A:$N,8,FALSE)</f>
        <v>0</v>
      </c>
      <c r="I93" s="138">
        <f>VLOOKUP(A93,'Billing Dimensions'!$A:$N,9,FALSE)-VLOOKUP(A93,'Audit Dimensions'!$A:$N,9,FALSE)</f>
        <v>0</v>
      </c>
      <c r="J93" s="139">
        <f>VLOOKUP(A93,'Billing Dimensions'!$A:$N,10,FALSE)-VLOOKUP(A93,'Audit Dimensions'!$A:$N,10,FALSE)</f>
        <v>0</v>
      </c>
      <c r="K93" s="140">
        <f>VLOOKUP(A93,'Billing Dimensions'!$A:$N,11,FALSE)-VLOOKUP(A93,'Audit Dimensions'!$A:$N,11,FALSE)</f>
        <v>0</v>
      </c>
      <c r="L93" s="140">
        <f>VLOOKUP(A93,'Billing Dimensions'!$A:$N,12,FALSE)-VLOOKUP(A93,'Audit Dimensions'!$A:$N,12,FALSE)</f>
        <v>0</v>
      </c>
      <c r="M93" s="140">
        <f>VLOOKUP(A93,'Billing Dimensions'!$A:$N,13,FALSE)-VLOOKUP(A93,'Audit Dimensions'!$A:$N,13,FALSE)</f>
        <v>0</v>
      </c>
      <c r="N93" s="140">
        <f>VLOOKUP(A93,'Billing Dimensions'!$A:$N,14,FALSE)-VLOOKUP(A93,'Audit Dimensions'!$A:$N,14,FALSE)</f>
        <v>0</v>
      </c>
      <c r="O93" s="147">
        <f>VLOOKUP(A93,'Billing Dimensions'!A:Q,16,FALSE)-VLOOKUP('Audit VAR'!A93,'Audit Dimensions'!A:P,16,FALSE)</f>
        <v>-4050</v>
      </c>
      <c r="P93" s="148">
        <f t="shared" si="3"/>
        <v>-4.05</v>
      </c>
      <c r="Q93" s="151">
        <f t="shared" si="4"/>
        <v>8.1942400000000002E-3</v>
      </c>
      <c r="R93" s="80">
        <f t="shared" si="5"/>
        <v>-494.24961924473774</v>
      </c>
    </row>
    <row r="94" spans="1:18" hidden="1">
      <c r="A94" s="132" t="s">
        <v>157</v>
      </c>
      <c r="B94" s="52" t="str">
        <f>VLOOKUP(A94,'Billing Dimensions'!A:B,2,FALSE)</f>
        <v>SB</v>
      </c>
      <c r="C94" s="136">
        <f>VLOOKUP(A94,'Billing Dimensions'!$A:$N,3,FALSE)-VLOOKUP(A94,'Audit Dimensions'!$A:$N,3,FALSE)</f>
        <v>0</v>
      </c>
      <c r="D94" s="136">
        <f>VLOOKUP(A94,'Billing Dimensions'!$A:$N,4,FALSE)-VLOOKUP(A94,'Audit Dimensions'!$A:$N,4,FALSE)</f>
        <v>-2</v>
      </c>
      <c r="E94" s="136">
        <f>VLOOKUP(A94,'Billing Dimensions'!$A:$N,5,FALSE)-VLOOKUP(A94,'Audit Dimensions'!$A:$N,5,FALSE)</f>
        <v>0</v>
      </c>
      <c r="F94" s="137">
        <f>VLOOKUP(A94,'Billing Dimensions'!$A:$N,6,FALSE)-VLOOKUP(A94,'Audit Dimensions'!$A:$N,6,FALSE)</f>
        <v>-910</v>
      </c>
      <c r="G94" s="138">
        <f>VLOOKUP(A94,'Billing Dimensions'!$A:$N,7,FALSE)-VLOOKUP(A94,'Audit Dimensions'!$A:$N,7,FALSE)</f>
        <v>0</v>
      </c>
      <c r="H94" s="138">
        <f>VLOOKUP(A94,'Billing Dimensions'!$A:$N,8,FALSE)-VLOOKUP(A94,'Audit Dimensions'!$A:$N,8,FALSE)</f>
        <v>0</v>
      </c>
      <c r="I94" s="138">
        <f>VLOOKUP(A94,'Billing Dimensions'!$A:$N,9,FALSE)-VLOOKUP(A94,'Audit Dimensions'!$A:$N,9,FALSE)</f>
        <v>0</v>
      </c>
      <c r="J94" s="139">
        <f>VLOOKUP(A94,'Billing Dimensions'!$A:$N,10,FALSE)-VLOOKUP(A94,'Audit Dimensions'!$A:$N,10,FALSE)</f>
        <v>0</v>
      </c>
      <c r="K94" s="140">
        <f>VLOOKUP(A94,'Billing Dimensions'!$A:$N,11,FALSE)-VLOOKUP(A94,'Audit Dimensions'!$A:$N,11,FALSE)</f>
        <v>0</v>
      </c>
      <c r="L94" s="140">
        <f>VLOOKUP(A94,'Billing Dimensions'!$A:$N,12,FALSE)-VLOOKUP(A94,'Audit Dimensions'!$A:$N,12,FALSE)</f>
        <v>0</v>
      </c>
      <c r="M94" s="140">
        <f>VLOOKUP(A94,'Billing Dimensions'!$A:$N,13,FALSE)-VLOOKUP(A94,'Audit Dimensions'!$A:$N,13,FALSE)</f>
        <v>0</v>
      </c>
      <c r="N94" s="140">
        <f>VLOOKUP(A94,'Billing Dimensions'!$A:$N,14,FALSE)-VLOOKUP(A94,'Audit Dimensions'!$A:$N,14,FALSE)</f>
        <v>0</v>
      </c>
      <c r="O94" s="147">
        <f>VLOOKUP(A94,'Billing Dimensions'!A:Q,16,FALSE)-VLOOKUP('Audit VAR'!A94,'Audit Dimensions'!A:P,16,FALSE)</f>
        <v>-910</v>
      </c>
      <c r="P94" s="148">
        <f t="shared" si="3"/>
        <v>-0.91</v>
      </c>
      <c r="Q94" s="151">
        <f t="shared" si="4"/>
        <v>0</v>
      </c>
      <c r="R94" s="80" t="e">
        <f t="shared" si="5"/>
        <v>#DIV/0!</v>
      </c>
    </row>
    <row r="95" spans="1:18" hidden="1">
      <c r="A95" s="132" t="s">
        <v>158</v>
      </c>
      <c r="B95" s="52" t="str">
        <f>VLOOKUP(A95,'Billing Dimensions'!A:B,2,FALSE)</f>
        <v>SB</v>
      </c>
      <c r="C95" s="136">
        <f>VLOOKUP(A95,'Billing Dimensions'!$A:$N,3,FALSE)-VLOOKUP(A95,'Audit Dimensions'!$A:$N,3,FALSE)</f>
        <v>0</v>
      </c>
      <c r="D95" s="136">
        <f>VLOOKUP(A95,'Billing Dimensions'!$A:$N,4,FALSE)-VLOOKUP(A95,'Audit Dimensions'!$A:$N,4,FALSE)</f>
        <v>1</v>
      </c>
      <c r="E95" s="136">
        <f>VLOOKUP(A95,'Billing Dimensions'!$A:$N,5,FALSE)-VLOOKUP(A95,'Audit Dimensions'!$A:$N,5,FALSE)</f>
        <v>0</v>
      </c>
      <c r="F95" s="137">
        <f>VLOOKUP(A95,'Billing Dimensions'!$A:$N,6,FALSE)-VLOOKUP(A95,'Audit Dimensions'!$A:$N,6,FALSE)</f>
        <v>-1150</v>
      </c>
      <c r="G95" s="138">
        <f>VLOOKUP(A95,'Billing Dimensions'!$A:$N,7,FALSE)-VLOOKUP(A95,'Audit Dimensions'!$A:$N,7,FALSE)</f>
        <v>0</v>
      </c>
      <c r="H95" s="138">
        <f>VLOOKUP(A95,'Billing Dimensions'!$A:$N,8,FALSE)-VLOOKUP(A95,'Audit Dimensions'!$A:$N,8,FALSE)</f>
        <v>0</v>
      </c>
      <c r="I95" s="138">
        <f>VLOOKUP(A95,'Billing Dimensions'!$A:$N,9,FALSE)-VLOOKUP(A95,'Audit Dimensions'!$A:$N,9,FALSE)</f>
        <v>0</v>
      </c>
      <c r="J95" s="139">
        <f>VLOOKUP(A95,'Billing Dimensions'!$A:$N,10,FALSE)-VLOOKUP(A95,'Audit Dimensions'!$A:$N,10,FALSE)</f>
        <v>0</v>
      </c>
      <c r="K95" s="140">
        <f>VLOOKUP(A95,'Billing Dimensions'!$A:$N,11,FALSE)-VLOOKUP(A95,'Audit Dimensions'!$A:$N,11,FALSE)</f>
        <v>0</v>
      </c>
      <c r="L95" s="140">
        <f>VLOOKUP(A95,'Billing Dimensions'!$A:$N,12,FALSE)-VLOOKUP(A95,'Audit Dimensions'!$A:$N,12,FALSE)</f>
        <v>0</v>
      </c>
      <c r="M95" s="140">
        <f>VLOOKUP(A95,'Billing Dimensions'!$A:$N,13,FALSE)-VLOOKUP(A95,'Audit Dimensions'!$A:$N,13,FALSE)</f>
        <v>0</v>
      </c>
      <c r="N95" s="140">
        <f>VLOOKUP(A95,'Billing Dimensions'!$A:$N,14,FALSE)-VLOOKUP(A95,'Audit Dimensions'!$A:$N,14,FALSE)</f>
        <v>0</v>
      </c>
      <c r="O95" s="147">
        <f>VLOOKUP(A95,'Billing Dimensions'!A:Q,16,FALSE)-VLOOKUP('Audit VAR'!A95,'Audit Dimensions'!A:P,16,FALSE)</f>
        <v>-1150</v>
      </c>
      <c r="P95" s="148">
        <f t="shared" si="3"/>
        <v>-1.1499999999999999</v>
      </c>
      <c r="Q95" s="151">
        <f t="shared" si="4"/>
        <v>0</v>
      </c>
      <c r="R95" s="80" t="e">
        <f t="shared" si="5"/>
        <v>#DIV/0!</v>
      </c>
    </row>
    <row r="96" spans="1:18" hidden="1">
      <c r="A96" s="132" t="s">
        <v>159</v>
      </c>
      <c r="B96" s="52" t="str">
        <f>VLOOKUP(A96,'Billing Dimensions'!A:B,2,FALSE)</f>
        <v>SB</v>
      </c>
      <c r="C96" s="136">
        <f>VLOOKUP(A96,'Billing Dimensions'!$A:$N,3,FALSE)-VLOOKUP(A96,'Audit Dimensions'!$A:$N,3,FALSE)</f>
        <v>0</v>
      </c>
      <c r="D96" s="136">
        <f>VLOOKUP(A96,'Billing Dimensions'!$A:$N,4,FALSE)-VLOOKUP(A96,'Audit Dimensions'!$A:$N,4,FALSE)</f>
        <v>0</v>
      </c>
      <c r="E96" s="136">
        <f>VLOOKUP(A96,'Billing Dimensions'!$A:$N,5,FALSE)-VLOOKUP(A96,'Audit Dimensions'!$A:$N,5,FALSE)</f>
        <v>0</v>
      </c>
      <c r="F96" s="137">
        <f>VLOOKUP(A96,'Billing Dimensions'!$A:$N,6,FALSE)-VLOOKUP(A96,'Audit Dimensions'!$A:$N,6,FALSE)</f>
        <v>-150</v>
      </c>
      <c r="G96" s="138">
        <f>VLOOKUP(A96,'Billing Dimensions'!$A:$N,7,FALSE)-VLOOKUP(A96,'Audit Dimensions'!$A:$N,7,FALSE)</f>
        <v>0</v>
      </c>
      <c r="H96" s="138">
        <f>VLOOKUP(A96,'Billing Dimensions'!$A:$N,8,FALSE)-VLOOKUP(A96,'Audit Dimensions'!$A:$N,8,FALSE)</f>
        <v>0</v>
      </c>
      <c r="I96" s="138">
        <f>VLOOKUP(A96,'Billing Dimensions'!$A:$N,9,FALSE)-VLOOKUP(A96,'Audit Dimensions'!$A:$N,9,FALSE)</f>
        <v>0</v>
      </c>
      <c r="J96" s="139">
        <f>VLOOKUP(A96,'Billing Dimensions'!$A:$N,10,FALSE)-VLOOKUP(A96,'Audit Dimensions'!$A:$N,10,FALSE)</f>
        <v>0</v>
      </c>
      <c r="K96" s="140">
        <f>VLOOKUP(A96,'Billing Dimensions'!$A:$N,11,FALSE)-VLOOKUP(A96,'Audit Dimensions'!$A:$N,11,FALSE)</f>
        <v>0</v>
      </c>
      <c r="L96" s="140">
        <f>VLOOKUP(A96,'Billing Dimensions'!$A:$N,12,FALSE)-VLOOKUP(A96,'Audit Dimensions'!$A:$N,12,FALSE)</f>
        <v>0</v>
      </c>
      <c r="M96" s="140">
        <f>VLOOKUP(A96,'Billing Dimensions'!$A:$N,13,FALSE)-VLOOKUP(A96,'Audit Dimensions'!$A:$N,13,FALSE)</f>
        <v>0</v>
      </c>
      <c r="N96" s="140">
        <f>VLOOKUP(A96,'Billing Dimensions'!$A:$N,14,FALSE)-VLOOKUP(A96,'Audit Dimensions'!$A:$N,14,FALSE)</f>
        <v>0</v>
      </c>
      <c r="O96" s="147">
        <f>VLOOKUP(A96,'Billing Dimensions'!A:Q,16,FALSE)-VLOOKUP('Audit VAR'!A96,'Audit Dimensions'!A:P,16,FALSE)</f>
        <v>-150</v>
      </c>
      <c r="P96" s="148">
        <f t="shared" si="3"/>
        <v>-0.15</v>
      </c>
      <c r="Q96" s="151">
        <f t="shared" si="4"/>
        <v>0</v>
      </c>
      <c r="R96" s="80" t="e">
        <f t="shared" si="5"/>
        <v>#DIV/0!</v>
      </c>
    </row>
    <row r="97" spans="1:18" hidden="1">
      <c r="A97" s="132" t="s">
        <v>161</v>
      </c>
      <c r="B97" s="52" t="str">
        <f>VLOOKUP(A97,'Billing Dimensions'!A:B,2,FALSE)</f>
        <v>SB</v>
      </c>
      <c r="C97" s="136">
        <f>VLOOKUP(A97,'Billing Dimensions'!$A:$N,3,FALSE)-VLOOKUP(A97,'Audit Dimensions'!$A:$N,3,FALSE)</f>
        <v>0</v>
      </c>
      <c r="D97" s="136">
        <f>VLOOKUP(A97,'Billing Dimensions'!$A:$N,4,FALSE)-VLOOKUP(A97,'Audit Dimensions'!$A:$N,4,FALSE)</f>
        <v>0</v>
      </c>
      <c r="E97" s="136">
        <f>VLOOKUP(A97,'Billing Dimensions'!$A:$N,5,FALSE)-VLOOKUP(A97,'Audit Dimensions'!$A:$N,5,FALSE)</f>
        <v>0</v>
      </c>
      <c r="F97" s="137">
        <f>VLOOKUP(A97,'Billing Dimensions'!$A:$N,6,FALSE)-VLOOKUP(A97,'Audit Dimensions'!$A:$N,6,FALSE)</f>
        <v>-150</v>
      </c>
      <c r="G97" s="138">
        <f>VLOOKUP(A97,'Billing Dimensions'!$A:$N,7,FALSE)-VLOOKUP(A97,'Audit Dimensions'!$A:$N,7,FALSE)</f>
        <v>0</v>
      </c>
      <c r="H97" s="138">
        <f>VLOOKUP(A97,'Billing Dimensions'!$A:$N,8,FALSE)-VLOOKUP(A97,'Audit Dimensions'!$A:$N,8,FALSE)</f>
        <v>0</v>
      </c>
      <c r="I97" s="138">
        <f>VLOOKUP(A97,'Billing Dimensions'!$A:$N,9,FALSE)-VLOOKUP(A97,'Audit Dimensions'!$A:$N,9,FALSE)</f>
        <v>0</v>
      </c>
      <c r="J97" s="139">
        <f>VLOOKUP(A97,'Billing Dimensions'!$A:$N,10,FALSE)-VLOOKUP(A97,'Audit Dimensions'!$A:$N,10,FALSE)</f>
        <v>0</v>
      </c>
      <c r="K97" s="140">
        <f>VLOOKUP(A97,'Billing Dimensions'!$A:$N,11,FALSE)-VLOOKUP(A97,'Audit Dimensions'!$A:$N,11,FALSE)</f>
        <v>0</v>
      </c>
      <c r="L97" s="140">
        <f>VLOOKUP(A97,'Billing Dimensions'!$A:$N,12,FALSE)-VLOOKUP(A97,'Audit Dimensions'!$A:$N,12,FALSE)</f>
        <v>0</v>
      </c>
      <c r="M97" s="140">
        <f>VLOOKUP(A97,'Billing Dimensions'!$A:$N,13,FALSE)-VLOOKUP(A97,'Audit Dimensions'!$A:$N,13,FALSE)</f>
        <v>0</v>
      </c>
      <c r="N97" s="140">
        <f>VLOOKUP(A97,'Billing Dimensions'!$A:$N,14,FALSE)-VLOOKUP(A97,'Audit Dimensions'!$A:$N,14,FALSE)</f>
        <v>0</v>
      </c>
      <c r="O97" s="147">
        <f>VLOOKUP(A97,'Billing Dimensions'!A:Q,16,FALSE)-VLOOKUP('Audit VAR'!A97,'Audit Dimensions'!A:P,16,FALSE)</f>
        <v>-150</v>
      </c>
      <c r="P97" s="148">
        <f t="shared" si="3"/>
        <v>-0.15</v>
      </c>
      <c r="Q97" s="151">
        <f t="shared" si="4"/>
        <v>0</v>
      </c>
      <c r="R97" s="80" t="e">
        <f t="shared" si="5"/>
        <v>#DIV/0!</v>
      </c>
    </row>
    <row r="98" spans="1:18" hidden="1">
      <c r="A98" s="132" t="s">
        <v>162</v>
      </c>
      <c r="B98" s="52" t="str">
        <f>VLOOKUP(A98,'Billing Dimensions'!A:B,2,FALSE)</f>
        <v>SB</v>
      </c>
      <c r="C98" s="136">
        <f>VLOOKUP(A98,'Billing Dimensions'!$A:$N,3,FALSE)-VLOOKUP(A98,'Audit Dimensions'!$A:$N,3,FALSE)</f>
        <v>4</v>
      </c>
      <c r="D98" s="136">
        <f>VLOOKUP(A98,'Billing Dimensions'!$A:$N,4,FALSE)-VLOOKUP(A98,'Audit Dimensions'!$A:$N,4,FALSE)</f>
        <v>4</v>
      </c>
      <c r="E98" s="136">
        <f>VLOOKUP(A98,'Billing Dimensions'!$A:$N,5,FALSE)-VLOOKUP(A98,'Audit Dimensions'!$A:$N,5,FALSE)</f>
        <v>0</v>
      </c>
      <c r="F98" s="137">
        <f>VLOOKUP(A98,'Billing Dimensions'!$A:$N,6,FALSE)-VLOOKUP(A98,'Audit Dimensions'!$A:$N,6,FALSE)</f>
        <v>150</v>
      </c>
      <c r="G98" s="138">
        <f>VLOOKUP(A98,'Billing Dimensions'!$A:$N,7,FALSE)-VLOOKUP(A98,'Audit Dimensions'!$A:$N,7,FALSE)</f>
        <v>0</v>
      </c>
      <c r="H98" s="138">
        <f>VLOOKUP(A98,'Billing Dimensions'!$A:$N,8,FALSE)-VLOOKUP(A98,'Audit Dimensions'!$A:$N,8,FALSE)</f>
        <v>0</v>
      </c>
      <c r="I98" s="138">
        <f>VLOOKUP(A98,'Billing Dimensions'!$A:$N,9,FALSE)-VLOOKUP(A98,'Audit Dimensions'!$A:$N,9,FALSE)</f>
        <v>0</v>
      </c>
      <c r="J98" s="139">
        <f>VLOOKUP(A98,'Billing Dimensions'!$A:$N,10,FALSE)-VLOOKUP(A98,'Audit Dimensions'!$A:$N,10,FALSE)</f>
        <v>0</v>
      </c>
      <c r="K98" s="140">
        <f>VLOOKUP(A98,'Billing Dimensions'!$A:$N,11,FALSE)-VLOOKUP(A98,'Audit Dimensions'!$A:$N,11,FALSE)</f>
        <v>0</v>
      </c>
      <c r="L98" s="140">
        <f>VLOOKUP(A98,'Billing Dimensions'!$A:$N,12,FALSE)-VLOOKUP(A98,'Audit Dimensions'!$A:$N,12,FALSE)</f>
        <v>0</v>
      </c>
      <c r="M98" s="140">
        <f>VLOOKUP(A98,'Billing Dimensions'!$A:$N,13,FALSE)-VLOOKUP(A98,'Audit Dimensions'!$A:$N,13,FALSE)</f>
        <v>0</v>
      </c>
      <c r="N98" s="140">
        <f>VLOOKUP(A98,'Billing Dimensions'!$A:$N,14,FALSE)-VLOOKUP(A98,'Audit Dimensions'!$A:$N,14,FALSE)</f>
        <v>0</v>
      </c>
      <c r="O98" s="147">
        <f>VLOOKUP(A98,'Billing Dimensions'!A:Q,16,FALSE)-VLOOKUP('Audit VAR'!A98,'Audit Dimensions'!A:P,16,FALSE)</f>
        <v>150</v>
      </c>
      <c r="P98" s="148">
        <f t="shared" si="3"/>
        <v>0.15</v>
      </c>
      <c r="Q98" s="151">
        <f t="shared" si="4"/>
        <v>0</v>
      </c>
      <c r="R98" s="80" t="e">
        <f t="shared" si="5"/>
        <v>#DIV/0!</v>
      </c>
    </row>
    <row r="99" spans="1:18" hidden="1">
      <c r="A99" s="132" t="s">
        <v>163</v>
      </c>
      <c r="B99" s="52" t="str">
        <f>VLOOKUP(A99,'Billing Dimensions'!A:B,2,FALSE)</f>
        <v>SB</v>
      </c>
      <c r="C99" s="136">
        <f>VLOOKUP(A99,'Billing Dimensions'!$A:$N,3,FALSE)-VLOOKUP(A99,'Audit Dimensions'!$A:$N,3,FALSE)</f>
        <v>0</v>
      </c>
      <c r="D99" s="136">
        <f>VLOOKUP(A99,'Billing Dimensions'!$A:$N,4,FALSE)-VLOOKUP(A99,'Audit Dimensions'!$A:$N,4,FALSE)</f>
        <v>0</v>
      </c>
      <c r="E99" s="136">
        <f>VLOOKUP(A99,'Billing Dimensions'!$A:$N,5,FALSE)-VLOOKUP(A99,'Audit Dimensions'!$A:$N,5,FALSE)</f>
        <v>0</v>
      </c>
      <c r="F99" s="137">
        <f>VLOOKUP(A99,'Billing Dimensions'!$A:$N,6,FALSE)-VLOOKUP(A99,'Audit Dimensions'!$A:$N,6,FALSE)</f>
        <v>0</v>
      </c>
      <c r="G99" s="138">
        <f>VLOOKUP(A99,'Billing Dimensions'!$A:$N,7,FALSE)-VLOOKUP(A99,'Audit Dimensions'!$A:$N,7,FALSE)</f>
        <v>0</v>
      </c>
      <c r="H99" s="138">
        <f>VLOOKUP(A99,'Billing Dimensions'!$A:$N,8,FALSE)-VLOOKUP(A99,'Audit Dimensions'!$A:$N,8,FALSE)</f>
        <v>0</v>
      </c>
      <c r="I99" s="138">
        <f>VLOOKUP(A99,'Billing Dimensions'!$A:$N,9,FALSE)-VLOOKUP(A99,'Audit Dimensions'!$A:$N,9,FALSE)</f>
        <v>0</v>
      </c>
      <c r="J99" s="139">
        <f>VLOOKUP(A99,'Billing Dimensions'!$A:$N,10,FALSE)-VLOOKUP(A99,'Audit Dimensions'!$A:$N,10,FALSE)</f>
        <v>0</v>
      </c>
      <c r="K99" s="140">
        <f>VLOOKUP(A99,'Billing Dimensions'!$A:$N,11,FALSE)-VLOOKUP(A99,'Audit Dimensions'!$A:$N,11,FALSE)</f>
        <v>0</v>
      </c>
      <c r="L99" s="140">
        <f>VLOOKUP(A99,'Billing Dimensions'!$A:$N,12,FALSE)-VLOOKUP(A99,'Audit Dimensions'!$A:$N,12,FALSE)</f>
        <v>0</v>
      </c>
      <c r="M99" s="140">
        <f>VLOOKUP(A99,'Billing Dimensions'!$A:$N,13,FALSE)-VLOOKUP(A99,'Audit Dimensions'!$A:$N,13,FALSE)</f>
        <v>0</v>
      </c>
      <c r="N99" s="140">
        <f>VLOOKUP(A99,'Billing Dimensions'!$A:$N,14,FALSE)-VLOOKUP(A99,'Audit Dimensions'!$A:$N,14,FALSE)</f>
        <v>0</v>
      </c>
      <c r="O99" s="147">
        <f>VLOOKUP(A99,'Billing Dimensions'!A:Q,16,FALSE)-VLOOKUP('Audit VAR'!A99,'Audit Dimensions'!A:P,16,FALSE)</f>
        <v>0</v>
      </c>
      <c r="P99" s="148">
        <f t="shared" si="3"/>
        <v>0</v>
      </c>
      <c r="Q99" s="151">
        <f t="shared" si="4"/>
        <v>0</v>
      </c>
      <c r="R99" s="80" t="e">
        <f t="shared" si="5"/>
        <v>#DIV/0!</v>
      </c>
    </row>
    <row r="100" spans="1:18" hidden="1">
      <c r="A100" s="132" t="s">
        <v>164</v>
      </c>
      <c r="B100" s="52" t="str">
        <f>VLOOKUP(A100,'Billing Dimensions'!A:B,2,FALSE)</f>
        <v>SB</v>
      </c>
      <c r="C100" s="136">
        <f>VLOOKUP(A100,'Billing Dimensions'!$A:$N,3,FALSE)-VLOOKUP(A100,'Audit Dimensions'!$A:$N,3,FALSE)</f>
        <v>3</v>
      </c>
      <c r="D100" s="136">
        <f>VLOOKUP(A100,'Billing Dimensions'!$A:$N,4,FALSE)-VLOOKUP(A100,'Audit Dimensions'!$A:$N,4,FALSE)</f>
        <v>2</v>
      </c>
      <c r="E100" s="136">
        <f>VLOOKUP(A100,'Billing Dimensions'!$A:$N,5,FALSE)-VLOOKUP(A100,'Audit Dimensions'!$A:$N,5,FALSE)</f>
        <v>0</v>
      </c>
      <c r="F100" s="137">
        <f>VLOOKUP(A100,'Billing Dimensions'!$A:$N,6,FALSE)-VLOOKUP(A100,'Audit Dimensions'!$A:$N,6,FALSE)</f>
        <v>-1810</v>
      </c>
      <c r="G100" s="138">
        <f>VLOOKUP(A100,'Billing Dimensions'!$A:$N,7,FALSE)-VLOOKUP(A100,'Audit Dimensions'!$A:$N,7,FALSE)</f>
        <v>0</v>
      </c>
      <c r="H100" s="138">
        <f>VLOOKUP(A100,'Billing Dimensions'!$A:$N,8,FALSE)-VLOOKUP(A100,'Audit Dimensions'!$A:$N,8,FALSE)</f>
        <v>0</v>
      </c>
      <c r="I100" s="138">
        <f>VLOOKUP(A100,'Billing Dimensions'!$A:$N,9,FALSE)-VLOOKUP(A100,'Audit Dimensions'!$A:$N,9,FALSE)</f>
        <v>0</v>
      </c>
      <c r="J100" s="139">
        <f>VLOOKUP(A100,'Billing Dimensions'!$A:$N,10,FALSE)-VLOOKUP(A100,'Audit Dimensions'!$A:$N,10,FALSE)</f>
        <v>0</v>
      </c>
      <c r="K100" s="140">
        <f>VLOOKUP(A100,'Billing Dimensions'!$A:$N,11,FALSE)-VLOOKUP(A100,'Audit Dimensions'!$A:$N,11,FALSE)</f>
        <v>0</v>
      </c>
      <c r="L100" s="140">
        <f>VLOOKUP(A100,'Billing Dimensions'!$A:$N,12,FALSE)-VLOOKUP(A100,'Audit Dimensions'!$A:$N,12,FALSE)</f>
        <v>0</v>
      </c>
      <c r="M100" s="140">
        <f>VLOOKUP(A100,'Billing Dimensions'!$A:$N,13,FALSE)-VLOOKUP(A100,'Audit Dimensions'!$A:$N,13,FALSE)</f>
        <v>0</v>
      </c>
      <c r="N100" s="140">
        <f>VLOOKUP(A100,'Billing Dimensions'!$A:$N,14,FALSE)-VLOOKUP(A100,'Audit Dimensions'!$A:$N,14,FALSE)</f>
        <v>0</v>
      </c>
      <c r="O100" s="147">
        <f>VLOOKUP(A100,'Billing Dimensions'!A:Q,16,FALSE)-VLOOKUP('Audit VAR'!A100,'Audit Dimensions'!A:P,16,FALSE)</f>
        <v>-1810</v>
      </c>
      <c r="P100" s="148">
        <f t="shared" si="3"/>
        <v>-1.81</v>
      </c>
      <c r="Q100" s="151">
        <f t="shared" si="4"/>
        <v>0</v>
      </c>
      <c r="R100" s="80" t="e">
        <f t="shared" si="5"/>
        <v>#DIV/0!</v>
      </c>
    </row>
    <row r="101" spans="1:18" hidden="1">
      <c r="A101" s="132" t="s">
        <v>356</v>
      </c>
      <c r="B101" s="52" t="e">
        <f>VLOOKUP(A101,'Billing Dimensions'!A:B,2,FALSE)</f>
        <v>#N/A</v>
      </c>
      <c r="C101" s="136" t="e">
        <f>VLOOKUP(A101,'Billing Dimensions'!$A:$N,3,FALSE)-VLOOKUP(A101,'Audit Dimensions'!$A:$N,3,FALSE)</f>
        <v>#N/A</v>
      </c>
      <c r="D101" s="136" t="e">
        <f>VLOOKUP(A101,'Billing Dimensions'!$A:$N,4,FALSE)-VLOOKUP(A101,'Audit Dimensions'!$A:$N,4,FALSE)</f>
        <v>#N/A</v>
      </c>
      <c r="E101" s="136" t="e">
        <f>VLOOKUP(A101,'Billing Dimensions'!$A:$N,5,FALSE)-VLOOKUP(A101,'Audit Dimensions'!$A:$N,5,FALSE)</f>
        <v>#N/A</v>
      </c>
      <c r="F101" s="137" t="e">
        <f>VLOOKUP(A101,'Billing Dimensions'!$A:$N,6,FALSE)-VLOOKUP(A101,'Audit Dimensions'!$A:$N,6,FALSE)</f>
        <v>#N/A</v>
      </c>
      <c r="G101" s="138" t="e">
        <f>VLOOKUP(A101,'Billing Dimensions'!$A:$N,7,FALSE)-VLOOKUP(A101,'Audit Dimensions'!$A:$N,7,FALSE)</f>
        <v>#N/A</v>
      </c>
      <c r="H101" s="138" t="e">
        <f>VLOOKUP(A101,'Billing Dimensions'!$A:$N,8,FALSE)-VLOOKUP(A101,'Audit Dimensions'!$A:$N,8,FALSE)</f>
        <v>#N/A</v>
      </c>
      <c r="I101" s="138" t="e">
        <f>VLOOKUP(A101,'Billing Dimensions'!$A:$N,9,FALSE)-VLOOKUP(A101,'Audit Dimensions'!$A:$N,9,FALSE)</f>
        <v>#N/A</v>
      </c>
      <c r="J101" s="139" t="e">
        <f>VLOOKUP(A101,'Billing Dimensions'!$A:$N,10,FALSE)-VLOOKUP(A101,'Audit Dimensions'!$A:$N,10,FALSE)</f>
        <v>#N/A</v>
      </c>
      <c r="K101" s="140" t="e">
        <f>VLOOKUP(A101,'Billing Dimensions'!$A:$N,11,FALSE)-VLOOKUP(A101,'Audit Dimensions'!$A:$N,11,FALSE)</f>
        <v>#N/A</v>
      </c>
      <c r="L101" s="140" t="e">
        <f>VLOOKUP(A101,'Billing Dimensions'!$A:$N,12,FALSE)-VLOOKUP(A101,'Audit Dimensions'!$A:$N,12,FALSE)</f>
        <v>#N/A</v>
      </c>
      <c r="M101" s="140" t="e">
        <f>VLOOKUP(A101,'Billing Dimensions'!$A:$N,13,FALSE)-VLOOKUP(A101,'Audit Dimensions'!$A:$N,13,FALSE)</f>
        <v>#N/A</v>
      </c>
      <c r="N101" s="140" t="e">
        <f>VLOOKUP(A101,'Billing Dimensions'!$A:$N,14,FALSE)-VLOOKUP(A101,'Audit Dimensions'!$A:$N,14,FALSE)</f>
        <v>#N/A</v>
      </c>
      <c r="O101" s="147" t="e">
        <f>VLOOKUP(A101,'Billing Dimensions'!A:Q,16,FALSE)-VLOOKUP('Audit VAR'!A101,'Audit Dimensions'!A:P,16,FALSE)</f>
        <v>#N/A</v>
      </c>
      <c r="P101" s="148" t="e">
        <f t="shared" si="3"/>
        <v>#N/A</v>
      </c>
      <c r="Q101" s="151" t="e">
        <f t="shared" si="4"/>
        <v>#N/A</v>
      </c>
      <c r="R101" s="80" t="e">
        <f t="shared" si="5"/>
        <v>#N/A</v>
      </c>
    </row>
    <row r="102" spans="1:18" hidden="1">
      <c r="A102" s="132" t="s">
        <v>166</v>
      </c>
      <c r="B102" s="52" t="str">
        <f>VLOOKUP(A102,'Billing Dimensions'!A:B,2,FALSE)</f>
        <v> </v>
      </c>
      <c r="C102" s="136" t="e">
        <f>VLOOKUP(A102,'Billing Dimensions'!$A:$N,3,FALSE)-VLOOKUP(A102,'Audit Dimensions'!$A:$N,3,FALSE)</f>
        <v>#N/A</v>
      </c>
      <c r="D102" s="136" t="e">
        <f>VLOOKUP(A102,'Billing Dimensions'!$A:$N,4,FALSE)-VLOOKUP(A102,'Audit Dimensions'!$A:$N,4,FALSE)</f>
        <v>#N/A</v>
      </c>
      <c r="E102" s="136" t="e">
        <f>VLOOKUP(A102,'Billing Dimensions'!$A:$N,5,FALSE)-VLOOKUP(A102,'Audit Dimensions'!$A:$N,5,FALSE)</f>
        <v>#N/A</v>
      </c>
      <c r="F102" s="137" t="e">
        <f>VLOOKUP(A102,'Billing Dimensions'!$A:$N,6,FALSE)-VLOOKUP(A102,'Audit Dimensions'!$A:$N,6,FALSE)</f>
        <v>#N/A</v>
      </c>
      <c r="G102" s="138" t="e">
        <f>VLOOKUP(A102,'Billing Dimensions'!$A:$N,7,FALSE)-VLOOKUP(A102,'Audit Dimensions'!$A:$N,7,FALSE)</f>
        <v>#N/A</v>
      </c>
      <c r="H102" s="138" t="e">
        <f>VLOOKUP(A102,'Billing Dimensions'!$A:$N,8,FALSE)-VLOOKUP(A102,'Audit Dimensions'!$A:$N,8,FALSE)</f>
        <v>#N/A</v>
      </c>
      <c r="I102" s="138" t="e">
        <f>VLOOKUP(A102,'Billing Dimensions'!$A:$N,9,FALSE)-VLOOKUP(A102,'Audit Dimensions'!$A:$N,9,FALSE)</f>
        <v>#N/A</v>
      </c>
      <c r="J102" s="139" t="e">
        <f>VLOOKUP(A102,'Billing Dimensions'!$A:$N,10,FALSE)-VLOOKUP(A102,'Audit Dimensions'!$A:$N,10,FALSE)</f>
        <v>#N/A</v>
      </c>
      <c r="K102" s="140" t="e">
        <f>VLOOKUP(A102,'Billing Dimensions'!$A:$N,11,FALSE)-VLOOKUP(A102,'Audit Dimensions'!$A:$N,11,FALSE)</f>
        <v>#N/A</v>
      </c>
      <c r="L102" s="140" t="e">
        <f>VLOOKUP(A102,'Billing Dimensions'!$A:$N,12,FALSE)-VLOOKUP(A102,'Audit Dimensions'!$A:$N,12,FALSE)</f>
        <v>#N/A</v>
      </c>
      <c r="M102" s="140" t="e">
        <f>VLOOKUP(A102,'Billing Dimensions'!$A:$N,13,FALSE)-VLOOKUP(A102,'Audit Dimensions'!$A:$N,13,FALSE)</f>
        <v>#N/A</v>
      </c>
      <c r="N102" s="140" t="e">
        <f>VLOOKUP(A102,'Billing Dimensions'!$A:$N,14,FALSE)-VLOOKUP(A102,'Audit Dimensions'!$A:$N,14,FALSE)</f>
        <v>#N/A</v>
      </c>
      <c r="O102" s="147" t="e">
        <f>VLOOKUP(A102,'Billing Dimensions'!A:Q,16,FALSE)-VLOOKUP('Audit VAR'!A102,'Audit Dimensions'!A:P,16,FALSE)</f>
        <v>#N/A</v>
      </c>
      <c r="P102" s="148" t="e">
        <f t="shared" si="3"/>
        <v>#N/A</v>
      </c>
      <c r="Q102" s="151" t="e">
        <f t="shared" si="4"/>
        <v>#N/A</v>
      </c>
      <c r="R102" s="80" t="e">
        <f t="shared" si="5"/>
        <v>#N/A</v>
      </c>
    </row>
    <row r="103" spans="1:18" hidden="1">
      <c r="A103" s="132" t="s">
        <v>167</v>
      </c>
      <c r="B103" s="52" t="str">
        <f>VLOOKUP(A103,'Billing Dimensions'!A:B,2,FALSE)</f>
        <v>SB</v>
      </c>
      <c r="C103" s="136">
        <f>VLOOKUP(A103,'Billing Dimensions'!$A:$N,3,FALSE)-VLOOKUP(A103,'Audit Dimensions'!$A:$N,3,FALSE)</f>
        <v>2</v>
      </c>
      <c r="D103" s="136">
        <f>VLOOKUP(A103,'Billing Dimensions'!$A:$N,4,FALSE)-VLOOKUP(A103,'Audit Dimensions'!$A:$N,4,FALSE)</f>
        <v>-2</v>
      </c>
      <c r="E103" s="136">
        <f>VLOOKUP(A103,'Billing Dimensions'!$A:$N,5,FALSE)-VLOOKUP(A103,'Audit Dimensions'!$A:$N,5,FALSE)</f>
        <v>-1</v>
      </c>
      <c r="F103" s="137">
        <f>VLOOKUP(A103,'Billing Dimensions'!$A:$N,6,FALSE)-VLOOKUP(A103,'Audit Dimensions'!$A:$N,6,FALSE)</f>
        <v>100</v>
      </c>
      <c r="G103" s="138">
        <f>VLOOKUP(A103,'Billing Dimensions'!$A:$N,7,FALSE)-VLOOKUP(A103,'Audit Dimensions'!$A:$N,7,FALSE)</f>
        <v>0</v>
      </c>
      <c r="H103" s="138">
        <f>VLOOKUP(A103,'Billing Dimensions'!$A:$N,8,FALSE)-VLOOKUP(A103,'Audit Dimensions'!$A:$N,8,FALSE)</f>
        <v>0</v>
      </c>
      <c r="I103" s="138">
        <f>VLOOKUP(A103,'Billing Dimensions'!$A:$N,9,FALSE)-VLOOKUP(A103,'Audit Dimensions'!$A:$N,9,FALSE)</f>
        <v>0</v>
      </c>
      <c r="J103" s="139">
        <f>VLOOKUP(A103,'Billing Dimensions'!$A:$N,10,FALSE)-VLOOKUP(A103,'Audit Dimensions'!$A:$N,10,FALSE)</f>
        <v>0</v>
      </c>
      <c r="K103" s="140">
        <f>VLOOKUP(A103,'Billing Dimensions'!$A:$N,11,FALSE)-VLOOKUP(A103,'Audit Dimensions'!$A:$N,11,FALSE)</f>
        <v>0</v>
      </c>
      <c r="L103" s="140">
        <f>VLOOKUP(A103,'Billing Dimensions'!$A:$N,12,FALSE)-VLOOKUP(A103,'Audit Dimensions'!$A:$N,12,FALSE)</f>
        <v>0</v>
      </c>
      <c r="M103" s="140">
        <f>VLOOKUP(A103,'Billing Dimensions'!$A:$N,13,FALSE)-VLOOKUP(A103,'Audit Dimensions'!$A:$N,13,FALSE)</f>
        <v>0</v>
      </c>
      <c r="N103" s="140">
        <f>VLOOKUP(A103,'Billing Dimensions'!$A:$N,14,FALSE)-VLOOKUP(A103,'Audit Dimensions'!$A:$N,14,FALSE)</f>
        <v>0</v>
      </c>
      <c r="O103" s="147">
        <f>VLOOKUP(A103,'Billing Dimensions'!A:Q,16,FALSE)-VLOOKUP('Audit VAR'!A103,'Audit Dimensions'!A:P,16,FALSE)</f>
        <v>100</v>
      </c>
      <c r="P103" s="148">
        <f t="shared" si="3"/>
        <v>0.1</v>
      </c>
      <c r="Q103" s="151">
        <f t="shared" si="4"/>
        <v>1.4128E-4</v>
      </c>
      <c r="R103" s="80">
        <f t="shared" si="5"/>
        <v>707.81426953567382</v>
      </c>
    </row>
    <row r="104" spans="1:18" hidden="1">
      <c r="A104" s="132" t="s">
        <v>168</v>
      </c>
      <c r="B104" s="52" t="str">
        <f>VLOOKUP(A104,'Billing Dimensions'!A:B,2,FALSE)</f>
        <v>SB</v>
      </c>
      <c r="C104" s="136">
        <f>VLOOKUP(A104,'Billing Dimensions'!$A:$N,3,FALSE)-VLOOKUP(A104,'Audit Dimensions'!$A:$N,3,FALSE)</f>
        <v>2</v>
      </c>
      <c r="D104" s="136">
        <f>VLOOKUP(A104,'Billing Dimensions'!$A:$N,4,FALSE)-VLOOKUP(A104,'Audit Dimensions'!$A:$N,4,FALSE)</f>
        <v>-1</v>
      </c>
      <c r="E104" s="136">
        <f>VLOOKUP(A104,'Billing Dimensions'!$A:$N,5,FALSE)-VLOOKUP(A104,'Audit Dimensions'!$A:$N,5,FALSE)</f>
        <v>-1</v>
      </c>
      <c r="F104" s="137">
        <f>VLOOKUP(A104,'Billing Dimensions'!$A:$N,6,FALSE)-VLOOKUP(A104,'Audit Dimensions'!$A:$N,6,FALSE)</f>
        <v>-2450</v>
      </c>
      <c r="G104" s="138">
        <f>VLOOKUP(A104,'Billing Dimensions'!$A:$N,7,FALSE)-VLOOKUP(A104,'Audit Dimensions'!$A:$N,7,FALSE)</f>
        <v>0</v>
      </c>
      <c r="H104" s="138">
        <f>VLOOKUP(A104,'Billing Dimensions'!$A:$N,8,FALSE)-VLOOKUP(A104,'Audit Dimensions'!$A:$N,8,FALSE)</f>
        <v>0</v>
      </c>
      <c r="I104" s="138">
        <f>VLOOKUP(A104,'Billing Dimensions'!$A:$N,9,FALSE)-VLOOKUP(A104,'Audit Dimensions'!$A:$N,9,FALSE)</f>
        <v>0</v>
      </c>
      <c r="J104" s="139">
        <f>VLOOKUP(A104,'Billing Dimensions'!$A:$N,10,FALSE)-VLOOKUP(A104,'Audit Dimensions'!$A:$N,10,FALSE)</f>
        <v>0</v>
      </c>
      <c r="K104" s="140">
        <f>VLOOKUP(A104,'Billing Dimensions'!$A:$N,11,FALSE)-VLOOKUP(A104,'Audit Dimensions'!$A:$N,11,FALSE)</f>
        <v>0</v>
      </c>
      <c r="L104" s="140">
        <f>VLOOKUP(A104,'Billing Dimensions'!$A:$N,12,FALSE)-VLOOKUP(A104,'Audit Dimensions'!$A:$N,12,FALSE)</f>
        <v>0</v>
      </c>
      <c r="M104" s="140">
        <f>VLOOKUP(A104,'Billing Dimensions'!$A:$N,13,FALSE)-VLOOKUP(A104,'Audit Dimensions'!$A:$N,13,FALSE)</f>
        <v>0</v>
      </c>
      <c r="N104" s="140">
        <f>VLOOKUP(A104,'Billing Dimensions'!$A:$N,14,FALSE)-VLOOKUP(A104,'Audit Dimensions'!$A:$N,14,FALSE)</f>
        <v>0</v>
      </c>
      <c r="O104" s="147">
        <f>VLOOKUP(A104,'Billing Dimensions'!A:Q,16,FALSE)-VLOOKUP('Audit VAR'!A104,'Audit Dimensions'!A:P,16,FALSE)</f>
        <v>-2450</v>
      </c>
      <c r="P104" s="148">
        <f t="shared" si="3"/>
        <v>-2.4500000000000002</v>
      </c>
      <c r="Q104" s="151">
        <f t="shared" si="4"/>
        <v>7.0640000000000001E-5</v>
      </c>
      <c r="R104" s="80">
        <f t="shared" si="5"/>
        <v>-34682.899207248018</v>
      </c>
    </row>
    <row r="105" spans="1:18" ht="12.4" hidden="1" customHeight="1">
      <c r="A105" s="132" t="s">
        <v>169</v>
      </c>
      <c r="B105" s="52" t="str">
        <f>VLOOKUP(A105,'Billing Dimensions'!A:B,2,FALSE)</f>
        <v>SB</v>
      </c>
      <c r="C105" s="136">
        <f>VLOOKUP(A105,'Billing Dimensions'!$A:$N,3,FALSE)-VLOOKUP(A105,'Audit Dimensions'!$A:$N,3,FALSE)</f>
        <v>-5</v>
      </c>
      <c r="D105" s="136">
        <f>VLOOKUP(A105,'Billing Dimensions'!$A:$N,4,FALSE)-VLOOKUP(A105,'Audit Dimensions'!$A:$N,4,FALSE)</f>
        <v>-1</v>
      </c>
      <c r="E105" s="136">
        <f>VLOOKUP(A105,'Billing Dimensions'!$A:$N,5,FALSE)-VLOOKUP(A105,'Audit Dimensions'!$A:$N,5,FALSE)</f>
        <v>1</v>
      </c>
      <c r="F105" s="137">
        <f>VLOOKUP(A105,'Billing Dimensions'!$A:$N,6,FALSE)-VLOOKUP(A105,'Audit Dimensions'!$A:$N,6,FALSE)</f>
        <v>-400</v>
      </c>
      <c r="G105" s="138">
        <f>VLOOKUP(A105,'Billing Dimensions'!$A:$N,7,FALSE)-VLOOKUP(A105,'Audit Dimensions'!$A:$N,7,FALSE)</f>
        <v>0</v>
      </c>
      <c r="H105" s="138">
        <f>VLOOKUP(A105,'Billing Dimensions'!$A:$N,8,FALSE)-VLOOKUP(A105,'Audit Dimensions'!$A:$N,8,FALSE)</f>
        <v>0</v>
      </c>
      <c r="I105" s="138">
        <f>VLOOKUP(A105,'Billing Dimensions'!$A:$N,9,FALSE)-VLOOKUP(A105,'Audit Dimensions'!$A:$N,9,FALSE)</f>
        <v>0</v>
      </c>
      <c r="J105" s="139">
        <f>VLOOKUP(A105,'Billing Dimensions'!$A:$N,10,FALSE)-VLOOKUP(A105,'Audit Dimensions'!$A:$N,10,FALSE)</f>
        <v>0</v>
      </c>
      <c r="K105" s="140">
        <f>VLOOKUP(A105,'Billing Dimensions'!$A:$N,11,FALSE)-VLOOKUP(A105,'Audit Dimensions'!$A:$N,11,FALSE)</f>
        <v>0</v>
      </c>
      <c r="L105" s="140">
        <f>VLOOKUP(A105,'Billing Dimensions'!$A:$N,12,FALSE)-VLOOKUP(A105,'Audit Dimensions'!$A:$N,12,FALSE)</f>
        <v>0</v>
      </c>
      <c r="M105" s="140">
        <f>VLOOKUP(A105,'Billing Dimensions'!$A:$N,13,FALSE)-VLOOKUP(A105,'Audit Dimensions'!$A:$N,13,FALSE)</f>
        <v>0</v>
      </c>
      <c r="N105" s="140">
        <f>VLOOKUP(A105,'Billing Dimensions'!$A:$N,14,FALSE)-VLOOKUP(A105,'Audit Dimensions'!$A:$N,14,FALSE)</f>
        <v>0</v>
      </c>
      <c r="O105" s="147">
        <f>VLOOKUP(A105,'Billing Dimensions'!A:Q,16,FALSE)-VLOOKUP('Audit VAR'!A105,'Audit Dimensions'!A:P,16,FALSE)</f>
        <v>-400</v>
      </c>
      <c r="P105" s="148">
        <f t="shared" si="3"/>
        <v>-0.4</v>
      </c>
      <c r="Q105" s="151">
        <f t="shared" si="4"/>
        <v>1.7660000000000001E-4</v>
      </c>
      <c r="R105" s="80">
        <f t="shared" si="5"/>
        <v>-2265.0056625141565</v>
      </c>
    </row>
    <row r="106" spans="1:18" ht="14.45" hidden="1" customHeight="1">
      <c r="A106" s="132" t="s">
        <v>170</v>
      </c>
      <c r="B106" s="52" t="str">
        <f>VLOOKUP(A106,'Billing Dimensions'!A:B,2,FALSE)</f>
        <v>SB</v>
      </c>
      <c r="C106" s="136">
        <f>VLOOKUP(A106,'Billing Dimensions'!$A:$N,3,FALSE)-VLOOKUP(A106,'Audit Dimensions'!$A:$N,3,FALSE)</f>
        <v>0</v>
      </c>
      <c r="D106" s="136">
        <f>VLOOKUP(A106,'Billing Dimensions'!$A:$N,4,FALSE)-VLOOKUP(A106,'Audit Dimensions'!$A:$N,4,FALSE)</f>
        <v>1</v>
      </c>
      <c r="E106" s="136">
        <f>VLOOKUP(A106,'Billing Dimensions'!$A:$N,5,FALSE)-VLOOKUP(A106,'Audit Dimensions'!$A:$N,5,FALSE)</f>
        <v>0</v>
      </c>
      <c r="F106" s="137">
        <f>VLOOKUP(A106,'Billing Dimensions'!$A:$N,6,FALSE)-VLOOKUP(A106,'Audit Dimensions'!$A:$N,6,FALSE)</f>
        <v>-405</v>
      </c>
      <c r="G106" s="138">
        <f>VLOOKUP(A106,'Billing Dimensions'!$A:$N,7,FALSE)-VLOOKUP(A106,'Audit Dimensions'!$A:$N,7,FALSE)</f>
        <v>0</v>
      </c>
      <c r="H106" s="138">
        <f>VLOOKUP(A106,'Billing Dimensions'!$A:$N,8,FALSE)-VLOOKUP(A106,'Audit Dimensions'!$A:$N,8,FALSE)</f>
        <v>0</v>
      </c>
      <c r="I106" s="138">
        <f>VLOOKUP(A106,'Billing Dimensions'!$A:$N,9,FALSE)-VLOOKUP(A106,'Audit Dimensions'!$A:$N,9,FALSE)</f>
        <v>0</v>
      </c>
      <c r="J106" s="139">
        <f>VLOOKUP(A106,'Billing Dimensions'!$A:$N,10,FALSE)-VLOOKUP(A106,'Audit Dimensions'!$A:$N,10,FALSE)</f>
        <v>0</v>
      </c>
      <c r="K106" s="140">
        <f>VLOOKUP(A106,'Billing Dimensions'!$A:$N,11,FALSE)-VLOOKUP(A106,'Audit Dimensions'!$A:$N,11,FALSE)</f>
        <v>0</v>
      </c>
      <c r="L106" s="140">
        <f>VLOOKUP(A106,'Billing Dimensions'!$A:$N,12,FALSE)-VLOOKUP(A106,'Audit Dimensions'!$A:$N,12,FALSE)</f>
        <v>0</v>
      </c>
      <c r="M106" s="140">
        <f>VLOOKUP(A106,'Billing Dimensions'!$A:$N,13,FALSE)-VLOOKUP(A106,'Audit Dimensions'!$A:$N,13,FALSE)</f>
        <v>0</v>
      </c>
      <c r="N106" s="140">
        <f>VLOOKUP(A106,'Billing Dimensions'!$A:$N,14,FALSE)-VLOOKUP(A106,'Audit Dimensions'!$A:$N,14,FALSE)</f>
        <v>0</v>
      </c>
      <c r="O106" s="147">
        <f>VLOOKUP(A106,'Billing Dimensions'!A:Q,16,FALSE)-VLOOKUP('Audit VAR'!A106,'Audit Dimensions'!A:P,16,FALSE)</f>
        <v>-405</v>
      </c>
      <c r="P106" s="148">
        <f t="shared" si="3"/>
        <v>-0.40500000000000003</v>
      </c>
      <c r="Q106" s="151">
        <f t="shared" si="4"/>
        <v>0</v>
      </c>
      <c r="R106" s="80" t="e">
        <f t="shared" si="5"/>
        <v>#DIV/0!</v>
      </c>
    </row>
    <row r="107" spans="1:18" hidden="1">
      <c r="A107" s="132" t="s">
        <v>171</v>
      </c>
      <c r="B107" s="52" t="str">
        <f>VLOOKUP(A107,'Billing Dimensions'!A:B,2,FALSE)</f>
        <v>SB</v>
      </c>
      <c r="C107" s="136">
        <f>VLOOKUP(A107,'Billing Dimensions'!$A:$N,3,FALSE)-VLOOKUP(A107,'Audit Dimensions'!$A:$N,3,FALSE)</f>
        <v>-1</v>
      </c>
      <c r="D107" s="136">
        <f>VLOOKUP(A107,'Billing Dimensions'!$A:$N,4,FALSE)-VLOOKUP(A107,'Audit Dimensions'!$A:$N,4,FALSE)</f>
        <v>1</v>
      </c>
      <c r="E107" s="136">
        <f>VLOOKUP(A107,'Billing Dimensions'!$A:$N,5,FALSE)-VLOOKUP(A107,'Audit Dimensions'!$A:$N,5,FALSE)</f>
        <v>0</v>
      </c>
      <c r="F107" s="137">
        <f>VLOOKUP(A107,'Billing Dimensions'!$A:$N,6,FALSE)-VLOOKUP(A107,'Audit Dimensions'!$A:$N,6,FALSE)</f>
        <v>-1215</v>
      </c>
      <c r="G107" s="138">
        <f>VLOOKUP(A107,'Billing Dimensions'!$A:$N,7,FALSE)-VLOOKUP(A107,'Audit Dimensions'!$A:$N,7,FALSE)</f>
        <v>0</v>
      </c>
      <c r="H107" s="138">
        <f>VLOOKUP(A107,'Billing Dimensions'!$A:$N,8,FALSE)-VLOOKUP(A107,'Audit Dimensions'!$A:$N,8,FALSE)</f>
        <v>0</v>
      </c>
      <c r="I107" s="138">
        <f>VLOOKUP(A107,'Billing Dimensions'!$A:$N,9,FALSE)-VLOOKUP(A107,'Audit Dimensions'!$A:$N,9,FALSE)</f>
        <v>0</v>
      </c>
      <c r="J107" s="139">
        <f>VLOOKUP(A107,'Billing Dimensions'!$A:$N,10,FALSE)-VLOOKUP(A107,'Audit Dimensions'!$A:$N,10,FALSE)</f>
        <v>0</v>
      </c>
      <c r="K107" s="140">
        <f>VLOOKUP(A107,'Billing Dimensions'!$A:$N,11,FALSE)-VLOOKUP(A107,'Audit Dimensions'!$A:$N,11,FALSE)</f>
        <v>0</v>
      </c>
      <c r="L107" s="140">
        <f>VLOOKUP(A107,'Billing Dimensions'!$A:$N,12,FALSE)-VLOOKUP(A107,'Audit Dimensions'!$A:$N,12,FALSE)</f>
        <v>0</v>
      </c>
      <c r="M107" s="140">
        <f>VLOOKUP(A107,'Billing Dimensions'!$A:$N,13,FALSE)-VLOOKUP(A107,'Audit Dimensions'!$A:$N,13,FALSE)</f>
        <v>0</v>
      </c>
      <c r="N107" s="140">
        <f>VLOOKUP(A107,'Billing Dimensions'!$A:$N,14,FALSE)-VLOOKUP(A107,'Audit Dimensions'!$A:$N,14,FALSE)</f>
        <v>0</v>
      </c>
      <c r="O107" s="147">
        <f>VLOOKUP(A107,'Billing Dimensions'!A:Q,16,FALSE)-VLOOKUP('Audit VAR'!A107,'Audit Dimensions'!A:P,16,FALSE)</f>
        <v>-1215</v>
      </c>
      <c r="P107" s="148">
        <f t="shared" si="3"/>
        <v>-1.2150000000000001</v>
      </c>
      <c r="Q107" s="151">
        <f t="shared" si="4"/>
        <v>0</v>
      </c>
      <c r="R107" s="80" t="e">
        <f t="shared" si="5"/>
        <v>#DIV/0!</v>
      </c>
    </row>
    <row r="108" spans="1:18" hidden="1">
      <c r="A108" s="132" t="s">
        <v>172</v>
      </c>
      <c r="B108" s="52" t="str">
        <f>VLOOKUP(A108,'Billing Dimensions'!A:B,2,FALSE)</f>
        <v>SB</v>
      </c>
      <c r="C108" s="136">
        <f>VLOOKUP(A108,'Billing Dimensions'!$A:$N,3,FALSE)-VLOOKUP(A108,'Audit Dimensions'!$A:$N,3,FALSE)</f>
        <v>0</v>
      </c>
      <c r="D108" s="136">
        <f>VLOOKUP(A108,'Billing Dimensions'!$A:$N,4,FALSE)-VLOOKUP(A108,'Audit Dimensions'!$A:$N,4,FALSE)</f>
        <v>0</v>
      </c>
      <c r="E108" s="136">
        <f>VLOOKUP(A108,'Billing Dimensions'!$A:$N,5,FALSE)-VLOOKUP(A108,'Audit Dimensions'!$A:$N,5,FALSE)</f>
        <v>0</v>
      </c>
      <c r="F108" s="137">
        <f>VLOOKUP(A108,'Billing Dimensions'!$A:$N,6,FALSE)-VLOOKUP(A108,'Audit Dimensions'!$A:$N,6,FALSE)</f>
        <v>-1000</v>
      </c>
      <c r="G108" s="138">
        <f>VLOOKUP(A108,'Billing Dimensions'!$A:$N,7,FALSE)-VLOOKUP(A108,'Audit Dimensions'!$A:$N,7,FALSE)</f>
        <v>0</v>
      </c>
      <c r="H108" s="138">
        <f>VLOOKUP(A108,'Billing Dimensions'!$A:$N,8,FALSE)-VLOOKUP(A108,'Audit Dimensions'!$A:$N,8,FALSE)</f>
        <v>0</v>
      </c>
      <c r="I108" s="138">
        <f>VLOOKUP(A108,'Billing Dimensions'!$A:$N,9,FALSE)-VLOOKUP(A108,'Audit Dimensions'!$A:$N,9,FALSE)</f>
        <v>0</v>
      </c>
      <c r="J108" s="139">
        <f>VLOOKUP(A108,'Billing Dimensions'!$A:$N,10,FALSE)-VLOOKUP(A108,'Audit Dimensions'!$A:$N,10,FALSE)</f>
        <v>0</v>
      </c>
      <c r="K108" s="140">
        <f>VLOOKUP(A108,'Billing Dimensions'!$A:$N,11,FALSE)-VLOOKUP(A108,'Audit Dimensions'!$A:$N,11,FALSE)</f>
        <v>0</v>
      </c>
      <c r="L108" s="140">
        <f>VLOOKUP(A108,'Billing Dimensions'!$A:$N,12,FALSE)-VLOOKUP(A108,'Audit Dimensions'!$A:$N,12,FALSE)</f>
        <v>0</v>
      </c>
      <c r="M108" s="140">
        <f>VLOOKUP(A108,'Billing Dimensions'!$A:$N,13,FALSE)-VLOOKUP(A108,'Audit Dimensions'!$A:$N,13,FALSE)</f>
        <v>0</v>
      </c>
      <c r="N108" s="140">
        <f>VLOOKUP(A108,'Billing Dimensions'!$A:$N,14,FALSE)-VLOOKUP(A108,'Audit Dimensions'!$A:$N,14,FALSE)</f>
        <v>0</v>
      </c>
      <c r="O108" s="147">
        <f>VLOOKUP(A108,'Billing Dimensions'!A:Q,16,FALSE)-VLOOKUP('Audit VAR'!A108,'Audit Dimensions'!A:P,16,FALSE)</f>
        <v>-1000</v>
      </c>
      <c r="P108" s="148">
        <f t="shared" si="3"/>
        <v>-1</v>
      </c>
      <c r="Q108" s="151">
        <f t="shared" si="4"/>
        <v>0</v>
      </c>
      <c r="R108" s="80" t="e">
        <f t="shared" si="5"/>
        <v>#DIV/0!</v>
      </c>
    </row>
    <row r="109" spans="1:18" ht="14.45" hidden="1" customHeight="1">
      <c r="A109" s="132" t="s">
        <v>173</v>
      </c>
      <c r="B109" s="52" t="str">
        <f>VLOOKUP(A109,'Billing Dimensions'!A:B,2,FALSE)</f>
        <v> </v>
      </c>
      <c r="C109" s="136">
        <f>VLOOKUP(A109,'Billing Dimensions'!$A:$N,3,FALSE)-VLOOKUP(A109,'Audit Dimensions'!$A:$N,3,FALSE)</f>
        <v>0</v>
      </c>
      <c r="D109" s="136">
        <f>VLOOKUP(A109,'Billing Dimensions'!$A:$N,4,FALSE)-VLOOKUP(A109,'Audit Dimensions'!$A:$N,4,FALSE)</f>
        <v>0</v>
      </c>
      <c r="E109" s="136">
        <f>VLOOKUP(A109,'Billing Dimensions'!$A:$N,5,FALSE)-VLOOKUP(A109,'Audit Dimensions'!$A:$N,5,FALSE)</f>
        <v>0</v>
      </c>
      <c r="F109" s="137">
        <f>VLOOKUP(A109,'Billing Dimensions'!$A:$N,6,FALSE)-VLOOKUP(A109,'Audit Dimensions'!$A:$N,6,FALSE)</f>
        <v>0</v>
      </c>
      <c r="G109" s="138">
        <f>VLOOKUP(A109,'Billing Dimensions'!$A:$N,7,FALSE)-VLOOKUP(A109,'Audit Dimensions'!$A:$N,7,FALSE)</f>
        <v>0</v>
      </c>
      <c r="H109" s="138">
        <f>VLOOKUP(A109,'Billing Dimensions'!$A:$N,8,FALSE)-VLOOKUP(A109,'Audit Dimensions'!$A:$N,8,FALSE)</f>
        <v>0</v>
      </c>
      <c r="I109" s="138">
        <f>VLOOKUP(A109,'Billing Dimensions'!$A:$N,9,FALSE)-VLOOKUP(A109,'Audit Dimensions'!$A:$N,9,FALSE)</f>
        <v>0</v>
      </c>
      <c r="J109" s="139">
        <f>VLOOKUP(A109,'Billing Dimensions'!$A:$N,10,FALSE)-VLOOKUP(A109,'Audit Dimensions'!$A:$N,10,FALSE)</f>
        <v>0</v>
      </c>
      <c r="K109" s="140">
        <f>VLOOKUP(A109,'Billing Dimensions'!$A:$N,11,FALSE)-VLOOKUP(A109,'Audit Dimensions'!$A:$N,11,FALSE)</f>
        <v>0</v>
      </c>
      <c r="L109" s="140">
        <f>VLOOKUP(A109,'Billing Dimensions'!$A:$N,12,FALSE)-VLOOKUP(A109,'Audit Dimensions'!$A:$N,12,FALSE)</f>
        <v>0</v>
      </c>
      <c r="M109" s="140">
        <f>VLOOKUP(A109,'Billing Dimensions'!$A:$N,13,FALSE)-VLOOKUP(A109,'Audit Dimensions'!$A:$N,13,FALSE)</f>
        <v>0</v>
      </c>
      <c r="N109" s="140">
        <f>VLOOKUP(A109,'Billing Dimensions'!$A:$N,14,FALSE)-VLOOKUP(A109,'Audit Dimensions'!$A:$N,14,FALSE)</f>
        <v>0</v>
      </c>
      <c r="O109" s="147">
        <f>VLOOKUP(A109,'Billing Dimensions'!A:Q,16,FALSE)-VLOOKUP('Audit VAR'!A109,'Audit Dimensions'!A:P,16,FALSE)</f>
        <v>0</v>
      </c>
      <c r="P109" s="148">
        <f t="shared" si="3"/>
        <v>0</v>
      </c>
      <c r="Q109" s="151">
        <f t="shared" si="4"/>
        <v>0</v>
      </c>
      <c r="R109" s="80" t="e">
        <f t="shared" si="5"/>
        <v>#DIV/0!</v>
      </c>
    </row>
    <row r="110" spans="1:18" hidden="1">
      <c r="A110" s="132" t="s">
        <v>357</v>
      </c>
      <c r="B110" s="52" t="e">
        <f>VLOOKUP(A110,'Billing Dimensions'!A:B,2,FALSE)</f>
        <v>#N/A</v>
      </c>
      <c r="C110" s="136" t="e">
        <f>VLOOKUP(A110,'Billing Dimensions'!$A:$N,3,FALSE)-VLOOKUP(A110,'Audit Dimensions'!$A:$N,3,FALSE)</f>
        <v>#N/A</v>
      </c>
      <c r="D110" s="136" t="e">
        <f>VLOOKUP(A110,'Billing Dimensions'!$A:$N,4,FALSE)-VLOOKUP(A110,'Audit Dimensions'!$A:$N,4,FALSE)</f>
        <v>#N/A</v>
      </c>
      <c r="E110" s="136" t="e">
        <f>VLOOKUP(A110,'Billing Dimensions'!$A:$N,5,FALSE)-VLOOKUP(A110,'Audit Dimensions'!$A:$N,5,FALSE)</f>
        <v>#N/A</v>
      </c>
      <c r="F110" s="137" t="e">
        <f>VLOOKUP(A110,'Billing Dimensions'!$A:$N,6,FALSE)-VLOOKUP(A110,'Audit Dimensions'!$A:$N,6,FALSE)</f>
        <v>#N/A</v>
      </c>
      <c r="G110" s="138" t="e">
        <f>VLOOKUP(A110,'Billing Dimensions'!$A:$N,7,FALSE)-VLOOKUP(A110,'Audit Dimensions'!$A:$N,7,FALSE)</f>
        <v>#N/A</v>
      </c>
      <c r="H110" s="138" t="e">
        <f>VLOOKUP(A110,'Billing Dimensions'!$A:$N,8,FALSE)-VLOOKUP(A110,'Audit Dimensions'!$A:$N,8,FALSE)</f>
        <v>#N/A</v>
      </c>
      <c r="I110" s="138" t="e">
        <f>VLOOKUP(A110,'Billing Dimensions'!$A:$N,9,FALSE)-VLOOKUP(A110,'Audit Dimensions'!$A:$N,9,FALSE)</f>
        <v>#N/A</v>
      </c>
      <c r="J110" s="139" t="e">
        <f>VLOOKUP(A110,'Billing Dimensions'!$A:$N,10,FALSE)-VLOOKUP(A110,'Audit Dimensions'!$A:$N,10,FALSE)</f>
        <v>#N/A</v>
      </c>
      <c r="K110" s="140" t="e">
        <f>VLOOKUP(A110,'Billing Dimensions'!$A:$N,11,FALSE)-VLOOKUP(A110,'Audit Dimensions'!$A:$N,11,FALSE)</f>
        <v>#N/A</v>
      </c>
      <c r="L110" s="140" t="e">
        <f>VLOOKUP(A110,'Billing Dimensions'!$A:$N,12,FALSE)-VLOOKUP(A110,'Audit Dimensions'!$A:$N,12,FALSE)</f>
        <v>#N/A</v>
      </c>
      <c r="M110" s="140" t="e">
        <f>VLOOKUP(A110,'Billing Dimensions'!$A:$N,13,FALSE)-VLOOKUP(A110,'Audit Dimensions'!$A:$N,13,FALSE)</f>
        <v>#N/A</v>
      </c>
      <c r="N110" s="140" t="e">
        <f>VLOOKUP(A110,'Billing Dimensions'!$A:$N,14,FALSE)-VLOOKUP(A110,'Audit Dimensions'!$A:$N,14,FALSE)</f>
        <v>#N/A</v>
      </c>
      <c r="O110" s="147" t="e">
        <f>VLOOKUP(A110,'Billing Dimensions'!A:Q,16,FALSE)-VLOOKUP('Audit VAR'!A110,'Audit Dimensions'!A:P,16,FALSE)</f>
        <v>#N/A</v>
      </c>
      <c r="P110" s="148" t="e">
        <f t="shared" si="3"/>
        <v>#N/A</v>
      </c>
      <c r="Q110" s="151" t="e">
        <f t="shared" si="4"/>
        <v>#N/A</v>
      </c>
      <c r="R110" s="80" t="e">
        <f t="shared" si="5"/>
        <v>#N/A</v>
      </c>
    </row>
    <row r="111" spans="1:18" ht="14.45" hidden="1" customHeight="1">
      <c r="A111" s="132" t="s">
        <v>176</v>
      </c>
      <c r="B111" s="52" t="str">
        <f>VLOOKUP(A111,'Billing Dimensions'!A:B,2,FALSE)</f>
        <v>SB</v>
      </c>
      <c r="C111" s="136">
        <f>VLOOKUP(A111,'Billing Dimensions'!$A:$N,3,FALSE)-VLOOKUP(A111,'Audit Dimensions'!$A:$N,3,FALSE)</f>
        <v>3</v>
      </c>
      <c r="D111" s="136">
        <f>VLOOKUP(A111,'Billing Dimensions'!$A:$N,4,FALSE)-VLOOKUP(A111,'Audit Dimensions'!$A:$N,4,FALSE)</f>
        <v>0</v>
      </c>
      <c r="E111" s="136">
        <f>VLOOKUP(A111,'Billing Dimensions'!$A:$N,5,FALSE)-VLOOKUP(A111,'Audit Dimensions'!$A:$N,5,FALSE)</f>
        <v>1</v>
      </c>
      <c r="F111" s="137">
        <f>VLOOKUP(A111,'Billing Dimensions'!$A:$N,6,FALSE)-VLOOKUP(A111,'Audit Dimensions'!$A:$N,6,FALSE)</f>
        <v>-390</v>
      </c>
      <c r="G111" s="138">
        <f>VLOOKUP(A111,'Billing Dimensions'!$A:$N,7,FALSE)-VLOOKUP(A111,'Audit Dimensions'!$A:$N,7,FALSE)</f>
        <v>0</v>
      </c>
      <c r="H111" s="138">
        <f>VLOOKUP(A111,'Billing Dimensions'!$A:$N,8,FALSE)-VLOOKUP(A111,'Audit Dimensions'!$A:$N,8,FALSE)</f>
        <v>0</v>
      </c>
      <c r="I111" s="138">
        <f>VLOOKUP(A111,'Billing Dimensions'!$A:$N,9,FALSE)-VLOOKUP(A111,'Audit Dimensions'!$A:$N,9,FALSE)</f>
        <v>0</v>
      </c>
      <c r="J111" s="139">
        <f>VLOOKUP(A111,'Billing Dimensions'!$A:$N,10,FALSE)-VLOOKUP(A111,'Audit Dimensions'!$A:$N,10,FALSE)</f>
        <v>0</v>
      </c>
      <c r="K111" s="140">
        <f>VLOOKUP(A111,'Billing Dimensions'!$A:$N,11,FALSE)-VLOOKUP(A111,'Audit Dimensions'!$A:$N,11,FALSE)</f>
        <v>0</v>
      </c>
      <c r="L111" s="140">
        <f>VLOOKUP(A111,'Billing Dimensions'!$A:$N,12,FALSE)-VLOOKUP(A111,'Audit Dimensions'!$A:$N,12,FALSE)</f>
        <v>0</v>
      </c>
      <c r="M111" s="140">
        <f>VLOOKUP(A111,'Billing Dimensions'!$A:$N,13,FALSE)-VLOOKUP(A111,'Audit Dimensions'!$A:$N,13,FALSE)</f>
        <v>0</v>
      </c>
      <c r="N111" s="140">
        <f>VLOOKUP(A111,'Billing Dimensions'!$A:$N,14,FALSE)-VLOOKUP(A111,'Audit Dimensions'!$A:$N,14,FALSE)</f>
        <v>0</v>
      </c>
      <c r="O111" s="147">
        <f>VLOOKUP(A111,'Billing Dimensions'!A:Q,16,FALSE)-VLOOKUP('Audit VAR'!A111,'Audit Dimensions'!A:P,16,FALSE)</f>
        <v>-390</v>
      </c>
      <c r="P111" s="148">
        <f t="shared" si="3"/>
        <v>-0.39</v>
      </c>
      <c r="Q111" s="151">
        <f t="shared" si="4"/>
        <v>0</v>
      </c>
      <c r="R111" s="80" t="e">
        <f t="shared" si="5"/>
        <v>#DIV/0!</v>
      </c>
    </row>
    <row r="112" spans="1:18" ht="14.45" hidden="1" customHeight="1">
      <c r="A112" s="132" t="s">
        <v>358</v>
      </c>
      <c r="B112" s="52" t="e">
        <f>VLOOKUP(A112,'Billing Dimensions'!A:B,2,FALSE)</f>
        <v>#N/A</v>
      </c>
      <c r="C112" s="136" t="e">
        <f>VLOOKUP(A112,'Billing Dimensions'!$A:$N,3,FALSE)-VLOOKUP(A112,'Audit Dimensions'!$A:$N,3,FALSE)</f>
        <v>#N/A</v>
      </c>
      <c r="D112" s="136" t="e">
        <f>VLOOKUP(A112,'Billing Dimensions'!$A:$N,4,FALSE)-VLOOKUP(A112,'Audit Dimensions'!$A:$N,4,FALSE)</f>
        <v>#N/A</v>
      </c>
      <c r="E112" s="136" t="e">
        <f>VLOOKUP(A112,'Billing Dimensions'!$A:$N,5,FALSE)-VLOOKUP(A112,'Audit Dimensions'!$A:$N,5,FALSE)</f>
        <v>#N/A</v>
      </c>
      <c r="F112" s="137" t="e">
        <f>VLOOKUP(A112,'Billing Dimensions'!$A:$N,6,FALSE)-VLOOKUP(A112,'Audit Dimensions'!$A:$N,6,FALSE)</f>
        <v>#N/A</v>
      </c>
      <c r="G112" s="138" t="e">
        <f>VLOOKUP(A112,'Billing Dimensions'!$A:$N,7,FALSE)-VLOOKUP(A112,'Audit Dimensions'!$A:$N,7,FALSE)</f>
        <v>#N/A</v>
      </c>
      <c r="H112" s="138" t="e">
        <f>VLOOKUP(A112,'Billing Dimensions'!$A:$N,8,FALSE)-VLOOKUP(A112,'Audit Dimensions'!$A:$N,8,FALSE)</f>
        <v>#N/A</v>
      </c>
      <c r="I112" s="138" t="e">
        <f>VLOOKUP(A112,'Billing Dimensions'!$A:$N,9,FALSE)-VLOOKUP(A112,'Audit Dimensions'!$A:$N,9,FALSE)</f>
        <v>#N/A</v>
      </c>
      <c r="J112" s="139" t="e">
        <f>VLOOKUP(A112,'Billing Dimensions'!$A:$N,10,FALSE)-VLOOKUP(A112,'Audit Dimensions'!$A:$N,10,FALSE)</f>
        <v>#N/A</v>
      </c>
      <c r="K112" s="140" t="e">
        <f>VLOOKUP(A112,'Billing Dimensions'!$A:$N,11,FALSE)-VLOOKUP(A112,'Audit Dimensions'!$A:$N,11,FALSE)</f>
        <v>#N/A</v>
      </c>
      <c r="L112" s="140" t="e">
        <f>VLOOKUP(A112,'Billing Dimensions'!$A:$N,12,FALSE)-VLOOKUP(A112,'Audit Dimensions'!$A:$N,12,FALSE)</f>
        <v>#N/A</v>
      </c>
      <c r="M112" s="140" t="e">
        <f>VLOOKUP(A112,'Billing Dimensions'!$A:$N,13,FALSE)-VLOOKUP(A112,'Audit Dimensions'!$A:$N,13,FALSE)</f>
        <v>#N/A</v>
      </c>
      <c r="N112" s="140" t="e">
        <f>VLOOKUP(A112,'Billing Dimensions'!$A:$N,14,FALSE)-VLOOKUP(A112,'Audit Dimensions'!$A:$N,14,FALSE)</f>
        <v>#N/A</v>
      </c>
      <c r="O112" s="147" t="e">
        <f>VLOOKUP(A112,'Billing Dimensions'!A:Q,16,FALSE)-VLOOKUP('Audit VAR'!A112,'Audit Dimensions'!A:P,16,FALSE)</f>
        <v>#N/A</v>
      </c>
      <c r="P112" s="148" t="e">
        <f t="shared" si="3"/>
        <v>#N/A</v>
      </c>
      <c r="Q112" s="151" t="e">
        <f t="shared" si="4"/>
        <v>#N/A</v>
      </c>
      <c r="R112" s="80" t="e">
        <f t="shared" si="5"/>
        <v>#N/A</v>
      </c>
    </row>
    <row r="113" spans="1:18" ht="14.45" hidden="1" customHeight="1">
      <c r="A113" s="132" t="s">
        <v>178</v>
      </c>
      <c r="B113" s="52" t="str">
        <f>VLOOKUP(A113,'Billing Dimensions'!A:B,2,FALSE)</f>
        <v>SB</v>
      </c>
      <c r="C113" s="136">
        <f>VLOOKUP(A113,'Billing Dimensions'!$A:$N,3,FALSE)-VLOOKUP(A113,'Audit Dimensions'!$A:$N,3,FALSE)</f>
        <v>1</v>
      </c>
      <c r="D113" s="136">
        <f>VLOOKUP(A113,'Billing Dimensions'!$A:$N,4,FALSE)-VLOOKUP(A113,'Audit Dimensions'!$A:$N,4,FALSE)</f>
        <v>-2</v>
      </c>
      <c r="E113" s="136">
        <f>VLOOKUP(A113,'Billing Dimensions'!$A:$N,5,FALSE)-VLOOKUP(A113,'Audit Dimensions'!$A:$N,5,FALSE)</f>
        <v>1</v>
      </c>
      <c r="F113" s="137">
        <f>VLOOKUP(A113,'Billing Dimensions'!$A:$N,6,FALSE)-VLOOKUP(A113,'Audit Dimensions'!$A:$N,6,FALSE)</f>
        <v>-960</v>
      </c>
      <c r="G113" s="138">
        <f>VLOOKUP(A113,'Billing Dimensions'!$A:$N,7,FALSE)-VLOOKUP(A113,'Audit Dimensions'!$A:$N,7,FALSE)</f>
        <v>0</v>
      </c>
      <c r="H113" s="138">
        <f>VLOOKUP(A113,'Billing Dimensions'!$A:$N,8,FALSE)-VLOOKUP(A113,'Audit Dimensions'!$A:$N,8,FALSE)</f>
        <v>0</v>
      </c>
      <c r="I113" s="138">
        <f>VLOOKUP(A113,'Billing Dimensions'!$A:$N,9,FALSE)-VLOOKUP(A113,'Audit Dimensions'!$A:$N,9,FALSE)</f>
        <v>0</v>
      </c>
      <c r="J113" s="139">
        <f>VLOOKUP(A113,'Billing Dimensions'!$A:$N,10,FALSE)-VLOOKUP(A113,'Audit Dimensions'!$A:$N,10,FALSE)</f>
        <v>0</v>
      </c>
      <c r="K113" s="140">
        <f>VLOOKUP(A113,'Billing Dimensions'!$A:$N,11,FALSE)-VLOOKUP(A113,'Audit Dimensions'!$A:$N,11,FALSE)</f>
        <v>0</v>
      </c>
      <c r="L113" s="140">
        <f>VLOOKUP(A113,'Billing Dimensions'!$A:$N,12,FALSE)-VLOOKUP(A113,'Audit Dimensions'!$A:$N,12,FALSE)</f>
        <v>0</v>
      </c>
      <c r="M113" s="140">
        <f>VLOOKUP(A113,'Billing Dimensions'!$A:$N,13,FALSE)-VLOOKUP(A113,'Audit Dimensions'!$A:$N,13,FALSE)</f>
        <v>0</v>
      </c>
      <c r="N113" s="140">
        <f>VLOOKUP(A113,'Billing Dimensions'!$A:$N,14,FALSE)-VLOOKUP(A113,'Audit Dimensions'!$A:$N,14,FALSE)</f>
        <v>0</v>
      </c>
      <c r="O113" s="147">
        <f>VLOOKUP(A113,'Billing Dimensions'!A:Q,16,FALSE)-VLOOKUP('Audit VAR'!A113,'Audit Dimensions'!A:P,16,FALSE)</f>
        <v>-960</v>
      </c>
      <c r="P113" s="148">
        <f t="shared" si="3"/>
        <v>-0.96</v>
      </c>
      <c r="Q113" s="151">
        <f t="shared" si="4"/>
        <v>-7.0640000000000001E-5</v>
      </c>
      <c r="R113" s="80">
        <f t="shared" si="5"/>
        <v>13590.033975084936</v>
      </c>
    </row>
    <row r="114" spans="1:18" ht="14.45" hidden="1" customHeight="1">
      <c r="A114" s="132" t="s">
        <v>180</v>
      </c>
      <c r="B114" s="52" t="str">
        <f>VLOOKUP(A114,'Billing Dimensions'!A:B,2,FALSE)</f>
        <v>SB</v>
      </c>
      <c r="C114" s="136">
        <f>VLOOKUP(A114,'Billing Dimensions'!$A:$N,3,FALSE)-VLOOKUP(A114,'Audit Dimensions'!$A:$N,3,FALSE)</f>
        <v>0</v>
      </c>
      <c r="D114" s="136">
        <f>VLOOKUP(A114,'Billing Dimensions'!$A:$N,4,FALSE)-VLOOKUP(A114,'Audit Dimensions'!$A:$N,4,FALSE)</f>
        <v>0</v>
      </c>
      <c r="E114" s="136">
        <f>VLOOKUP(A114,'Billing Dimensions'!$A:$N,5,FALSE)-VLOOKUP(A114,'Audit Dimensions'!$A:$N,5,FALSE)</f>
        <v>-1</v>
      </c>
      <c r="F114" s="137">
        <f>VLOOKUP(A114,'Billing Dimensions'!$A:$N,6,FALSE)-VLOOKUP(A114,'Audit Dimensions'!$A:$N,6,FALSE)</f>
        <v>-550</v>
      </c>
      <c r="G114" s="138">
        <f>VLOOKUP(A114,'Billing Dimensions'!$A:$N,7,FALSE)-VLOOKUP(A114,'Audit Dimensions'!$A:$N,7,FALSE)</f>
        <v>0</v>
      </c>
      <c r="H114" s="138">
        <f>VLOOKUP(A114,'Billing Dimensions'!$A:$N,8,FALSE)-VLOOKUP(A114,'Audit Dimensions'!$A:$N,8,FALSE)</f>
        <v>0</v>
      </c>
      <c r="I114" s="138">
        <f>VLOOKUP(A114,'Billing Dimensions'!$A:$N,9,FALSE)-VLOOKUP(A114,'Audit Dimensions'!$A:$N,9,FALSE)</f>
        <v>0</v>
      </c>
      <c r="J114" s="139">
        <f>VLOOKUP(A114,'Billing Dimensions'!$A:$N,10,FALSE)-VLOOKUP(A114,'Audit Dimensions'!$A:$N,10,FALSE)</f>
        <v>0</v>
      </c>
      <c r="K114" s="140">
        <f>VLOOKUP(A114,'Billing Dimensions'!$A:$N,11,FALSE)-VLOOKUP(A114,'Audit Dimensions'!$A:$N,11,FALSE)</f>
        <v>0</v>
      </c>
      <c r="L114" s="140">
        <f>VLOOKUP(A114,'Billing Dimensions'!$A:$N,12,FALSE)-VLOOKUP(A114,'Audit Dimensions'!$A:$N,12,FALSE)</f>
        <v>0</v>
      </c>
      <c r="M114" s="140">
        <f>VLOOKUP(A114,'Billing Dimensions'!$A:$N,13,FALSE)-VLOOKUP(A114,'Audit Dimensions'!$A:$N,13,FALSE)</f>
        <v>0</v>
      </c>
      <c r="N114" s="140">
        <f>VLOOKUP(A114,'Billing Dimensions'!$A:$N,14,FALSE)-VLOOKUP(A114,'Audit Dimensions'!$A:$N,14,FALSE)</f>
        <v>0</v>
      </c>
      <c r="O114" s="147">
        <f>VLOOKUP(A114,'Billing Dimensions'!A:Q,16,FALSE)-VLOOKUP('Audit VAR'!A114,'Audit Dimensions'!A:P,16,FALSE)</f>
        <v>-550</v>
      </c>
      <c r="P114" s="148">
        <f t="shared" si="3"/>
        <v>-0.55000000000000004</v>
      </c>
      <c r="Q114" s="151">
        <f t="shared" si="4"/>
        <v>0</v>
      </c>
      <c r="R114" s="80" t="e">
        <f t="shared" si="5"/>
        <v>#DIV/0!</v>
      </c>
    </row>
    <row r="115" spans="1:18" ht="14.45" hidden="1" customHeight="1">
      <c r="A115" s="132" t="s">
        <v>181</v>
      </c>
      <c r="B115" s="52" t="str">
        <f>VLOOKUP(A115,'Billing Dimensions'!A:B,2,FALSE)</f>
        <v>SB</v>
      </c>
      <c r="C115" s="136" t="e">
        <f>VLOOKUP(A115,'Billing Dimensions'!$A:$N,3,FALSE)-VLOOKUP(A115,'Audit Dimensions'!$A:$N,3,FALSE)</f>
        <v>#N/A</v>
      </c>
      <c r="D115" s="136" t="e">
        <f>VLOOKUP(A115,'Billing Dimensions'!$A:$N,4,FALSE)-VLOOKUP(A115,'Audit Dimensions'!$A:$N,4,FALSE)</f>
        <v>#N/A</v>
      </c>
      <c r="E115" s="136" t="e">
        <f>VLOOKUP(A115,'Billing Dimensions'!$A:$N,5,FALSE)-VLOOKUP(A115,'Audit Dimensions'!$A:$N,5,FALSE)</f>
        <v>#N/A</v>
      </c>
      <c r="F115" s="137" t="e">
        <f>VLOOKUP(A115,'Billing Dimensions'!$A:$N,6,FALSE)-VLOOKUP(A115,'Audit Dimensions'!$A:$N,6,FALSE)</f>
        <v>#N/A</v>
      </c>
      <c r="G115" s="138" t="e">
        <f>VLOOKUP(A115,'Billing Dimensions'!$A:$N,7,FALSE)-VLOOKUP(A115,'Audit Dimensions'!$A:$N,7,FALSE)</f>
        <v>#N/A</v>
      </c>
      <c r="H115" s="138" t="e">
        <f>VLOOKUP(A115,'Billing Dimensions'!$A:$N,8,FALSE)-VLOOKUP(A115,'Audit Dimensions'!$A:$N,8,FALSE)</f>
        <v>#N/A</v>
      </c>
      <c r="I115" s="138" t="e">
        <f>VLOOKUP(A115,'Billing Dimensions'!$A:$N,9,FALSE)-VLOOKUP(A115,'Audit Dimensions'!$A:$N,9,FALSE)</f>
        <v>#N/A</v>
      </c>
      <c r="J115" s="139" t="e">
        <f>VLOOKUP(A115,'Billing Dimensions'!$A:$N,10,FALSE)-VLOOKUP(A115,'Audit Dimensions'!$A:$N,10,FALSE)</f>
        <v>#N/A</v>
      </c>
      <c r="K115" s="140" t="e">
        <f>VLOOKUP(A115,'Billing Dimensions'!$A:$N,11,FALSE)-VLOOKUP(A115,'Audit Dimensions'!$A:$N,11,FALSE)</f>
        <v>#N/A</v>
      </c>
      <c r="L115" s="140" t="e">
        <f>VLOOKUP(A115,'Billing Dimensions'!$A:$N,12,FALSE)-VLOOKUP(A115,'Audit Dimensions'!$A:$N,12,FALSE)</f>
        <v>#N/A</v>
      </c>
      <c r="M115" s="140" t="e">
        <f>VLOOKUP(A115,'Billing Dimensions'!$A:$N,13,FALSE)-VLOOKUP(A115,'Audit Dimensions'!$A:$N,13,FALSE)</f>
        <v>#N/A</v>
      </c>
      <c r="N115" s="140" t="e">
        <f>VLOOKUP(A115,'Billing Dimensions'!$A:$N,14,FALSE)-VLOOKUP(A115,'Audit Dimensions'!$A:$N,14,FALSE)</f>
        <v>#N/A</v>
      </c>
      <c r="O115" s="147" t="e">
        <f>VLOOKUP(A115,'Billing Dimensions'!A:Q,16,FALSE)-VLOOKUP('Audit VAR'!A115,'Audit Dimensions'!A:P,16,FALSE)</f>
        <v>#N/A</v>
      </c>
      <c r="P115" s="148" t="e">
        <f t="shared" si="3"/>
        <v>#N/A</v>
      </c>
      <c r="Q115" s="151" t="e">
        <f t="shared" si="4"/>
        <v>#N/A</v>
      </c>
      <c r="R115" s="80" t="e">
        <f t="shared" si="5"/>
        <v>#N/A</v>
      </c>
    </row>
    <row r="116" spans="1:18" ht="14.45" hidden="1" customHeight="1">
      <c r="A116" s="132" t="s">
        <v>182</v>
      </c>
      <c r="B116" s="52" t="str">
        <f>VLOOKUP(A116,'Billing Dimensions'!A:B,2,FALSE)</f>
        <v>SB</v>
      </c>
      <c r="C116" s="136">
        <f>VLOOKUP(A116,'Billing Dimensions'!$A:$N,3,FALSE)-VLOOKUP(A116,'Audit Dimensions'!$A:$N,3,FALSE)</f>
        <v>3</v>
      </c>
      <c r="D116" s="136">
        <f>VLOOKUP(A116,'Billing Dimensions'!$A:$N,4,FALSE)-VLOOKUP(A116,'Audit Dimensions'!$A:$N,4,FALSE)</f>
        <v>-3</v>
      </c>
      <c r="E116" s="136">
        <f>VLOOKUP(A116,'Billing Dimensions'!$A:$N,5,FALSE)-VLOOKUP(A116,'Audit Dimensions'!$A:$N,5,FALSE)</f>
        <v>0</v>
      </c>
      <c r="F116" s="137">
        <f>VLOOKUP(A116,'Billing Dimensions'!$A:$N,6,FALSE)-VLOOKUP(A116,'Audit Dimensions'!$A:$N,6,FALSE)</f>
        <v>-860</v>
      </c>
      <c r="G116" s="138">
        <f>VLOOKUP(A116,'Billing Dimensions'!$A:$N,7,FALSE)-VLOOKUP(A116,'Audit Dimensions'!$A:$N,7,FALSE)</f>
        <v>0</v>
      </c>
      <c r="H116" s="138">
        <f>VLOOKUP(A116,'Billing Dimensions'!$A:$N,8,FALSE)-VLOOKUP(A116,'Audit Dimensions'!$A:$N,8,FALSE)</f>
        <v>0</v>
      </c>
      <c r="I116" s="138">
        <f>VLOOKUP(A116,'Billing Dimensions'!$A:$N,9,FALSE)-VLOOKUP(A116,'Audit Dimensions'!$A:$N,9,FALSE)</f>
        <v>0</v>
      </c>
      <c r="J116" s="139">
        <f>VLOOKUP(A116,'Billing Dimensions'!$A:$N,10,FALSE)-VLOOKUP(A116,'Audit Dimensions'!$A:$N,10,FALSE)</f>
        <v>0</v>
      </c>
      <c r="K116" s="140">
        <f>VLOOKUP(A116,'Billing Dimensions'!$A:$N,11,FALSE)-VLOOKUP(A116,'Audit Dimensions'!$A:$N,11,FALSE)</f>
        <v>0</v>
      </c>
      <c r="L116" s="140">
        <f>VLOOKUP(A116,'Billing Dimensions'!$A:$N,12,FALSE)-VLOOKUP(A116,'Audit Dimensions'!$A:$N,12,FALSE)</f>
        <v>0</v>
      </c>
      <c r="M116" s="140">
        <f>VLOOKUP(A116,'Billing Dimensions'!$A:$N,13,FALSE)-VLOOKUP(A116,'Audit Dimensions'!$A:$N,13,FALSE)</f>
        <v>0</v>
      </c>
      <c r="N116" s="140">
        <f>VLOOKUP(A116,'Billing Dimensions'!$A:$N,14,FALSE)-VLOOKUP(A116,'Audit Dimensions'!$A:$N,14,FALSE)</f>
        <v>0</v>
      </c>
      <c r="O116" s="147">
        <f>VLOOKUP(A116,'Billing Dimensions'!A:Q,16,FALSE)-VLOOKUP('Audit VAR'!A116,'Audit Dimensions'!A:P,16,FALSE)</f>
        <v>-860</v>
      </c>
      <c r="P116" s="148">
        <f t="shared" si="3"/>
        <v>-0.86</v>
      </c>
      <c r="Q116" s="151">
        <f t="shared" si="4"/>
        <v>0</v>
      </c>
      <c r="R116" s="80" t="e">
        <f t="shared" si="5"/>
        <v>#DIV/0!</v>
      </c>
    </row>
    <row r="117" spans="1:18" ht="14.45" hidden="1" customHeight="1">
      <c r="A117" s="132" t="s">
        <v>183</v>
      </c>
      <c r="B117" s="52" t="str">
        <f>VLOOKUP(A117,'Billing Dimensions'!A:B,2,FALSE)</f>
        <v> </v>
      </c>
      <c r="C117" s="136" t="e">
        <f>VLOOKUP(A117,'Billing Dimensions'!$A:$N,3,FALSE)-VLOOKUP(A117,'Audit Dimensions'!$A:$N,3,FALSE)</f>
        <v>#N/A</v>
      </c>
      <c r="D117" s="136" t="e">
        <f>VLOOKUP(A117,'Billing Dimensions'!$A:$N,4,FALSE)-VLOOKUP(A117,'Audit Dimensions'!$A:$N,4,FALSE)</f>
        <v>#N/A</v>
      </c>
      <c r="E117" s="136" t="e">
        <f>VLOOKUP(A117,'Billing Dimensions'!$A:$N,5,FALSE)-VLOOKUP(A117,'Audit Dimensions'!$A:$N,5,FALSE)</f>
        <v>#N/A</v>
      </c>
      <c r="F117" s="137" t="e">
        <f>VLOOKUP(A117,'Billing Dimensions'!$A:$N,6,FALSE)-VLOOKUP(A117,'Audit Dimensions'!$A:$N,6,FALSE)</f>
        <v>#N/A</v>
      </c>
      <c r="G117" s="138" t="e">
        <f>VLOOKUP(A117,'Billing Dimensions'!$A:$N,7,FALSE)-VLOOKUP(A117,'Audit Dimensions'!$A:$N,7,FALSE)</f>
        <v>#N/A</v>
      </c>
      <c r="H117" s="138" t="e">
        <f>VLOOKUP(A117,'Billing Dimensions'!$A:$N,8,FALSE)-VLOOKUP(A117,'Audit Dimensions'!$A:$N,8,FALSE)</f>
        <v>#N/A</v>
      </c>
      <c r="I117" s="138" t="e">
        <f>VLOOKUP(A117,'Billing Dimensions'!$A:$N,9,FALSE)-VLOOKUP(A117,'Audit Dimensions'!$A:$N,9,FALSE)</f>
        <v>#N/A</v>
      </c>
      <c r="J117" s="139" t="e">
        <f>VLOOKUP(A117,'Billing Dimensions'!$A:$N,10,FALSE)-VLOOKUP(A117,'Audit Dimensions'!$A:$N,10,FALSE)</f>
        <v>#N/A</v>
      </c>
      <c r="K117" s="140" t="e">
        <f>VLOOKUP(A117,'Billing Dimensions'!$A:$N,11,FALSE)-VLOOKUP(A117,'Audit Dimensions'!$A:$N,11,FALSE)</f>
        <v>#N/A</v>
      </c>
      <c r="L117" s="140" t="e">
        <f>VLOOKUP(A117,'Billing Dimensions'!$A:$N,12,FALSE)-VLOOKUP(A117,'Audit Dimensions'!$A:$N,12,FALSE)</f>
        <v>#N/A</v>
      </c>
      <c r="M117" s="140" t="e">
        <f>VLOOKUP(A117,'Billing Dimensions'!$A:$N,13,FALSE)-VLOOKUP(A117,'Audit Dimensions'!$A:$N,13,FALSE)</f>
        <v>#N/A</v>
      </c>
      <c r="N117" s="140" t="e">
        <f>VLOOKUP(A117,'Billing Dimensions'!$A:$N,14,FALSE)-VLOOKUP(A117,'Audit Dimensions'!$A:$N,14,FALSE)</f>
        <v>#N/A</v>
      </c>
      <c r="O117" s="147" t="e">
        <f>VLOOKUP(A117,'Billing Dimensions'!A:Q,16,FALSE)-VLOOKUP('Audit VAR'!A117,'Audit Dimensions'!A:P,16,FALSE)</f>
        <v>#N/A</v>
      </c>
      <c r="P117" s="148" t="e">
        <f t="shared" si="3"/>
        <v>#N/A</v>
      </c>
      <c r="Q117" s="151" t="e">
        <f t="shared" si="4"/>
        <v>#N/A</v>
      </c>
      <c r="R117" s="80" t="e">
        <f t="shared" si="5"/>
        <v>#N/A</v>
      </c>
    </row>
    <row r="118" spans="1:18" hidden="1">
      <c r="A118" s="132" t="s">
        <v>184</v>
      </c>
      <c r="B118" s="52" t="str">
        <f>VLOOKUP(A118,'Billing Dimensions'!A:B,2,FALSE)</f>
        <v>SB</v>
      </c>
      <c r="C118" s="136" t="e">
        <f>VLOOKUP(A118,'Billing Dimensions'!$A:$N,3,FALSE)-VLOOKUP(A118,'Audit Dimensions'!$A:$N,3,FALSE)</f>
        <v>#N/A</v>
      </c>
      <c r="D118" s="136" t="e">
        <f>VLOOKUP(A118,'Billing Dimensions'!$A:$N,4,FALSE)-VLOOKUP(A118,'Audit Dimensions'!$A:$N,4,FALSE)</f>
        <v>#N/A</v>
      </c>
      <c r="E118" s="136" t="e">
        <f>VLOOKUP(A118,'Billing Dimensions'!$A:$N,5,FALSE)-VLOOKUP(A118,'Audit Dimensions'!$A:$N,5,FALSE)</f>
        <v>#N/A</v>
      </c>
      <c r="F118" s="137" t="e">
        <f>VLOOKUP(A118,'Billing Dimensions'!$A:$N,6,FALSE)-VLOOKUP(A118,'Audit Dimensions'!$A:$N,6,FALSE)</f>
        <v>#N/A</v>
      </c>
      <c r="G118" s="138" t="e">
        <f>VLOOKUP(A118,'Billing Dimensions'!$A:$N,7,FALSE)-VLOOKUP(A118,'Audit Dimensions'!$A:$N,7,FALSE)</f>
        <v>#N/A</v>
      </c>
      <c r="H118" s="138" t="e">
        <f>VLOOKUP(A118,'Billing Dimensions'!$A:$N,8,FALSE)-VLOOKUP(A118,'Audit Dimensions'!$A:$N,8,FALSE)</f>
        <v>#N/A</v>
      </c>
      <c r="I118" s="138" t="e">
        <f>VLOOKUP(A118,'Billing Dimensions'!$A:$N,9,FALSE)-VLOOKUP(A118,'Audit Dimensions'!$A:$N,9,FALSE)</f>
        <v>#N/A</v>
      </c>
      <c r="J118" s="139" t="e">
        <f>VLOOKUP(A118,'Billing Dimensions'!$A:$N,10,FALSE)-VLOOKUP(A118,'Audit Dimensions'!$A:$N,10,FALSE)</f>
        <v>#N/A</v>
      </c>
      <c r="K118" s="140" t="e">
        <f>VLOOKUP(A118,'Billing Dimensions'!$A:$N,11,FALSE)-VLOOKUP(A118,'Audit Dimensions'!$A:$N,11,FALSE)</f>
        <v>#N/A</v>
      </c>
      <c r="L118" s="140" t="e">
        <f>VLOOKUP(A118,'Billing Dimensions'!$A:$N,12,FALSE)-VLOOKUP(A118,'Audit Dimensions'!$A:$N,12,FALSE)</f>
        <v>#N/A</v>
      </c>
      <c r="M118" s="140" t="e">
        <f>VLOOKUP(A118,'Billing Dimensions'!$A:$N,13,FALSE)-VLOOKUP(A118,'Audit Dimensions'!$A:$N,13,FALSE)</f>
        <v>#N/A</v>
      </c>
      <c r="N118" s="140" t="e">
        <f>VLOOKUP(A118,'Billing Dimensions'!$A:$N,14,FALSE)-VLOOKUP(A118,'Audit Dimensions'!$A:$N,14,FALSE)</f>
        <v>#N/A</v>
      </c>
      <c r="O118" s="147" t="e">
        <f>VLOOKUP(A118,'Billing Dimensions'!A:Q,16,FALSE)-VLOOKUP('Audit VAR'!A118,'Audit Dimensions'!A:P,16,FALSE)</f>
        <v>#N/A</v>
      </c>
      <c r="P118" s="148" t="e">
        <f t="shared" si="3"/>
        <v>#N/A</v>
      </c>
      <c r="Q118" s="151" t="e">
        <f t="shared" si="4"/>
        <v>#N/A</v>
      </c>
      <c r="R118" s="80" t="e">
        <f t="shared" si="5"/>
        <v>#N/A</v>
      </c>
    </row>
    <row r="119" spans="1:18" ht="14.45" hidden="1" customHeight="1">
      <c r="A119" s="132" t="s">
        <v>185</v>
      </c>
      <c r="B119" s="52" t="str">
        <f>VLOOKUP(A119,'Billing Dimensions'!A:B,2,FALSE)</f>
        <v>SB</v>
      </c>
      <c r="C119" s="136">
        <f>VLOOKUP(A119,'Billing Dimensions'!$A:$N,3,FALSE)-VLOOKUP(A119,'Audit Dimensions'!$A:$N,3,FALSE)</f>
        <v>0</v>
      </c>
      <c r="D119" s="136">
        <f>VLOOKUP(A119,'Billing Dimensions'!$A:$N,4,FALSE)-VLOOKUP(A119,'Audit Dimensions'!$A:$N,4,FALSE)</f>
        <v>0</v>
      </c>
      <c r="E119" s="136">
        <f>VLOOKUP(A119,'Billing Dimensions'!$A:$N,5,FALSE)-VLOOKUP(A119,'Audit Dimensions'!$A:$N,5,FALSE)</f>
        <v>0</v>
      </c>
      <c r="F119" s="137">
        <f>VLOOKUP(A119,'Billing Dimensions'!$A:$N,6,FALSE)-VLOOKUP(A119,'Audit Dimensions'!$A:$N,6,FALSE)</f>
        <v>-110</v>
      </c>
      <c r="G119" s="138">
        <f>VLOOKUP(A119,'Billing Dimensions'!$A:$N,7,FALSE)-VLOOKUP(A119,'Audit Dimensions'!$A:$N,7,FALSE)</f>
        <v>0</v>
      </c>
      <c r="H119" s="138">
        <f>VLOOKUP(A119,'Billing Dimensions'!$A:$N,8,FALSE)-VLOOKUP(A119,'Audit Dimensions'!$A:$N,8,FALSE)</f>
        <v>0</v>
      </c>
      <c r="I119" s="138">
        <f>VLOOKUP(A119,'Billing Dimensions'!$A:$N,9,FALSE)-VLOOKUP(A119,'Audit Dimensions'!$A:$N,9,FALSE)</f>
        <v>0</v>
      </c>
      <c r="J119" s="139">
        <f>VLOOKUP(A119,'Billing Dimensions'!$A:$N,10,FALSE)-VLOOKUP(A119,'Audit Dimensions'!$A:$N,10,FALSE)</f>
        <v>0</v>
      </c>
      <c r="K119" s="140">
        <f>VLOOKUP(A119,'Billing Dimensions'!$A:$N,11,FALSE)-VLOOKUP(A119,'Audit Dimensions'!$A:$N,11,FALSE)</f>
        <v>0</v>
      </c>
      <c r="L119" s="140">
        <f>VLOOKUP(A119,'Billing Dimensions'!$A:$N,12,FALSE)-VLOOKUP(A119,'Audit Dimensions'!$A:$N,12,FALSE)</f>
        <v>0</v>
      </c>
      <c r="M119" s="140">
        <f>VLOOKUP(A119,'Billing Dimensions'!$A:$N,13,FALSE)-VLOOKUP(A119,'Audit Dimensions'!$A:$N,13,FALSE)</f>
        <v>0</v>
      </c>
      <c r="N119" s="140">
        <f>VLOOKUP(A119,'Billing Dimensions'!$A:$N,14,FALSE)-VLOOKUP(A119,'Audit Dimensions'!$A:$N,14,FALSE)</f>
        <v>0</v>
      </c>
      <c r="O119" s="147">
        <f>VLOOKUP(A119,'Billing Dimensions'!A:Q,16,FALSE)-VLOOKUP('Audit VAR'!A119,'Audit Dimensions'!A:P,16,FALSE)</f>
        <v>-110</v>
      </c>
      <c r="P119" s="148">
        <f t="shared" si="3"/>
        <v>-0.11</v>
      </c>
      <c r="Q119" s="151">
        <f t="shared" si="4"/>
        <v>0</v>
      </c>
      <c r="R119" s="80" t="e">
        <f t="shared" si="5"/>
        <v>#DIV/0!</v>
      </c>
    </row>
    <row r="120" spans="1:18" hidden="1">
      <c r="A120" s="132" t="s">
        <v>186</v>
      </c>
      <c r="B120" s="52" t="str">
        <f>VLOOKUP(A120,'Billing Dimensions'!A:B,2,FALSE)</f>
        <v>SB</v>
      </c>
      <c r="C120" s="136">
        <f>VLOOKUP(A120,'Billing Dimensions'!$A:$N,3,FALSE)-VLOOKUP(A120,'Audit Dimensions'!$A:$N,3,FALSE)</f>
        <v>1</v>
      </c>
      <c r="D120" s="136">
        <f>VLOOKUP(A120,'Billing Dimensions'!$A:$N,4,FALSE)-VLOOKUP(A120,'Audit Dimensions'!$A:$N,4,FALSE)</f>
        <v>0</v>
      </c>
      <c r="E120" s="136">
        <f>VLOOKUP(A120,'Billing Dimensions'!$A:$N,5,FALSE)-VLOOKUP(A120,'Audit Dimensions'!$A:$N,5,FALSE)</f>
        <v>7</v>
      </c>
      <c r="F120" s="137">
        <f>VLOOKUP(A120,'Billing Dimensions'!$A:$N,6,FALSE)-VLOOKUP(A120,'Audit Dimensions'!$A:$N,6,FALSE)</f>
        <v>500</v>
      </c>
      <c r="G120" s="138">
        <f>VLOOKUP(A120,'Billing Dimensions'!$A:$N,7,FALSE)-VLOOKUP(A120,'Audit Dimensions'!$A:$N,7,FALSE)</f>
        <v>0</v>
      </c>
      <c r="H120" s="138">
        <f>VLOOKUP(A120,'Billing Dimensions'!$A:$N,8,FALSE)-VLOOKUP(A120,'Audit Dimensions'!$A:$N,8,FALSE)</f>
        <v>0</v>
      </c>
      <c r="I120" s="138">
        <f>VLOOKUP(A120,'Billing Dimensions'!$A:$N,9,FALSE)-VLOOKUP(A120,'Audit Dimensions'!$A:$N,9,FALSE)</f>
        <v>0</v>
      </c>
      <c r="J120" s="139">
        <f>VLOOKUP(A120,'Billing Dimensions'!$A:$N,10,FALSE)-VLOOKUP(A120,'Audit Dimensions'!$A:$N,10,FALSE)</f>
        <v>0</v>
      </c>
      <c r="K120" s="140">
        <f>VLOOKUP(A120,'Billing Dimensions'!$A:$N,11,FALSE)-VLOOKUP(A120,'Audit Dimensions'!$A:$N,11,FALSE)</f>
        <v>0</v>
      </c>
      <c r="L120" s="140">
        <f>VLOOKUP(A120,'Billing Dimensions'!$A:$N,12,FALSE)-VLOOKUP(A120,'Audit Dimensions'!$A:$N,12,FALSE)</f>
        <v>0</v>
      </c>
      <c r="M120" s="140">
        <f>VLOOKUP(A120,'Billing Dimensions'!$A:$N,13,FALSE)-VLOOKUP(A120,'Audit Dimensions'!$A:$N,13,FALSE)</f>
        <v>0</v>
      </c>
      <c r="N120" s="140">
        <f>VLOOKUP(A120,'Billing Dimensions'!$A:$N,14,FALSE)-VLOOKUP(A120,'Audit Dimensions'!$A:$N,14,FALSE)</f>
        <v>0</v>
      </c>
      <c r="O120" s="147">
        <f>VLOOKUP(A120,'Billing Dimensions'!A:Q,16,FALSE)-VLOOKUP('Audit VAR'!A120,'Audit Dimensions'!A:P,16,FALSE)</f>
        <v>500</v>
      </c>
      <c r="P120" s="148">
        <f t="shared" si="3"/>
        <v>0.5</v>
      </c>
      <c r="Q120" s="151">
        <f t="shared" si="4"/>
        <v>0</v>
      </c>
      <c r="R120" s="80" t="e">
        <f t="shared" si="5"/>
        <v>#DIV/0!</v>
      </c>
    </row>
    <row r="121" spans="1:18" hidden="1">
      <c r="A121" s="132" t="s">
        <v>187</v>
      </c>
      <c r="B121" s="52" t="str">
        <f>VLOOKUP(A121,'Billing Dimensions'!A:B,2,FALSE)</f>
        <v>SB</v>
      </c>
      <c r="C121" s="136">
        <f>VLOOKUP(A121,'Billing Dimensions'!$A:$N,3,FALSE)-VLOOKUP(A121,'Audit Dimensions'!$A:$N,3,FALSE)</f>
        <v>1</v>
      </c>
      <c r="D121" s="136">
        <f>VLOOKUP(A121,'Billing Dimensions'!$A:$N,4,FALSE)-VLOOKUP(A121,'Audit Dimensions'!$A:$N,4,FALSE)</f>
        <v>0</v>
      </c>
      <c r="E121" s="136">
        <f>VLOOKUP(A121,'Billing Dimensions'!$A:$N,5,FALSE)-VLOOKUP(A121,'Audit Dimensions'!$A:$N,5,FALSE)</f>
        <v>0</v>
      </c>
      <c r="F121" s="137">
        <f>VLOOKUP(A121,'Billing Dimensions'!$A:$N,6,FALSE)-VLOOKUP(A121,'Audit Dimensions'!$A:$N,6,FALSE)</f>
        <v>100</v>
      </c>
      <c r="G121" s="138">
        <f>VLOOKUP(A121,'Billing Dimensions'!$A:$N,7,FALSE)-VLOOKUP(A121,'Audit Dimensions'!$A:$N,7,FALSE)</f>
        <v>0</v>
      </c>
      <c r="H121" s="138">
        <f>VLOOKUP(A121,'Billing Dimensions'!$A:$N,8,FALSE)-VLOOKUP(A121,'Audit Dimensions'!$A:$N,8,FALSE)</f>
        <v>0</v>
      </c>
      <c r="I121" s="138">
        <f>VLOOKUP(A121,'Billing Dimensions'!$A:$N,9,FALSE)-VLOOKUP(A121,'Audit Dimensions'!$A:$N,9,FALSE)</f>
        <v>0</v>
      </c>
      <c r="J121" s="139">
        <f>VLOOKUP(A121,'Billing Dimensions'!$A:$N,10,FALSE)-VLOOKUP(A121,'Audit Dimensions'!$A:$N,10,FALSE)</f>
        <v>0</v>
      </c>
      <c r="K121" s="140">
        <f>VLOOKUP(A121,'Billing Dimensions'!$A:$N,11,FALSE)-VLOOKUP(A121,'Audit Dimensions'!$A:$N,11,FALSE)</f>
        <v>0</v>
      </c>
      <c r="L121" s="140">
        <f>VLOOKUP(A121,'Billing Dimensions'!$A:$N,12,FALSE)-VLOOKUP(A121,'Audit Dimensions'!$A:$N,12,FALSE)</f>
        <v>0</v>
      </c>
      <c r="M121" s="140">
        <f>VLOOKUP(A121,'Billing Dimensions'!$A:$N,13,FALSE)-VLOOKUP(A121,'Audit Dimensions'!$A:$N,13,FALSE)</f>
        <v>0</v>
      </c>
      <c r="N121" s="140">
        <f>VLOOKUP(A121,'Billing Dimensions'!$A:$N,14,FALSE)-VLOOKUP(A121,'Audit Dimensions'!$A:$N,14,FALSE)</f>
        <v>0</v>
      </c>
      <c r="O121" s="147">
        <f>VLOOKUP(A121,'Billing Dimensions'!A:Q,16,FALSE)-VLOOKUP('Audit VAR'!A121,'Audit Dimensions'!A:P,16,FALSE)</f>
        <v>100</v>
      </c>
      <c r="P121" s="148">
        <f t="shared" si="3"/>
        <v>0.1</v>
      </c>
      <c r="Q121" s="151">
        <f t="shared" si="4"/>
        <v>0</v>
      </c>
      <c r="R121" s="80" t="e">
        <f t="shared" si="5"/>
        <v>#DIV/0!</v>
      </c>
    </row>
    <row r="122" spans="1:18" hidden="1">
      <c r="A122" s="132" t="s">
        <v>189</v>
      </c>
      <c r="B122" s="52" t="str">
        <f>VLOOKUP(A122,'Billing Dimensions'!A:B,2,FALSE)</f>
        <v>SB</v>
      </c>
      <c r="C122" s="136">
        <f>VLOOKUP(A122,'Billing Dimensions'!$A:$N,3,FALSE)-VLOOKUP(A122,'Audit Dimensions'!$A:$N,3,FALSE)</f>
        <v>-69</v>
      </c>
      <c r="D122" s="136">
        <f>VLOOKUP(A122,'Billing Dimensions'!$A:$N,4,FALSE)-VLOOKUP(A122,'Audit Dimensions'!$A:$N,4,FALSE)</f>
        <v>-15</v>
      </c>
      <c r="E122" s="136">
        <f>VLOOKUP(A122,'Billing Dimensions'!$A:$N,5,FALSE)-VLOOKUP(A122,'Audit Dimensions'!$A:$N,5,FALSE)</f>
        <v>6</v>
      </c>
      <c r="F122" s="137">
        <f>VLOOKUP(A122,'Billing Dimensions'!$A:$N,6,FALSE)-VLOOKUP(A122,'Audit Dimensions'!$A:$N,6,FALSE)</f>
        <v>-12960</v>
      </c>
      <c r="G122" s="138">
        <f>VLOOKUP(A122,'Billing Dimensions'!$A:$N,7,FALSE)-VLOOKUP(A122,'Audit Dimensions'!$A:$N,7,FALSE)</f>
        <v>0</v>
      </c>
      <c r="H122" s="138">
        <f>VLOOKUP(A122,'Billing Dimensions'!$A:$N,8,FALSE)-VLOOKUP(A122,'Audit Dimensions'!$A:$N,8,FALSE)</f>
        <v>0</v>
      </c>
      <c r="I122" s="138">
        <f>VLOOKUP(A122,'Billing Dimensions'!$A:$N,9,FALSE)-VLOOKUP(A122,'Audit Dimensions'!$A:$N,9,FALSE)</f>
        <v>0</v>
      </c>
      <c r="J122" s="139">
        <f>VLOOKUP(A122,'Billing Dimensions'!$A:$N,10,FALSE)-VLOOKUP(A122,'Audit Dimensions'!$A:$N,10,FALSE)</f>
        <v>0</v>
      </c>
      <c r="K122" s="140">
        <f>VLOOKUP(A122,'Billing Dimensions'!$A:$N,11,FALSE)-VLOOKUP(A122,'Audit Dimensions'!$A:$N,11,FALSE)</f>
        <v>0</v>
      </c>
      <c r="L122" s="140">
        <f>VLOOKUP(A122,'Billing Dimensions'!$A:$N,12,FALSE)-VLOOKUP(A122,'Audit Dimensions'!$A:$N,12,FALSE)</f>
        <v>0</v>
      </c>
      <c r="M122" s="140">
        <f>VLOOKUP(A122,'Billing Dimensions'!$A:$N,13,FALSE)-VLOOKUP(A122,'Audit Dimensions'!$A:$N,13,FALSE)</f>
        <v>0</v>
      </c>
      <c r="N122" s="140">
        <f>VLOOKUP(A122,'Billing Dimensions'!$A:$N,14,FALSE)-VLOOKUP(A122,'Audit Dimensions'!$A:$N,14,FALSE)</f>
        <v>0</v>
      </c>
      <c r="O122" s="147">
        <f>VLOOKUP(A122,'Billing Dimensions'!A:Q,16,FALSE)-VLOOKUP('Audit VAR'!A122,'Audit Dimensions'!A:P,16,FALSE)</f>
        <v>-12960</v>
      </c>
      <c r="P122" s="148">
        <f t="shared" si="3"/>
        <v>-12.96</v>
      </c>
      <c r="Q122" s="151">
        <f t="shared" si="4"/>
        <v>0.21933720000000001</v>
      </c>
      <c r="R122" s="80">
        <f t="shared" si="5"/>
        <v>-59.08710423949973</v>
      </c>
    </row>
    <row r="123" spans="1:18" ht="14.45" customHeight="1">
      <c r="A123" s="132" t="s">
        <v>191</v>
      </c>
      <c r="B123" s="52" t="str">
        <f>VLOOKUP(A123,'Billing Dimensions'!A:B,2,FALSE)</f>
        <v>SB</v>
      </c>
      <c r="C123" s="136">
        <f>VLOOKUP(A123,'Billing Dimensions'!$A:$N,3,FALSE)-VLOOKUP(A123,'Audit Dimensions'!$A:$N,3,FALSE)</f>
        <v>1</v>
      </c>
      <c r="D123" s="136">
        <f>VLOOKUP(A123,'Billing Dimensions'!$A:$N,4,FALSE)-VLOOKUP(A123,'Audit Dimensions'!$A:$N,4,FALSE)</f>
        <v>1</v>
      </c>
      <c r="E123" s="136">
        <f>VLOOKUP(A123,'Billing Dimensions'!$A:$N,5,FALSE)-VLOOKUP(A123,'Audit Dimensions'!$A:$N,5,FALSE)</f>
        <v>0</v>
      </c>
      <c r="F123" s="137">
        <f>VLOOKUP(A123,'Billing Dimensions'!$A:$N,6,FALSE)-VLOOKUP(A123,'Audit Dimensions'!$A:$N,6,FALSE)</f>
        <v>-1500</v>
      </c>
      <c r="G123" s="138">
        <f>VLOOKUP(A123,'Billing Dimensions'!$A:$N,7,FALSE)-VLOOKUP(A123,'Audit Dimensions'!$A:$N,7,FALSE)</f>
        <v>0</v>
      </c>
      <c r="H123" s="138">
        <f>VLOOKUP(A123,'Billing Dimensions'!$A:$N,8,FALSE)-VLOOKUP(A123,'Audit Dimensions'!$A:$N,8,FALSE)</f>
        <v>0</v>
      </c>
      <c r="I123" s="138">
        <f>VLOOKUP(A123,'Billing Dimensions'!$A:$N,9,FALSE)-VLOOKUP(A123,'Audit Dimensions'!$A:$N,9,FALSE)</f>
        <v>0</v>
      </c>
      <c r="J123" s="139">
        <f>VLOOKUP(A123,'Billing Dimensions'!$A:$N,10,FALSE)-VLOOKUP(A123,'Audit Dimensions'!$A:$N,10,FALSE)</f>
        <v>0</v>
      </c>
      <c r="K123" s="140">
        <f>VLOOKUP(A123,'Billing Dimensions'!$A:$N,11,FALSE)-VLOOKUP(A123,'Audit Dimensions'!$A:$N,11,FALSE)</f>
        <v>0</v>
      </c>
      <c r="L123" s="140">
        <f>VLOOKUP(A123,'Billing Dimensions'!$A:$N,12,FALSE)-VLOOKUP(A123,'Audit Dimensions'!$A:$N,12,FALSE)</f>
        <v>0</v>
      </c>
      <c r="M123" s="140">
        <f>VLOOKUP(A123,'Billing Dimensions'!$A:$N,13,FALSE)-VLOOKUP(A123,'Audit Dimensions'!$A:$N,13,FALSE)</f>
        <v>0</v>
      </c>
      <c r="N123" s="140">
        <f>VLOOKUP(A123,'Billing Dimensions'!$A:$N,14,FALSE)-VLOOKUP(A123,'Audit Dimensions'!$A:$N,14,FALSE)</f>
        <v>0</v>
      </c>
      <c r="O123" s="147">
        <f>VLOOKUP(A123,'Billing Dimensions'!A:Q,16,FALSE)-VLOOKUP('Audit VAR'!A123,'Audit Dimensions'!A:P,16,FALSE)</f>
        <v>-1500</v>
      </c>
      <c r="P123" s="148">
        <f t="shared" si="3"/>
        <v>-1.5</v>
      </c>
      <c r="Q123" s="151">
        <f t="shared" si="4"/>
        <v>0</v>
      </c>
      <c r="R123" s="80" t="e">
        <f t="shared" si="5"/>
        <v>#DIV/0!</v>
      </c>
    </row>
    <row r="124" spans="1:18">
      <c r="A124" s="132" t="s">
        <v>192</v>
      </c>
      <c r="B124" s="52" t="str">
        <f>VLOOKUP(A124,'Billing Dimensions'!A:B,2,FALSE)</f>
        <v>SB</v>
      </c>
      <c r="C124" s="136">
        <f>VLOOKUP(A124,'Billing Dimensions'!$A:$N,3,FALSE)-VLOOKUP(A124,'Audit Dimensions'!$A:$N,3,FALSE)</f>
        <v>1</v>
      </c>
      <c r="D124" s="136">
        <f>VLOOKUP(A124,'Billing Dimensions'!$A:$N,4,FALSE)-VLOOKUP(A124,'Audit Dimensions'!$A:$N,4,FALSE)</f>
        <v>0</v>
      </c>
      <c r="E124" s="136">
        <f>VLOOKUP(A124,'Billing Dimensions'!$A:$N,5,FALSE)-VLOOKUP(A124,'Audit Dimensions'!$A:$N,5,FALSE)</f>
        <v>2</v>
      </c>
      <c r="F124" s="137">
        <f>VLOOKUP(A124,'Billing Dimensions'!$A:$N,6,FALSE)-VLOOKUP(A124,'Audit Dimensions'!$A:$N,6,FALSE)</f>
        <v>-3500</v>
      </c>
      <c r="G124" s="138">
        <f>VLOOKUP(A124,'Billing Dimensions'!$A:$N,7,FALSE)-VLOOKUP(A124,'Audit Dimensions'!$A:$N,7,FALSE)</f>
        <v>0</v>
      </c>
      <c r="H124" s="138">
        <f>VLOOKUP(A124,'Billing Dimensions'!$A:$N,8,FALSE)-VLOOKUP(A124,'Audit Dimensions'!$A:$N,8,FALSE)</f>
        <v>0</v>
      </c>
      <c r="I124" s="138">
        <f>VLOOKUP(A124,'Billing Dimensions'!$A:$N,9,FALSE)-VLOOKUP(A124,'Audit Dimensions'!$A:$N,9,FALSE)</f>
        <v>0</v>
      </c>
      <c r="J124" s="139">
        <f>VLOOKUP(A124,'Billing Dimensions'!$A:$N,10,FALSE)-VLOOKUP(A124,'Audit Dimensions'!$A:$N,10,FALSE)</f>
        <v>0</v>
      </c>
      <c r="K124" s="140">
        <f>VLOOKUP(A124,'Billing Dimensions'!$A:$N,11,FALSE)-VLOOKUP(A124,'Audit Dimensions'!$A:$N,11,FALSE)</f>
        <v>0</v>
      </c>
      <c r="L124" s="140">
        <f>VLOOKUP(A124,'Billing Dimensions'!$A:$N,12,FALSE)-VLOOKUP(A124,'Audit Dimensions'!$A:$N,12,FALSE)</f>
        <v>0</v>
      </c>
      <c r="M124" s="140">
        <f>VLOOKUP(A124,'Billing Dimensions'!$A:$N,13,FALSE)-VLOOKUP(A124,'Audit Dimensions'!$A:$N,13,FALSE)</f>
        <v>0</v>
      </c>
      <c r="N124" s="140">
        <f>VLOOKUP(A124,'Billing Dimensions'!$A:$N,14,FALSE)-VLOOKUP(A124,'Audit Dimensions'!$A:$N,14,FALSE)</f>
        <v>0</v>
      </c>
      <c r="O124" s="147">
        <f>VLOOKUP(A124,'Billing Dimensions'!A:Q,16,FALSE)-VLOOKUP('Audit VAR'!A124,'Audit Dimensions'!A:P,16,FALSE)</f>
        <v>-3500</v>
      </c>
      <c r="P124" s="148">
        <f t="shared" si="3"/>
        <v>-3.5</v>
      </c>
      <c r="Q124" s="151">
        <f t="shared" si="4"/>
        <v>0</v>
      </c>
      <c r="R124" s="80" t="e">
        <f t="shared" si="5"/>
        <v>#DIV/0!</v>
      </c>
    </row>
    <row r="125" spans="1:18" ht="14.45" hidden="1" customHeight="1">
      <c r="A125" s="132" t="s">
        <v>194</v>
      </c>
      <c r="B125" s="52" t="str">
        <f>VLOOKUP(A125,'Billing Dimensions'!A:B,2,FALSE)</f>
        <v>SB</v>
      </c>
      <c r="C125" s="136">
        <f>VLOOKUP(A125,'Billing Dimensions'!$A:$N,3,FALSE)-VLOOKUP(A125,'Audit Dimensions'!$A:$N,3,FALSE)</f>
        <v>1</v>
      </c>
      <c r="D125" s="136">
        <f>VLOOKUP(A125,'Billing Dimensions'!$A:$N,4,FALSE)-VLOOKUP(A125,'Audit Dimensions'!$A:$N,4,FALSE)</f>
        <v>1</v>
      </c>
      <c r="E125" s="136">
        <f>VLOOKUP(A125,'Billing Dimensions'!$A:$N,5,FALSE)-VLOOKUP(A125,'Audit Dimensions'!$A:$N,5,FALSE)</f>
        <v>0</v>
      </c>
      <c r="F125" s="137">
        <f>VLOOKUP(A125,'Billing Dimensions'!$A:$N,6,FALSE)-VLOOKUP(A125,'Audit Dimensions'!$A:$N,6,FALSE)</f>
        <v>-1350</v>
      </c>
      <c r="G125" s="138">
        <f>VLOOKUP(A125,'Billing Dimensions'!$A:$N,7,FALSE)-VLOOKUP(A125,'Audit Dimensions'!$A:$N,7,FALSE)</f>
        <v>0</v>
      </c>
      <c r="H125" s="138">
        <f>VLOOKUP(A125,'Billing Dimensions'!$A:$N,8,FALSE)-VLOOKUP(A125,'Audit Dimensions'!$A:$N,8,FALSE)</f>
        <v>0</v>
      </c>
      <c r="I125" s="138">
        <f>VLOOKUP(A125,'Billing Dimensions'!$A:$N,9,FALSE)-VLOOKUP(A125,'Audit Dimensions'!$A:$N,9,FALSE)</f>
        <v>0</v>
      </c>
      <c r="J125" s="139">
        <f>VLOOKUP(A125,'Billing Dimensions'!$A:$N,10,FALSE)-VLOOKUP(A125,'Audit Dimensions'!$A:$N,10,FALSE)</f>
        <v>0</v>
      </c>
      <c r="K125" s="140">
        <f>VLOOKUP(A125,'Billing Dimensions'!$A:$N,11,FALSE)-VLOOKUP(A125,'Audit Dimensions'!$A:$N,11,FALSE)</f>
        <v>0</v>
      </c>
      <c r="L125" s="140">
        <f>VLOOKUP(A125,'Billing Dimensions'!$A:$N,12,FALSE)-VLOOKUP(A125,'Audit Dimensions'!$A:$N,12,FALSE)</f>
        <v>0</v>
      </c>
      <c r="M125" s="140">
        <f>VLOOKUP(A125,'Billing Dimensions'!$A:$N,13,FALSE)-VLOOKUP(A125,'Audit Dimensions'!$A:$N,13,FALSE)</f>
        <v>0</v>
      </c>
      <c r="N125" s="140">
        <f>VLOOKUP(A125,'Billing Dimensions'!$A:$N,14,FALSE)-VLOOKUP(A125,'Audit Dimensions'!$A:$N,14,FALSE)</f>
        <v>0</v>
      </c>
      <c r="O125" s="147">
        <f>VLOOKUP(A125,'Billing Dimensions'!A:Q,16,FALSE)-VLOOKUP('Audit VAR'!A125,'Audit Dimensions'!A:P,16,FALSE)</f>
        <v>-1350</v>
      </c>
      <c r="P125" s="148">
        <f t="shared" si="3"/>
        <v>-1.35</v>
      </c>
      <c r="Q125" s="151">
        <f t="shared" si="4"/>
        <v>0</v>
      </c>
      <c r="R125" s="80" t="e">
        <f t="shared" si="5"/>
        <v>#DIV/0!</v>
      </c>
    </row>
    <row r="126" spans="1:18" ht="14.45" hidden="1" customHeight="1">
      <c r="A126" s="132" t="s">
        <v>195</v>
      </c>
      <c r="B126" s="52" t="str">
        <f>VLOOKUP(A126,'Billing Dimensions'!A:B,2,FALSE)</f>
        <v>SB</v>
      </c>
      <c r="C126" s="136">
        <f>VLOOKUP(A126,'Billing Dimensions'!$A:$N,3,FALSE)-VLOOKUP(A126,'Audit Dimensions'!$A:$N,3,FALSE)</f>
        <v>0</v>
      </c>
      <c r="D126" s="136">
        <f>VLOOKUP(A126,'Billing Dimensions'!$A:$N,4,FALSE)-VLOOKUP(A126,'Audit Dimensions'!$A:$N,4,FALSE)</f>
        <v>0</v>
      </c>
      <c r="E126" s="136">
        <f>VLOOKUP(A126,'Billing Dimensions'!$A:$N,5,FALSE)-VLOOKUP(A126,'Audit Dimensions'!$A:$N,5,FALSE)</f>
        <v>0</v>
      </c>
      <c r="F126" s="137">
        <f>VLOOKUP(A126,'Billing Dimensions'!$A:$N,6,FALSE)-VLOOKUP(A126,'Audit Dimensions'!$A:$N,6,FALSE)</f>
        <v>0</v>
      </c>
      <c r="G126" s="138">
        <f>VLOOKUP(A126,'Billing Dimensions'!$A:$N,7,FALSE)-VLOOKUP(A126,'Audit Dimensions'!$A:$N,7,FALSE)</f>
        <v>0</v>
      </c>
      <c r="H126" s="138">
        <f>VLOOKUP(A126,'Billing Dimensions'!$A:$N,8,FALSE)-VLOOKUP(A126,'Audit Dimensions'!$A:$N,8,FALSE)</f>
        <v>0</v>
      </c>
      <c r="I126" s="138">
        <f>VLOOKUP(A126,'Billing Dimensions'!$A:$N,9,FALSE)-VLOOKUP(A126,'Audit Dimensions'!$A:$N,9,FALSE)</f>
        <v>0</v>
      </c>
      <c r="J126" s="139">
        <f>VLOOKUP(A126,'Billing Dimensions'!$A:$N,10,FALSE)-VLOOKUP(A126,'Audit Dimensions'!$A:$N,10,FALSE)</f>
        <v>0</v>
      </c>
      <c r="K126" s="140">
        <f>VLOOKUP(A126,'Billing Dimensions'!$A:$N,11,FALSE)-VLOOKUP(A126,'Audit Dimensions'!$A:$N,11,FALSE)</f>
        <v>0</v>
      </c>
      <c r="L126" s="140">
        <f>VLOOKUP(A126,'Billing Dimensions'!$A:$N,12,FALSE)-VLOOKUP(A126,'Audit Dimensions'!$A:$N,12,FALSE)</f>
        <v>0</v>
      </c>
      <c r="M126" s="140">
        <f>VLOOKUP(A126,'Billing Dimensions'!$A:$N,13,FALSE)-VLOOKUP(A126,'Audit Dimensions'!$A:$N,13,FALSE)</f>
        <v>0</v>
      </c>
      <c r="N126" s="140">
        <f>VLOOKUP(A126,'Billing Dimensions'!$A:$N,14,FALSE)-VLOOKUP(A126,'Audit Dimensions'!$A:$N,14,FALSE)</f>
        <v>0</v>
      </c>
      <c r="O126" s="147">
        <f>VLOOKUP(A126,'Billing Dimensions'!A:Q,16,FALSE)-VLOOKUP('Audit VAR'!A126,'Audit Dimensions'!A:P,16,FALSE)</f>
        <v>0</v>
      </c>
      <c r="P126" s="148">
        <f t="shared" si="3"/>
        <v>0</v>
      </c>
      <c r="Q126" s="151">
        <f t="shared" si="4"/>
        <v>0</v>
      </c>
      <c r="R126" s="80" t="e">
        <f t="shared" si="5"/>
        <v>#DIV/0!</v>
      </c>
    </row>
    <row r="127" spans="1:18" ht="14.45" hidden="1" customHeight="1">
      <c r="A127" s="132" t="s">
        <v>197</v>
      </c>
      <c r="B127" s="52" t="str">
        <f>VLOOKUP(A127,'Billing Dimensions'!A:B,2,FALSE)</f>
        <v>SB</v>
      </c>
      <c r="C127" s="136">
        <f>VLOOKUP(A127,'Billing Dimensions'!$A:$N,3,FALSE)-VLOOKUP(A127,'Audit Dimensions'!$A:$N,3,FALSE)</f>
        <v>0</v>
      </c>
      <c r="D127" s="136">
        <f>VLOOKUP(A127,'Billing Dimensions'!$A:$N,4,FALSE)-VLOOKUP(A127,'Audit Dimensions'!$A:$N,4,FALSE)</f>
        <v>0</v>
      </c>
      <c r="E127" s="136">
        <f>VLOOKUP(A127,'Billing Dimensions'!$A:$N,5,FALSE)-VLOOKUP(A127,'Audit Dimensions'!$A:$N,5,FALSE)</f>
        <v>0</v>
      </c>
      <c r="F127" s="137">
        <f>VLOOKUP(A127,'Billing Dimensions'!$A:$N,6,FALSE)-VLOOKUP(A127,'Audit Dimensions'!$A:$N,6,FALSE)</f>
        <v>-1950</v>
      </c>
      <c r="G127" s="138">
        <f>VLOOKUP(A127,'Billing Dimensions'!$A:$N,7,FALSE)-VLOOKUP(A127,'Audit Dimensions'!$A:$N,7,FALSE)</f>
        <v>0</v>
      </c>
      <c r="H127" s="138">
        <f>VLOOKUP(A127,'Billing Dimensions'!$A:$N,8,FALSE)-VLOOKUP(A127,'Audit Dimensions'!$A:$N,8,FALSE)</f>
        <v>0</v>
      </c>
      <c r="I127" s="138">
        <f>VLOOKUP(A127,'Billing Dimensions'!$A:$N,9,FALSE)-VLOOKUP(A127,'Audit Dimensions'!$A:$N,9,FALSE)</f>
        <v>0</v>
      </c>
      <c r="J127" s="139">
        <f>VLOOKUP(A127,'Billing Dimensions'!$A:$N,10,FALSE)-VLOOKUP(A127,'Audit Dimensions'!$A:$N,10,FALSE)</f>
        <v>0</v>
      </c>
      <c r="K127" s="140">
        <f>VLOOKUP(A127,'Billing Dimensions'!$A:$N,11,FALSE)-VLOOKUP(A127,'Audit Dimensions'!$A:$N,11,FALSE)</f>
        <v>0</v>
      </c>
      <c r="L127" s="140">
        <f>VLOOKUP(A127,'Billing Dimensions'!$A:$N,12,FALSE)-VLOOKUP(A127,'Audit Dimensions'!$A:$N,12,FALSE)</f>
        <v>0</v>
      </c>
      <c r="M127" s="140">
        <f>VLOOKUP(A127,'Billing Dimensions'!$A:$N,13,FALSE)-VLOOKUP(A127,'Audit Dimensions'!$A:$N,13,FALSE)</f>
        <v>0</v>
      </c>
      <c r="N127" s="140">
        <f>VLOOKUP(A127,'Billing Dimensions'!$A:$N,14,FALSE)-VLOOKUP(A127,'Audit Dimensions'!$A:$N,14,FALSE)</f>
        <v>0</v>
      </c>
      <c r="O127" s="147">
        <f>VLOOKUP(A127,'Billing Dimensions'!A:Q,16,FALSE)-VLOOKUP('Audit VAR'!A127,'Audit Dimensions'!A:P,16,FALSE)</f>
        <v>-1950</v>
      </c>
      <c r="P127" s="148">
        <f t="shared" si="3"/>
        <v>-1.95</v>
      </c>
      <c r="Q127" s="151">
        <f t="shared" si="4"/>
        <v>0</v>
      </c>
      <c r="R127" s="80" t="e">
        <f t="shared" si="5"/>
        <v>#DIV/0!</v>
      </c>
    </row>
    <row r="128" spans="1:18" ht="14.45" hidden="1" customHeight="1">
      <c r="A128" s="132" t="s">
        <v>199</v>
      </c>
      <c r="B128" s="52" t="str">
        <f>VLOOKUP(A128,'Billing Dimensions'!A:B,2,FALSE)</f>
        <v>SB</v>
      </c>
      <c r="C128" s="136">
        <f>VLOOKUP(A128,'Billing Dimensions'!$A:$N,3,FALSE)-VLOOKUP(A128,'Audit Dimensions'!$A:$N,3,FALSE)</f>
        <v>-1</v>
      </c>
      <c r="D128" s="136">
        <f>VLOOKUP(A128,'Billing Dimensions'!$A:$N,4,FALSE)-VLOOKUP(A128,'Audit Dimensions'!$A:$N,4,FALSE)</f>
        <v>0</v>
      </c>
      <c r="E128" s="136">
        <f>VLOOKUP(A128,'Billing Dimensions'!$A:$N,5,FALSE)-VLOOKUP(A128,'Audit Dimensions'!$A:$N,5,FALSE)</f>
        <v>1</v>
      </c>
      <c r="F128" s="137">
        <f>VLOOKUP(A128,'Billing Dimensions'!$A:$N,6,FALSE)-VLOOKUP(A128,'Audit Dimensions'!$A:$N,6,FALSE)</f>
        <v>-5050</v>
      </c>
      <c r="G128" s="138">
        <f>VLOOKUP(A128,'Billing Dimensions'!$A:$N,7,FALSE)-VLOOKUP(A128,'Audit Dimensions'!$A:$N,7,FALSE)</f>
        <v>0</v>
      </c>
      <c r="H128" s="138">
        <f>VLOOKUP(A128,'Billing Dimensions'!$A:$N,8,FALSE)-VLOOKUP(A128,'Audit Dimensions'!$A:$N,8,FALSE)</f>
        <v>0</v>
      </c>
      <c r="I128" s="138">
        <f>VLOOKUP(A128,'Billing Dimensions'!$A:$N,9,FALSE)-VLOOKUP(A128,'Audit Dimensions'!$A:$N,9,FALSE)</f>
        <v>0</v>
      </c>
      <c r="J128" s="139">
        <f>VLOOKUP(A128,'Billing Dimensions'!$A:$N,10,FALSE)-VLOOKUP(A128,'Audit Dimensions'!$A:$N,10,FALSE)</f>
        <v>0</v>
      </c>
      <c r="K128" s="140">
        <f>VLOOKUP(A128,'Billing Dimensions'!$A:$N,11,FALSE)-VLOOKUP(A128,'Audit Dimensions'!$A:$N,11,FALSE)</f>
        <v>0</v>
      </c>
      <c r="L128" s="140">
        <f>VLOOKUP(A128,'Billing Dimensions'!$A:$N,12,FALSE)-VLOOKUP(A128,'Audit Dimensions'!$A:$N,12,FALSE)</f>
        <v>0</v>
      </c>
      <c r="M128" s="140">
        <f>VLOOKUP(A128,'Billing Dimensions'!$A:$N,13,FALSE)-VLOOKUP(A128,'Audit Dimensions'!$A:$N,13,FALSE)</f>
        <v>0</v>
      </c>
      <c r="N128" s="140">
        <f>VLOOKUP(A128,'Billing Dimensions'!$A:$N,14,FALSE)-VLOOKUP(A128,'Audit Dimensions'!$A:$N,14,FALSE)</f>
        <v>0</v>
      </c>
      <c r="O128" s="147">
        <f>VLOOKUP(A128,'Billing Dimensions'!A:Q,16,FALSE)-VLOOKUP('Audit VAR'!A128,'Audit Dimensions'!A:P,16,FALSE)</f>
        <v>-5050</v>
      </c>
      <c r="P128" s="148">
        <f t="shared" si="3"/>
        <v>-5.05</v>
      </c>
      <c r="Q128" s="151">
        <f t="shared" si="4"/>
        <v>0</v>
      </c>
      <c r="R128" s="80" t="e">
        <f t="shared" si="5"/>
        <v>#DIV/0!</v>
      </c>
    </row>
    <row r="129" spans="1:18" ht="14.45" hidden="1" customHeight="1">
      <c r="A129" s="132" t="s">
        <v>200</v>
      </c>
      <c r="B129" s="52" t="str">
        <f>VLOOKUP(A129,'Billing Dimensions'!A:B,2,FALSE)</f>
        <v>SB</v>
      </c>
      <c r="C129" s="136" t="e">
        <f>VLOOKUP(A129,'Billing Dimensions'!$A:$N,3,FALSE)-VLOOKUP(A129,'Audit Dimensions'!$A:$N,3,FALSE)</f>
        <v>#N/A</v>
      </c>
      <c r="D129" s="136" t="e">
        <f>VLOOKUP(A129,'Billing Dimensions'!$A:$N,4,FALSE)-VLOOKUP(A129,'Audit Dimensions'!$A:$N,4,FALSE)</f>
        <v>#N/A</v>
      </c>
      <c r="E129" s="136" t="e">
        <f>VLOOKUP(A129,'Billing Dimensions'!$A:$N,5,FALSE)-VLOOKUP(A129,'Audit Dimensions'!$A:$N,5,FALSE)</f>
        <v>#N/A</v>
      </c>
      <c r="F129" s="137" t="e">
        <f>VLOOKUP(A129,'Billing Dimensions'!$A:$N,6,FALSE)-VLOOKUP(A129,'Audit Dimensions'!$A:$N,6,FALSE)</f>
        <v>#N/A</v>
      </c>
      <c r="G129" s="138" t="e">
        <f>VLOOKUP(A129,'Billing Dimensions'!$A:$N,7,FALSE)-VLOOKUP(A129,'Audit Dimensions'!$A:$N,7,FALSE)</f>
        <v>#N/A</v>
      </c>
      <c r="H129" s="138" t="e">
        <f>VLOOKUP(A129,'Billing Dimensions'!$A:$N,8,FALSE)-VLOOKUP(A129,'Audit Dimensions'!$A:$N,8,FALSE)</f>
        <v>#N/A</v>
      </c>
      <c r="I129" s="138" t="e">
        <f>VLOOKUP(A129,'Billing Dimensions'!$A:$N,9,FALSE)-VLOOKUP(A129,'Audit Dimensions'!$A:$N,9,FALSE)</f>
        <v>#N/A</v>
      </c>
      <c r="J129" s="139" t="e">
        <f>VLOOKUP(A129,'Billing Dimensions'!$A:$N,10,FALSE)-VLOOKUP(A129,'Audit Dimensions'!$A:$N,10,FALSE)</f>
        <v>#N/A</v>
      </c>
      <c r="K129" s="140" t="e">
        <f>VLOOKUP(A129,'Billing Dimensions'!$A:$N,11,FALSE)-VLOOKUP(A129,'Audit Dimensions'!$A:$N,11,FALSE)</f>
        <v>#N/A</v>
      </c>
      <c r="L129" s="140" t="e">
        <f>VLOOKUP(A129,'Billing Dimensions'!$A:$N,12,FALSE)-VLOOKUP(A129,'Audit Dimensions'!$A:$N,12,FALSE)</f>
        <v>#N/A</v>
      </c>
      <c r="M129" s="140" t="e">
        <f>VLOOKUP(A129,'Billing Dimensions'!$A:$N,13,FALSE)-VLOOKUP(A129,'Audit Dimensions'!$A:$N,13,FALSE)</f>
        <v>#N/A</v>
      </c>
      <c r="N129" s="140" t="e">
        <f>VLOOKUP(A129,'Billing Dimensions'!$A:$N,14,FALSE)-VLOOKUP(A129,'Audit Dimensions'!$A:$N,14,FALSE)</f>
        <v>#N/A</v>
      </c>
      <c r="O129" s="147" t="e">
        <f>VLOOKUP(A129,'Billing Dimensions'!A:Q,16,FALSE)-VLOOKUP('Audit VAR'!A129,'Audit Dimensions'!A:P,16,FALSE)</f>
        <v>#N/A</v>
      </c>
      <c r="P129" s="148" t="e">
        <f t="shared" si="3"/>
        <v>#N/A</v>
      </c>
      <c r="Q129" s="151" t="e">
        <f t="shared" si="4"/>
        <v>#N/A</v>
      </c>
      <c r="R129" s="80" t="e">
        <f t="shared" si="5"/>
        <v>#N/A</v>
      </c>
    </row>
    <row r="130" spans="1:18" ht="14.45" hidden="1" customHeight="1">
      <c r="A130" s="132" t="s">
        <v>201</v>
      </c>
      <c r="B130" s="52" t="str">
        <f>VLOOKUP(A130,'Billing Dimensions'!A:B,2,FALSE)</f>
        <v>SB</v>
      </c>
      <c r="C130" s="136">
        <f>VLOOKUP(A130,'Billing Dimensions'!$A:$N,3,FALSE)-VLOOKUP(A130,'Audit Dimensions'!$A:$N,3,FALSE)</f>
        <v>0</v>
      </c>
      <c r="D130" s="136">
        <f>VLOOKUP(A130,'Billing Dimensions'!$A:$N,4,FALSE)-VLOOKUP(A130,'Audit Dimensions'!$A:$N,4,FALSE)</f>
        <v>0</v>
      </c>
      <c r="E130" s="136">
        <f>VLOOKUP(A130,'Billing Dimensions'!$A:$N,5,FALSE)-VLOOKUP(A130,'Audit Dimensions'!$A:$N,5,FALSE)</f>
        <v>0</v>
      </c>
      <c r="F130" s="137">
        <f>VLOOKUP(A130,'Billing Dimensions'!$A:$N,6,FALSE)-VLOOKUP(A130,'Audit Dimensions'!$A:$N,6,FALSE)</f>
        <v>-560</v>
      </c>
      <c r="G130" s="138">
        <f>VLOOKUP(A130,'Billing Dimensions'!$A:$N,7,FALSE)-VLOOKUP(A130,'Audit Dimensions'!$A:$N,7,FALSE)</f>
        <v>0</v>
      </c>
      <c r="H130" s="138">
        <f>VLOOKUP(A130,'Billing Dimensions'!$A:$N,8,FALSE)-VLOOKUP(A130,'Audit Dimensions'!$A:$N,8,FALSE)</f>
        <v>0</v>
      </c>
      <c r="I130" s="138">
        <f>VLOOKUP(A130,'Billing Dimensions'!$A:$N,9,FALSE)-VLOOKUP(A130,'Audit Dimensions'!$A:$N,9,FALSE)</f>
        <v>0</v>
      </c>
      <c r="J130" s="139">
        <f>VLOOKUP(A130,'Billing Dimensions'!$A:$N,10,FALSE)-VLOOKUP(A130,'Audit Dimensions'!$A:$N,10,FALSE)</f>
        <v>0</v>
      </c>
      <c r="K130" s="140">
        <f>VLOOKUP(A130,'Billing Dimensions'!$A:$N,11,FALSE)-VLOOKUP(A130,'Audit Dimensions'!$A:$N,11,FALSE)</f>
        <v>0</v>
      </c>
      <c r="L130" s="140">
        <f>VLOOKUP(A130,'Billing Dimensions'!$A:$N,12,FALSE)-VLOOKUP(A130,'Audit Dimensions'!$A:$N,12,FALSE)</f>
        <v>0</v>
      </c>
      <c r="M130" s="140">
        <f>VLOOKUP(A130,'Billing Dimensions'!$A:$N,13,FALSE)-VLOOKUP(A130,'Audit Dimensions'!$A:$N,13,FALSE)</f>
        <v>0</v>
      </c>
      <c r="N130" s="140">
        <f>VLOOKUP(A130,'Billing Dimensions'!$A:$N,14,FALSE)-VLOOKUP(A130,'Audit Dimensions'!$A:$N,14,FALSE)</f>
        <v>0</v>
      </c>
      <c r="O130" s="147">
        <f>VLOOKUP(A130,'Billing Dimensions'!A:Q,16,FALSE)-VLOOKUP('Audit VAR'!A130,'Audit Dimensions'!A:P,16,FALSE)</f>
        <v>-560</v>
      </c>
      <c r="P130" s="148">
        <f t="shared" si="3"/>
        <v>-0.56000000000000005</v>
      </c>
      <c r="Q130" s="151">
        <f t="shared" si="4"/>
        <v>0</v>
      </c>
      <c r="R130" s="80" t="e">
        <f t="shared" si="5"/>
        <v>#DIV/0!</v>
      </c>
    </row>
    <row r="131" spans="1:18" ht="14.45" hidden="1" customHeight="1">
      <c r="A131" s="132" t="s">
        <v>202</v>
      </c>
      <c r="B131" s="52" t="str">
        <f>VLOOKUP(A131,'Billing Dimensions'!A:B,2,FALSE)</f>
        <v>SB</v>
      </c>
      <c r="C131" s="136">
        <f>VLOOKUP(A131,'Billing Dimensions'!$A:$N,3,FALSE)-VLOOKUP(A131,'Audit Dimensions'!$A:$N,3,FALSE)</f>
        <v>-0.5</v>
      </c>
      <c r="D131" s="136">
        <f>VLOOKUP(A131,'Billing Dimensions'!$A:$N,4,FALSE)-VLOOKUP(A131,'Audit Dimensions'!$A:$N,4,FALSE)</f>
        <v>-2</v>
      </c>
      <c r="E131" s="136">
        <f>VLOOKUP(A131,'Billing Dimensions'!$A:$N,5,FALSE)-VLOOKUP(A131,'Audit Dimensions'!$A:$N,5,FALSE)</f>
        <v>0</v>
      </c>
      <c r="F131" s="137">
        <f>VLOOKUP(A131,'Billing Dimensions'!$A:$N,6,FALSE)-VLOOKUP(A131,'Audit Dimensions'!$A:$N,6,FALSE)</f>
        <v>690</v>
      </c>
      <c r="G131" s="138">
        <f>VLOOKUP(A131,'Billing Dimensions'!$A:$N,7,FALSE)-VLOOKUP(A131,'Audit Dimensions'!$A:$N,7,FALSE)</f>
        <v>0</v>
      </c>
      <c r="H131" s="138">
        <f>VLOOKUP(A131,'Billing Dimensions'!$A:$N,8,FALSE)-VLOOKUP(A131,'Audit Dimensions'!$A:$N,8,FALSE)</f>
        <v>0</v>
      </c>
      <c r="I131" s="138">
        <f>VLOOKUP(A131,'Billing Dimensions'!$A:$N,9,FALSE)-VLOOKUP(A131,'Audit Dimensions'!$A:$N,9,FALSE)</f>
        <v>0</v>
      </c>
      <c r="J131" s="139">
        <f>VLOOKUP(A131,'Billing Dimensions'!$A:$N,10,FALSE)-VLOOKUP(A131,'Audit Dimensions'!$A:$N,10,FALSE)</f>
        <v>0</v>
      </c>
      <c r="K131" s="140">
        <f>VLOOKUP(A131,'Billing Dimensions'!$A:$N,11,FALSE)-VLOOKUP(A131,'Audit Dimensions'!$A:$N,11,FALSE)</f>
        <v>0</v>
      </c>
      <c r="L131" s="140">
        <f>VLOOKUP(A131,'Billing Dimensions'!$A:$N,12,FALSE)-VLOOKUP(A131,'Audit Dimensions'!$A:$N,12,FALSE)</f>
        <v>0</v>
      </c>
      <c r="M131" s="140">
        <f>VLOOKUP(A131,'Billing Dimensions'!$A:$N,13,FALSE)-VLOOKUP(A131,'Audit Dimensions'!$A:$N,13,FALSE)</f>
        <v>0</v>
      </c>
      <c r="N131" s="140">
        <f>VLOOKUP(A131,'Billing Dimensions'!$A:$N,14,FALSE)-VLOOKUP(A131,'Audit Dimensions'!$A:$N,14,FALSE)</f>
        <v>0</v>
      </c>
      <c r="O131" s="147">
        <f>VLOOKUP(A131,'Billing Dimensions'!A:Q,16,FALSE)-VLOOKUP('Audit VAR'!A131,'Audit Dimensions'!A:P,16,FALSE)</f>
        <v>690</v>
      </c>
      <c r="P131" s="148">
        <f t="shared" si="3"/>
        <v>0.69</v>
      </c>
      <c r="Q131" s="151">
        <f t="shared" si="4"/>
        <v>0</v>
      </c>
      <c r="R131" s="80" t="e">
        <f t="shared" si="5"/>
        <v>#DIV/0!</v>
      </c>
    </row>
    <row r="132" spans="1:18" ht="14.45" hidden="1" customHeight="1">
      <c r="A132" s="132" t="s">
        <v>203</v>
      </c>
      <c r="B132" s="52" t="str">
        <f>VLOOKUP(A132,'Billing Dimensions'!A:B,2,FALSE)</f>
        <v>SB</v>
      </c>
      <c r="C132" s="136">
        <f>VLOOKUP(A132,'Billing Dimensions'!$A:$N,3,FALSE)-VLOOKUP(A132,'Audit Dimensions'!$A:$N,3,FALSE)</f>
        <v>0</v>
      </c>
      <c r="D132" s="136">
        <f>VLOOKUP(A132,'Billing Dimensions'!$A:$N,4,FALSE)-VLOOKUP(A132,'Audit Dimensions'!$A:$N,4,FALSE)</f>
        <v>0</v>
      </c>
      <c r="E132" s="136">
        <f>VLOOKUP(A132,'Billing Dimensions'!$A:$N,5,FALSE)-VLOOKUP(A132,'Audit Dimensions'!$A:$N,5,FALSE)</f>
        <v>1</v>
      </c>
      <c r="F132" s="137">
        <f>VLOOKUP(A132,'Billing Dimensions'!$A:$N,6,FALSE)-VLOOKUP(A132,'Audit Dimensions'!$A:$N,6,FALSE)</f>
        <v>-2860</v>
      </c>
      <c r="G132" s="138">
        <f>VLOOKUP(A132,'Billing Dimensions'!$A:$N,7,FALSE)-VLOOKUP(A132,'Audit Dimensions'!$A:$N,7,FALSE)</f>
        <v>0</v>
      </c>
      <c r="H132" s="138">
        <f>VLOOKUP(A132,'Billing Dimensions'!$A:$N,8,FALSE)-VLOOKUP(A132,'Audit Dimensions'!$A:$N,8,FALSE)</f>
        <v>0</v>
      </c>
      <c r="I132" s="138">
        <f>VLOOKUP(A132,'Billing Dimensions'!$A:$N,9,FALSE)-VLOOKUP(A132,'Audit Dimensions'!$A:$N,9,FALSE)</f>
        <v>0</v>
      </c>
      <c r="J132" s="139">
        <f>VLOOKUP(A132,'Billing Dimensions'!$A:$N,10,FALSE)-VLOOKUP(A132,'Audit Dimensions'!$A:$N,10,FALSE)</f>
        <v>0</v>
      </c>
      <c r="K132" s="140">
        <f>VLOOKUP(A132,'Billing Dimensions'!$A:$N,11,FALSE)-VLOOKUP(A132,'Audit Dimensions'!$A:$N,11,FALSE)</f>
        <v>0</v>
      </c>
      <c r="L132" s="140">
        <f>VLOOKUP(A132,'Billing Dimensions'!$A:$N,12,FALSE)-VLOOKUP(A132,'Audit Dimensions'!$A:$N,12,FALSE)</f>
        <v>0</v>
      </c>
      <c r="M132" s="140">
        <f>VLOOKUP(A132,'Billing Dimensions'!$A:$N,13,FALSE)-VLOOKUP(A132,'Audit Dimensions'!$A:$N,13,FALSE)</f>
        <v>0</v>
      </c>
      <c r="N132" s="140">
        <f>VLOOKUP(A132,'Billing Dimensions'!$A:$N,14,FALSE)-VLOOKUP(A132,'Audit Dimensions'!$A:$N,14,FALSE)</f>
        <v>0</v>
      </c>
      <c r="O132" s="147">
        <f>VLOOKUP(A132,'Billing Dimensions'!A:Q,16,FALSE)-VLOOKUP('Audit VAR'!A132,'Audit Dimensions'!A:P,16,FALSE)</f>
        <v>-2860</v>
      </c>
      <c r="P132" s="148">
        <f t="shared" ref="P132:P195" si="6">O132/1000</f>
        <v>-2.86</v>
      </c>
      <c r="Q132" s="151">
        <f t="shared" ref="Q132:Q195" si="7">(((C132*D132*E132)+(G132*H132*I132)+(K132*L132*M132))/1000000)*35.32</f>
        <v>0</v>
      </c>
      <c r="R132" s="80" t="e">
        <f t="shared" ref="R132:R195" si="8">P132/Q132</f>
        <v>#DIV/0!</v>
      </c>
    </row>
    <row r="133" spans="1:18" ht="14.45" hidden="1" customHeight="1">
      <c r="A133" s="132" t="s">
        <v>207</v>
      </c>
      <c r="B133" s="52" t="str">
        <f>VLOOKUP(A133,'Billing Dimensions'!A:B,2,FALSE)</f>
        <v>SB</v>
      </c>
      <c r="C133" s="136">
        <f>VLOOKUP(A133,'Billing Dimensions'!$A:$N,3,FALSE)-VLOOKUP(A133,'Audit Dimensions'!$A:$N,3,FALSE)</f>
        <v>0</v>
      </c>
      <c r="D133" s="136">
        <f>VLOOKUP(A133,'Billing Dimensions'!$A:$N,4,FALSE)-VLOOKUP(A133,'Audit Dimensions'!$A:$N,4,FALSE)</f>
        <v>0</v>
      </c>
      <c r="E133" s="136">
        <f>VLOOKUP(A133,'Billing Dimensions'!$A:$N,5,FALSE)-VLOOKUP(A133,'Audit Dimensions'!$A:$N,5,FALSE)</f>
        <v>0</v>
      </c>
      <c r="F133" s="137">
        <f>VLOOKUP(A133,'Billing Dimensions'!$A:$N,6,FALSE)-VLOOKUP(A133,'Audit Dimensions'!$A:$N,6,FALSE)</f>
        <v>0</v>
      </c>
      <c r="G133" s="138">
        <f>VLOOKUP(A133,'Billing Dimensions'!$A:$N,7,FALSE)-VLOOKUP(A133,'Audit Dimensions'!$A:$N,7,FALSE)</f>
        <v>0</v>
      </c>
      <c r="H133" s="138">
        <f>VLOOKUP(A133,'Billing Dimensions'!$A:$N,8,FALSE)-VLOOKUP(A133,'Audit Dimensions'!$A:$N,8,FALSE)</f>
        <v>0</v>
      </c>
      <c r="I133" s="138">
        <f>VLOOKUP(A133,'Billing Dimensions'!$A:$N,9,FALSE)-VLOOKUP(A133,'Audit Dimensions'!$A:$N,9,FALSE)</f>
        <v>0</v>
      </c>
      <c r="J133" s="139">
        <f>VLOOKUP(A133,'Billing Dimensions'!$A:$N,10,FALSE)-VLOOKUP(A133,'Audit Dimensions'!$A:$N,10,FALSE)</f>
        <v>0</v>
      </c>
      <c r="K133" s="140">
        <f>VLOOKUP(A133,'Billing Dimensions'!$A:$N,11,FALSE)-VLOOKUP(A133,'Audit Dimensions'!$A:$N,11,FALSE)</f>
        <v>0</v>
      </c>
      <c r="L133" s="140">
        <f>VLOOKUP(A133,'Billing Dimensions'!$A:$N,12,FALSE)-VLOOKUP(A133,'Audit Dimensions'!$A:$N,12,FALSE)</f>
        <v>0</v>
      </c>
      <c r="M133" s="140">
        <f>VLOOKUP(A133,'Billing Dimensions'!$A:$N,13,FALSE)-VLOOKUP(A133,'Audit Dimensions'!$A:$N,13,FALSE)</f>
        <v>0</v>
      </c>
      <c r="N133" s="140">
        <f>VLOOKUP(A133,'Billing Dimensions'!$A:$N,14,FALSE)-VLOOKUP(A133,'Audit Dimensions'!$A:$N,14,FALSE)</f>
        <v>0</v>
      </c>
      <c r="O133" s="147">
        <f>VLOOKUP(A133,'Billing Dimensions'!A:Q,16,FALSE)-VLOOKUP('Audit VAR'!A133,'Audit Dimensions'!A:P,16,FALSE)</f>
        <v>0</v>
      </c>
      <c r="P133" s="148">
        <f t="shared" si="6"/>
        <v>0</v>
      </c>
      <c r="Q133" s="151">
        <f t="shared" si="7"/>
        <v>0</v>
      </c>
      <c r="R133" s="80" t="e">
        <f t="shared" si="8"/>
        <v>#DIV/0!</v>
      </c>
    </row>
    <row r="134" spans="1:18" ht="14.45" hidden="1" customHeight="1">
      <c r="A134" s="132" t="s">
        <v>208</v>
      </c>
      <c r="B134" s="52" t="str">
        <f>VLOOKUP(A134,'Billing Dimensions'!A:B,2,FALSE)</f>
        <v>SB</v>
      </c>
      <c r="C134" s="136">
        <f>VLOOKUP(A134,'Billing Dimensions'!$A:$N,3,FALSE)-VLOOKUP(A134,'Audit Dimensions'!$A:$N,3,FALSE)</f>
        <v>0</v>
      </c>
      <c r="D134" s="136">
        <f>VLOOKUP(A134,'Billing Dimensions'!$A:$N,4,FALSE)-VLOOKUP(A134,'Audit Dimensions'!$A:$N,4,FALSE)</f>
        <v>0</v>
      </c>
      <c r="E134" s="136">
        <f>VLOOKUP(A134,'Billing Dimensions'!$A:$N,5,FALSE)-VLOOKUP(A134,'Audit Dimensions'!$A:$N,5,FALSE)</f>
        <v>0</v>
      </c>
      <c r="F134" s="137">
        <f>VLOOKUP(A134,'Billing Dimensions'!$A:$N,6,FALSE)-VLOOKUP(A134,'Audit Dimensions'!$A:$N,6,FALSE)</f>
        <v>0</v>
      </c>
      <c r="G134" s="138">
        <f>VLOOKUP(A134,'Billing Dimensions'!$A:$N,7,FALSE)-VLOOKUP(A134,'Audit Dimensions'!$A:$N,7,FALSE)</f>
        <v>0</v>
      </c>
      <c r="H134" s="138">
        <f>VLOOKUP(A134,'Billing Dimensions'!$A:$N,8,FALSE)-VLOOKUP(A134,'Audit Dimensions'!$A:$N,8,FALSE)</f>
        <v>0</v>
      </c>
      <c r="I134" s="138">
        <f>VLOOKUP(A134,'Billing Dimensions'!$A:$N,9,FALSE)-VLOOKUP(A134,'Audit Dimensions'!$A:$N,9,FALSE)</f>
        <v>0</v>
      </c>
      <c r="J134" s="139">
        <f>VLOOKUP(A134,'Billing Dimensions'!$A:$N,10,FALSE)-VLOOKUP(A134,'Audit Dimensions'!$A:$N,10,FALSE)</f>
        <v>0</v>
      </c>
      <c r="K134" s="140">
        <f>VLOOKUP(A134,'Billing Dimensions'!$A:$N,11,FALSE)-VLOOKUP(A134,'Audit Dimensions'!$A:$N,11,FALSE)</f>
        <v>0</v>
      </c>
      <c r="L134" s="140">
        <f>VLOOKUP(A134,'Billing Dimensions'!$A:$N,12,FALSE)-VLOOKUP(A134,'Audit Dimensions'!$A:$N,12,FALSE)</f>
        <v>0</v>
      </c>
      <c r="M134" s="140">
        <f>VLOOKUP(A134,'Billing Dimensions'!$A:$N,13,FALSE)-VLOOKUP(A134,'Audit Dimensions'!$A:$N,13,FALSE)</f>
        <v>0</v>
      </c>
      <c r="N134" s="140">
        <f>VLOOKUP(A134,'Billing Dimensions'!$A:$N,14,FALSE)-VLOOKUP(A134,'Audit Dimensions'!$A:$N,14,FALSE)</f>
        <v>0</v>
      </c>
      <c r="O134" s="147">
        <f>VLOOKUP(A134,'Billing Dimensions'!A:Q,16,FALSE)-VLOOKUP('Audit VAR'!A134,'Audit Dimensions'!A:P,16,FALSE)</f>
        <v>0</v>
      </c>
      <c r="P134" s="148">
        <f t="shared" si="6"/>
        <v>0</v>
      </c>
      <c r="Q134" s="151">
        <f t="shared" si="7"/>
        <v>0</v>
      </c>
      <c r="R134" s="80" t="e">
        <f t="shared" si="8"/>
        <v>#DIV/0!</v>
      </c>
    </row>
    <row r="135" spans="1:18" ht="14.45" hidden="1" customHeight="1">
      <c r="A135" s="132" t="s">
        <v>209</v>
      </c>
      <c r="B135" s="52" t="str">
        <f>VLOOKUP(A135,'Billing Dimensions'!A:B,2,FALSE)</f>
        <v>SB</v>
      </c>
      <c r="C135" s="136">
        <f>VLOOKUP(A135,'Billing Dimensions'!$A:$N,3,FALSE)-VLOOKUP(A135,'Audit Dimensions'!$A:$N,3,FALSE)</f>
        <v>-2</v>
      </c>
      <c r="D135" s="136">
        <f>VLOOKUP(A135,'Billing Dimensions'!$A:$N,4,FALSE)-VLOOKUP(A135,'Audit Dimensions'!$A:$N,4,FALSE)</f>
        <v>-2</v>
      </c>
      <c r="E135" s="136">
        <f>VLOOKUP(A135,'Billing Dimensions'!$A:$N,5,FALSE)-VLOOKUP(A135,'Audit Dimensions'!$A:$N,5,FALSE)</f>
        <v>0</v>
      </c>
      <c r="F135" s="137">
        <f>VLOOKUP(A135,'Billing Dimensions'!$A:$N,6,FALSE)-VLOOKUP(A135,'Audit Dimensions'!$A:$N,6,FALSE)</f>
        <v>35</v>
      </c>
      <c r="G135" s="138">
        <f>VLOOKUP(A135,'Billing Dimensions'!$A:$N,7,FALSE)-VLOOKUP(A135,'Audit Dimensions'!$A:$N,7,FALSE)</f>
        <v>0</v>
      </c>
      <c r="H135" s="138">
        <f>VLOOKUP(A135,'Billing Dimensions'!$A:$N,8,FALSE)-VLOOKUP(A135,'Audit Dimensions'!$A:$N,8,FALSE)</f>
        <v>0</v>
      </c>
      <c r="I135" s="138">
        <f>VLOOKUP(A135,'Billing Dimensions'!$A:$N,9,FALSE)-VLOOKUP(A135,'Audit Dimensions'!$A:$N,9,FALSE)</f>
        <v>0</v>
      </c>
      <c r="J135" s="139">
        <f>VLOOKUP(A135,'Billing Dimensions'!$A:$N,10,FALSE)-VLOOKUP(A135,'Audit Dimensions'!$A:$N,10,FALSE)</f>
        <v>0</v>
      </c>
      <c r="K135" s="140">
        <f>VLOOKUP(A135,'Billing Dimensions'!$A:$N,11,FALSE)-VLOOKUP(A135,'Audit Dimensions'!$A:$N,11,FALSE)</f>
        <v>0</v>
      </c>
      <c r="L135" s="140">
        <f>VLOOKUP(A135,'Billing Dimensions'!$A:$N,12,FALSE)-VLOOKUP(A135,'Audit Dimensions'!$A:$N,12,FALSE)</f>
        <v>0</v>
      </c>
      <c r="M135" s="140">
        <f>VLOOKUP(A135,'Billing Dimensions'!$A:$N,13,FALSE)-VLOOKUP(A135,'Audit Dimensions'!$A:$N,13,FALSE)</f>
        <v>0</v>
      </c>
      <c r="N135" s="140">
        <f>VLOOKUP(A135,'Billing Dimensions'!$A:$N,14,FALSE)-VLOOKUP(A135,'Audit Dimensions'!$A:$N,14,FALSE)</f>
        <v>0</v>
      </c>
      <c r="O135" s="147">
        <f>VLOOKUP(A135,'Billing Dimensions'!A:Q,16,FALSE)-VLOOKUP('Audit VAR'!A135,'Audit Dimensions'!A:P,16,FALSE)</f>
        <v>35</v>
      </c>
      <c r="P135" s="148">
        <f t="shared" si="6"/>
        <v>3.5000000000000003E-2</v>
      </c>
      <c r="Q135" s="151">
        <f t="shared" si="7"/>
        <v>0</v>
      </c>
      <c r="R135" s="80" t="e">
        <f t="shared" si="8"/>
        <v>#DIV/0!</v>
      </c>
    </row>
    <row r="136" spans="1:18" ht="14.45" hidden="1" customHeight="1">
      <c r="A136" s="132" t="s">
        <v>210</v>
      </c>
      <c r="B136" s="52" t="str">
        <f>VLOOKUP(A136,'Billing Dimensions'!A:B,2,FALSE)</f>
        <v>SB</v>
      </c>
      <c r="C136" s="136" t="e">
        <f>VLOOKUP(A136,'Billing Dimensions'!$A:$N,3,FALSE)-VLOOKUP(A136,'Audit Dimensions'!$A:$N,3,FALSE)</f>
        <v>#N/A</v>
      </c>
      <c r="D136" s="136" t="e">
        <f>VLOOKUP(A136,'Billing Dimensions'!$A:$N,4,FALSE)-VLOOKUP(A136,'Audit Dimensions'!$A:$N,4,FALSE)</f>
        <v>#N/A</v>
      </c>
      <c r="E136" s="136" t="e">
        <f>VLOOKUP(A136,'Billing Dimensions'!$A:$N,5,FALSE)-VLOOKUP(A136,'Audit Dimensions'!$A:$N,5,FALSE)</f>
        <v>#N/A</v>
      </c>
      <c r="F136" s="137" t="e">
        <f>VLOOKUP(A136,'Billing Dimensions'!$A:$N,6,FALSE)-VLOOKUP(A136,'Audit Dimensions'!$A:$N,6,FALSE)</f>
        <v>#N/A</v>
      </c>
      <c r="G136" s="138" t="e">
        <f>VLOOKUP(A136,'Billing Dimensions'!$A:$N,7,FALSE)-VLOOKUP(A136,'Audit Dimensions'!$A:$N,7,FALSE)</f>
        <v>#N/A</v>
      </c>
      <c r="H136" s="138" t="e">
        <f>VLOOKUP(A136,'Billing Dimensions'!$A:$N,8,FALSE)-VLOOKUP(A136,'Audit Dimensions'!$A:$N,8,FALSE)</f>
        <v>#N/A</v>
      </c>
      <c r="I136" s="138" t="e">
        <f>VLOOKUP(A136,'Billing Dimensions'!$A:$N,9,FALSE)-VLOOKUP(A136,'Audit Dimensions'!$A:$N,9,FALSE)</f>
        <v>#N/A</v>
      </c>
      <c r="J136" s="139" t="e">
        <f>VLOOKUP(A136,'Billing Dimensions'!$A:$N,10,FALSE)-VLOOKUP(A136,'Audit Dimensions'!$A:$N,10,FALSE)</f>
        <v>#N/A</v>
      </c>
      <c r="K136" s="140" t="e">
        <f>VLOOKUP(A136,'Billing Dimensions'!$A:$N,11,FALSE)-VLOOKUP(A136,'Audit Dimensions'!$A:$N,11,FALSE)</f>
        <v>#N/A</v>
      </c>
      <c r="L136" s="140" t="e">
        <f>VLOOKUP(A136,'Billing Dimensions'!$A:$N,12,FALSE)-VLOOKUP(A136,'Audit Dimensions'!$A:$N,12,FALSE)</f>
        <v>#N/A</v>
      </c>
      <c r="M136" s="140" t="e">
        <f>VLOOKUP(A136,'Billing Dimensions'!$A:$N,13,FALSE)-VLOOKUP(A136,'Audit Dimensions'!$A:$N,13,FALSE)</f>
        <v>#N/A</v>
      </c>
      <c r="N136" s="140" t="e">
        <f>VLOOKUP(A136,'Billing Dimensions'!$A:$N,14,FALSE)-VLOOKUP(A136,'Audit Dimensions'!$A:$N,14,FALSE)</f>
        <v>#N/A</v>
      </c>
      <c r="O136" s="147" t="e">
        <f>VLOOKUP(A136,'Billing Dimensions'!A:Q,16,FALSE)-VLOOKUP('Audit VAR'!A136,'Audit Dimensions'!A:P,16,FALSE)</f>
        <v>#N/A</v>
      </c>
      <c r="P136" s="148" t="e">
        <f t="shared" si="6"/>
        <v>#N/A</v>
      </c>
      <c r="Q136" s="151" t="e">
        <f t="shared" si="7"/>
        <v>#N/A</v>
      </c>
      <c r="R136" s="80" t="e">
        <f t="shared" si="8"/>
        <v>#N/A</v>
      </c>
    </row>
    <row r="137" spans="1:18" ht="14.45" hidden="1" customHeight="1">
      <c r="A137" s="132" t="s">
        <v>364</v>
      </c>
      <c r="B137" s="52" t="e">
        <f>VLOOKUP(A137,'Billing Dimensions'!A:B,2,FALSE)</f>
        <v>#N/A</v>
      </c>
      <c r="C137" s="136" t="e">
        <f>VLOOKUP(A137,'Billing Dimensions'!$A:$N,3,FALSE)-VLOOKUP(A137,'Audit Dimensions'!$A:$N,3,FALSE)</f>
        <v>#N/A</v>
      </c>
      <c r="D137" s="136" t="e">
        <f>VLOOKUP(A137,'Billing Dimensions'!$A:$N,4,FALSE)-VLOOKUP(A137,'Audit Dimensions'!$A:$N,4,FALSE)</f>
        <v>#N/A</v>
      </c>
      <c r="E137" s="136" t="e">
        <f>VLOOKUP(A137,'Billing Dimensions'!$A:$N,5,FALSE)-VLOOKUP(A137,'Audit Dimensions'!$A:$N,5,FALSE)</f>
        <v>#N/A</v>
      </c>
      <c r="F137" s="137" t="e">
        <f>VLOOKUP(A137,'Billing Dimensions'!$A:$N,6,FALSE)-VLOOKUP(A137,'Audit Dimensions'!$A:$N,6,FALSE)</f>
        <v>#N/A</v>
      </c>
      <c r="G137" s="138" t="e">
        <f>VLOOKUP(A137,'Billing Dimensions'!$A:$N,7,FALSE)-VLOOKUP(A137,'Audit Dimensions'!$A:$N,7,FALSE)</f>
        <v>#N/A</v>
      </c>
      <c r="H137" s="138" t="e">
        <f>VLOOKUP(A137,'Billing Dimensions'!$A:$N,8,FALSE)-VLOOKUP(A137,'Audit Dimensions'!$A:$N,8,FALSE)</f>
        <v>#N/A</v>
      </c>
      <c r="I137" s="138" t="e">
        <f>VLOOKUP(A137,'Billing Dimensions'!$A:$N,9,FALSE)-VLOOKUP(A137,'Audit Dimensions'!$A:$N,9,FALSE)</f>
        <v>#N/A</v>
      </c>
      <c r="J137" s="139" t="e">
        <f>VLOOKUP(A137,'Billing Dimensions'!$A:$N,10,FALSE)-VLOOKUP(A137,'Audit Dimensions'!$A:$N,10,FALSE)</f>
        <v>#N/A</v>
      </c>
      <c r="K137" s="140" t="e">
        <f>VLOOKUP(A137,'Billing Dimensions'!$A:$N,11,FALSE)-VLOOKUP(A137,'Audit Dimensions'!$A:$N,11,FALSE)</f>
        <v>#N/A</v>
      </c>
      <c r="L137" s="140" t="e">
        <f>VLOOKUP(A137,'Billing Dimensions'!$A:$N,12,FALSE)-VLOOKUP(A137,'Audit Dimensions'!$A:$N,12,FALSE)</f>
        <v>#N/A</v>
      </c>
      <c r="M137" s="140" t="e">
        <f>VLOOKUP(A137,'Billing Dimensions'!$A:$N,13,FALSE)-VLOOKUP(A137,'Audit Dimensions'!$A:$N,13,FALSE)</f>
        <v>#N/A</v>
      </c>
      <c r="N137" s="140" t="e">
        <f>VLOOKUP(A137,'Billing Dimensions'!$A:$N,14,FALSE)-VLOOKUP(A137,'Audit Dimensions'!$A:$N,14,FALSE)</f>
        <v>#N/A</v>
      </c>
      <c r="O137" s="147" t="e">
        <f>VLOOKUP(A137,'Billing Dimensions'!A:Q,16,FALSE)-VLOOKUP('Audit VAR'!A137,'Audit Dimensions'!A:P,16,FALSE)</f>
        <v>#N/A</v>
      </c>
      <c r="P137" s="148" t="e">
        <f t="shared" si="6"/>
        <v>#N/A</v>
      </c>
      <c r="Q137" s="151" t="e">
        <f t="shared" si="7"/>
        <v>#N/A</v>
      </c>
      <c r="R137" s="80" t="e">
        <f t="shared" si="8"/>
        <v>#N/A</v>
      </c>
    </row>
    <row r="138" spans="1:18" ht="14.45" hidden="1" customHeight="1">
      <c r="A138" s="132" t="s">
        <v>365</v>
      </c>
      <c r="B138" s="52" t="e">
        <f>VLOOKUP(A138,'Billing Dimensions'!A:B,2,FALSE)</f>
        <v>#N/A</v>
      </c>
      <c r="C138" s="136" t="e">
        <f>VLOOKUP(A138,'Billing Dimensions'!$A:$N,3,FALSE)-VLOOKUP(A138,'Audit Dimensions'!$A:$N,3,FALSE)</f>
        <v>#N/A</v>
      </c>
      <c r="D138" s="136" t="e">
        <f>VLOOKUP(A138,'Billing Dimensions'!$A:$N,4,FALSE)-VLOOKUP(A138,'Audit Dimensions'!$A:$N,4,FALSE)</f>
        <v>#N/A</v>
      </c>
      <c r="E138" s="136" t="e">
        <f>VLOOKUP(A138,'Billing Dimensions'!$A:$N,5,FALSE)-VLOOKUP(A138,'Audit Dimensions'!$A:$N,5,FALSE)</f>
        <v>#N/A</v>
      </c>
      <c r="F138" s="137" t="e">
        <f>VLOOKUP(A138,'Billing Dimensions'!$A:$N,6,FALSE)-VLOOKUP(A138,'Audit Dimensions'!$A:$N,6,FALSE)</f>
        <v>#N/A</v>
      </c>
      <c r="G138" s="138" t="e">
        <f>VLOOKUP(A138,'Billing Dimensions'!$A:$N,7,FALSE)-VLOOKUP(A138,'Audit Dimensions'!$A:$N,7,FALSE)</f>
        <v>#N/A</v>
      </c>
      <c r="H138" s="138" t="e">
        <f>VLOOKUP(A138,'Billing Dimensions'!$A:$N,8,FALSE)-VLOOKUP(A138,'Audit Dimensions'!$A:$N,8,FALSE)</f>
        <v>#N/A</v>
      </c>
      <c r="I138" s="138" t="e">
        <f>VLOOKUP(A138,'Billing Dimensions'!$A:$N,9,FALSE)-VLOOKUP(A138,'Audit Dimensions'!$A:$N,9,FALSE)</f>
        <v>#N/A</v>
      </c>
      <c r="J138" s="139" t="e">
        <f>VLOOKUP(A138,'Billing Dimensions'!$A:$N,10,FALSE)-VLOOKUP(A138,'Audit Dimensions'!$A:$N,10,FALSE)</f>
        <v>#N/A</v>
      </c>
      <c r="K138" s="140" t="e">
        <f>VLOOKUP(A138,'Billing Dimensions'!$A:$N,11,FALSE)-VLOOKUP(A138,'Audit Dimensions'!$A:$N,11,FALSE)</f>
        <v>#N/A</v>
      </c>
      <c r="L138" s="140" t="e">
        <f>VLOOKUP(A138,'Billing Dimensions'!$A:$N,12,FALSE)-VLOOKUP(A138,'Audit Dimensions'!$A:$N,12,FALSE)</f>
        <v>#N/A</v>
      </c>
      <c r="M138" s="140" t="e">
        <f>VLOOKUP(A138,'Billing Dimensions'!$A:$N,13,FALSE)-VLOOKUP(A138,'Audit Dimensions'!$A:$N,13,FALSE)</f>
        <v>#N/A</v>
      </c>
      <c r="N138" s="140" t="e">
        <f>VLOOKUP(A138,'Billing Dimensions'!$A:$N,14,FALSE)-VLOOKUP(A138,'Audit Dimensions'!$A:$N,14,FALSE)</f>
        <v>#N/A</v>
      </c>
      <c r="O138" s="147" t="e">
        <f>VLOOKUP(A138,'Billing Dimensions'!A:Q,16,FALSE)-VLOOKUP('Audit VAR'!A138,'Audit Dimensions'!A:P,16,FALSE)</f>
        <v>#N/A</v>
      </c>
      <c r="P138" s="148" t="e">
        <f t="shared" si="6"/>
        <v>#N/A</v>
      </c>
      <c r="Q138" s="151" t="e">
        <f t="shared" si="7"/>
        <v>#N/A</v>
      </c>
      <c r="R138" s="80" t="e">
        <f t="shared" si="8"/>
        <v>#N/A</v>
      </c>
    </row>
    <row r="139" spans="1:18" ht="14.45" hidden="1" customHeight="1">
      <c r="A139" s="132" t="s">
        <v>213</v>
      </c>
      <c r="B139" s="52" t="str">
        <f>VLOOKUP(A139,'Billing Dimensions'!A:B,2,FALSE)</f>
        <v>SB</v>
      </c>
      <c r="C139" s="136" t="e">
        <f>VLOOKUP(A139,'Billing Dimensions'!$A:$N,3,FALSE)-VLOOKUP(A139,'Audit Dimensions'!$A:$N,3,FALSE)</f>
        <v>#N/A</v>
      </c>
      <c r="D139" s="136" t="e">
        <f>VLOOKUP(A139,'Billing Dimensions'!$A:$N,4,FALSE)-VLOOKUP(A139,'Audit Dimensions'!$A:$N,4,FALSE)</f>
        <v>#N/A</v>
      </c>
      <c r="E139" s="136" t="e">
        <f>VLOOKUP(A139,'Billing Dimensions'!$A:$N,5,FALSE)-VLOOKUP(A139,'Audit Dimensions'!$A:$N,5,FALSE)</f>
        <v>#N/A</v>
      </c>
      <c r="F139" s="137" t="e">
        <f>VLOOKUP(A139,'Billing Dimensions'!$A:$N,6,FALSE)-VLOOKUP(A139,'Audit Dimensions'!$A:$N,6,FALSE)</f>
        <v>#N/A</v>
      </c>
      <c r="G139" s="138" t="e">
        <f>VLOOKUP(A139,'Billing Dimensions'!$A:$N,7,FALSE)-VLOOKUP(A139,'Audit Dimensions'!$A:$N,7,FALSE)</f>
        <v>#N/A</v>
      </c>
      <c r="H139" s="138" t="e">
        <f>VLOOKUP(A139,'Billing Dimensions'!$A:$N,8,FALSE)-VLOOKUP(A139,'Audit Dimensions'!$A:$N,8,FALSE)</f>
        <v>#N/A</v>
      </c>
      <c r="I139" s="138" t="e">
        <f>VLOOKUP(A139,'Billing Dimensions'!$A:$N,9,FALSE)-VLOOKUP(A139,'Audit Dimensions'!$A:$N,9,FALSE)</f>
        <v>#N/A</v>
      </c>
      <c r="J139" s="139" t="e">
        <f>VLOOKUP(A139,'Billing Dimensions'!$A:$N,10,FALSE)-VLOOKUP(A139,'Audit Dimensions'!$A:$N,10,FALSE)</f>
        <v>#N/A</v>
      </c>
      <c r="K139" s="140" t="e">
        <f>VLOOKUP(A139,'Billing Dimensions'!$A:$N,11,FALSE)-VLOOKUP(A139,'Audit Dimensions'!$A:$N,11,FALSE)</f>
        <v>#N/A</v>
      </c>
      <c r="L139" s="140" t="e">
        <f>VLOOKUP(A139,'Billing Dimensions'!$A:$N,12,FALSE)-VLOOKUP(A139,'Audit Dimensions'!$A:$N,12,FALSE)</f>
        <v>#N/A</v>
      </c>
      <c r="M139" s="140" t="e">
        <f>VLOOKUP(A139,'Billing Dimensions'!$A:$N,13,FALSE)-VLOOKUP(A139,'Audit Dimensions'!$A:$N,13,FALSE)</f>
        <v>#N/A</v>
      </c>
      <c r="N139" s="140" t="e">
        <f>VLOOKUP(A139,'Billing Dimensions'!$A:$N,14,FALSE)-VLOOKUP(A139,'Audit Dimensions'!$A:$N,14,FALSE)</f>
        <v>#N/A</v>
      </c>
      <c r="O139" s="147" t="e">
        <f>VLOOKUP(A139,'Billing Dimensions'!A:Q,16,FALSE)-VLOOKUP('Audit VAR'!A139,'Audit Dimensions'!A:P,16,FALSE)</f>
        <v>#N/A</v>
      </c>
      <c r="P139" s="148" t="e">
        <f t="shared" si="6"/>
        <v>#N/A</v>
      </c>
      <c r="Q139" s="151" t="e">
        <f t="shared" si="7"/>
        <v>#N/A</v>
      </c>
      <c r="R139" s="80" t="e">
        <f t="shared" si="8"/>
        <v>#N/A</v>
      </c>
    </row>
    <row r="140" spans="1:18" ht="14.45" hidden="1" customHeight="1">
      <c r="A140" s="132" t="s">
        <v>214</v>
      </c>
      <c r="B140" s="52" t="str">
        <f>VLOOKUP(A140,'Billing Dimensions'!A:B,2,FALSE)</f>
        <v>SB</v>
      </c>
      <c r="C140" s="136">
        <f>VLOOKUP(A140,'Billing Dimensions'!$A:$N,3,FALSE)-VLOOKUP(A140,'Audit Dimensions'!$A:$N,3,FALSE)</f>
        <v>0</v>
      </c>
      <c r="D140" s="136">
        <f>VLOOKUP(A140,'Billing Dimensions'!$A:$N,4,FALSE)-VLOOKUP(A140,'Audit Dimensions'!$A:$N,4,FALSE)</f>
        <v>-2</v>
      </c>
      <c r="E140" s="136">
        <f>VLOOKUP(A140,'Billing Dimensions'!$A:$N,5,FALSE)-VLOOKUP(A140,'Audit Dimensions'!$A:$N,5,FALSE)</f>
        <v>-1</v>
      </c>
      <c r="F140" s="137">
        <f>VLOOKUP(A140,'Billing Dimensions'!$A:$N,6,FALSE)-VLOOKUP(A140,'Audit Dimensions'!$A:$N,6,FALSE)</f>
        <v>-1255</v>
      </c>
      <c r="G140" s="138">
        <f>VLOOKUP(A140,'Billing Dimensions'!$A:$N,7,FALSE)-VLOOKUP(A140,'Audit Dimensions'!$A:$N,7,FALSE)</f>
        <v>0</v>
      </c>
      <c r="H140" s="138">
        <f>VLOOKUP(A140,'Billing Dimensions'!$A:$N,8,FALSE)-VLOOKUP(A140,'Audit Dimensions'!$A:$N,8,FALSE)</f>
        <v>0</v>
      </c>
      <c r="I140" s="138">
        <f>VLOOKUP(A140,'Billing Dimensions'!$A:$N,9,FALSE)-VLOOKUP(A140,'Audit Dimensions'!$A:$N,9,FALSE)</f>
        <v>0</v>
      </c>
      <c r="J140" s="139">
        <f>VLOOKUP(A140,'Billing Dimensions'!$A:$N,10,FALSE)-VLOOKUP(A140,'Audit Dimensions'!$A:$N,10,FALSE)</f>
        <v>0</v>
      </c>
      <c r="K140" s="140">
        <f>VLOOKUP(A140,'Billing Dimensions'!$A:$N,11,FALSE)-VLOOKUP(A140,'Audit Dimensions'!$A:$N,11,FALSE)</f>
        <v>0</v>
      </c>
      <c r="L140" s="140">
        <f>VLOOKUP(A140,'Billing Dimensions'!$A:$N,12,FALSE)-VLOOKUP(A140,'Audit Dimensions'!$A:$N,12,FALSE)</f>
        <v>0</v>
      </c>
      <c r="M140" s="140">
        <f>VLOOKUP(A140,'Billing Dimensions'!$A:$N,13,FALSE)-VLOOKUP(A140,'Audit Dimensions'!$A:$N,13,FALSE)</f>
        <v>0</v>
      </c>
      <c r="N140" s="140">
        <f>VLOOKUP(A140,'Billing Dimensions'!$A:$N,14,FALSE)-VLOOKUP(A140,'Audit Dimensions'!$A:$N,14,FALSE)</f>
        <v>0</v>
      </c>
      <c r="O140" s="147">
        <f>VLOOKUP(A140,'Billing Dimensions'!A:Q,16,FALSE)-VLOOKUP('Audit VAR'!A140,'Audit Dimensions'!A:P,16,FALSE)</f>
        <v>-1255</v>
      </c>
      <c r="P140" s="148">
        <f t="shared" si="6"/>
        <v>-1.2549999999999999</v>
      </c>
      <c r="Q140" s="151">
        <f t="shared" si="7"/>
        <v>0</v>
      </c>
      <c r="R140" s="80" t="e">
        <f t="shared" si="8"/>
        <v>#DIV/0!</v>
      </c>
    </row>
    <row r="141" spans="1:18" ht="14.45" hidden="1" customHeight="1">
      <c r="A141" s="132" t="s">
        <v>215</v>
      </c>
      <c r="B141" s="52" t="str">
        <f>VLOOKUP(A141,'Billing Dimensions'!A:B,2,FALSE)</f>
        <v>SB</v>
      </c>
      <c r="C141" s="136" t="e">
        <f>VLOOKUP(A141,'Billing Dimensions'!$A:$N,3,FALSE)-VLOOKUP(A141,'Audit Dimensions'!$A:$N,3,FALSE)</f>
        <v>#N/A</v>
      </c>
      <c r="D141" s="136" t="e">
        <f>VLOOKUP(A141,'Billing Dimensions'!$A:$N,4,FALSE)-VLOOKUP(A141,'Audit Dimensions'!$A:$N,4,FALSE)</f>
        <v>#N/A</v>
      </c>
      <c r="E141" s="136" t="e">
        <f>VLOOKUP(A141,'Billing Dimensions'!$A:$N,5,FALSE)-VLOOKUP(A141,'Audit Dimensions'!$A:$N,5,FALSE)</f>
        <v>#N/A</v>
      </c>
      <c r="F141" s="137" t="e">
        <f>VLOOKUP(A141,'Billing Dimensions'!$A:$N,6,FALSE)-VLOOKUP(A141,'Audit Dimensions'!$A:$N,6,FALSE)</f>
        <v>#N/A</v>
      </c>
      <c r="G141" s="138" t="e">
        <f>VLOOKUP(A141,'Billing Dimensions'!$A:$N,7,FALSE)-VLOOKUP(A141,'Audit Dimensions'!$A:$N,7,FALSE)</f>
        <v>#N/A</v>
      </c>
      <c r="H141" s="138" t="e">
        <f>VLOOKUP(A141,'Billing Dimensions'!$A:$N,8,FALSE)-VLOOKUP(A141,'Audit Dimensions'!$A:$N,8,FALSE)</f>
        <v>#N/A</v>
      </c>
      <c r="I141" s="138" t="e">
        <f>VLOOKUP(A141,'Billing Dimensions'!$A:$N,9,FALSE)-VLOOKUP(A141,'Audit Dimensions'!$A:$N,9,FALSE)</f>
        <v>#N/A</v>
      </c>
      <c r="J141" s="139" t="e">
        <f>VLOOKUP(A141,'Billing Dimensions'!$A:$N,10,FALSE)-VLOOKUP(A141,'Audit Dimensions'!$A:$N,10,FALSE)</f>
        <v>#N/A</v>
      </c>
      <c r="K141" s="140" t="e">
        <f>VLOOKUP(A141,'Billing Dimensions'!$A:$N,11,FALSE)-VLOOKUP(A141,'Audit Dimensions'!$A:$N,11,FALSE)</f>
        <v>#N/A</v>
      </c>
      <c r="L141" s="140" t="e">
        <f>VLOOKUP(A141,'Billing Dimensions'!$A:$N,12,FALSE)-VLOOKUP(A141,'Audit Dimensions'!$A:$N,12,FALSE)</f>
        <v>#N/A</v>
      </c>
      <c r="M141" s="140" t="e">
        <f>VLOOKUP(A141,'Billing Dimensions'!$A:$N,13,FALSE)-VLOOKUP(A141,'Audit Dimensions'!$A:$N,13,FALSE)</f>
        <v>#N/A</v>
      </c>
      <c r="N141" s="140" t="e">
        <f>VLOOKUP(A141,'Billing Dimensions'!$A:$N,14,FALSE)-VLOOKUP(A141,'Audit Dimensions'!$A:$N,14,FALSE)</f>
        <v>#N/A</v>
      </c>
      <c r="O141" s="147" t="e">
        <f>VLOOKUP(A141,'Billing Dimensions'!A:Q,16,FALSE)-VLOOKUP('Audit VAR'!A141,'Audit Dimensions'!A:P,16,FALSE)</f>
        <v>#N/A</v>
      </c>
      <c r="P141" s="148" t="e">
        <f t="shared" si="6"/>
        <v>#N/A</v>
      </c>
      <c r="Q141" s="151" t="e">
        <f t="shared" si="7"/>
        <v>#N/A</v>
      </c>
      <c r="R141" s="80" t="e">
        <f t="shared" si="8"/>
        <v>#N/A</v>
      </c>
    </row>
    <row r="142" spans="1:18" ht="14.45" hidden="1" customHeight="1">
      <c r="A142" s="132" t="s">
        <v>216</v>
      </c>
      <c r="B142" s="52" t="str">
        <f>VLOOKUP(A142,'Billing Dimensions'!A:B,2,FALSE)</f>
        <v>SB</v>
      </c>
      <c r="C142" s="136">
        <f>VLOOKUP(A142,'Billing Dimensions'!$A:$N,3,FALSE)-VLOOKUP(A142,'Audit Dimensions'!$A:$N,3,FALSE)</f>
        <v>-1</v>
      </c>
      <c r="D142" s="136">
        <f>VLOOKUP(A142,'Billing Dimensions'!$A:$N,4,FALSE)-VLOOKUP(A142,'Audit Dimensions'!$A:$N,4,FALSE)</f>
        <v>1</v>
      </c>
      <c r="E142" s="136">
        <f>VLOOKUP(A142,'Billing Dimensions'!$A:$N,5,FALSE)-VLOOKUP(A142,'Audit Dimensions'!$A:$N,5,FALSE)</f>
        <v>0</v>
      </c>
      <c r="F142" s="137">
        <f>VLOOKUP(A142,'Billing Dimensions'!$A:$N,6,FALSE)-VLOOKUP(A142,'Audit Dimensions'!$A:$N,6,FALSE)</f>
        <v>1585</v>
      </c>
      <c r="G142" s="138">
        <f>VLOOKUP(A142,'Billing Dimensions'!$A:$N,7,FALSE)-VLOOKUP(A142,'Audit Dimensions'!$A:$N,7,FALSE)</f>
        <v>0</v>
      </c>
      <c r="H142" s="138">
        <f>VLOOKUP(A142,'Billing Dimensions'!$A:$N,8,FALSE)-VLOOKUP(A142,'Audit Dimensions'!$A:$N,8,FALSE)</f>
        <v>0</v>
      </c>
      <c r="I142" s="138">
        <f>VLOOKUP(A142,'Billing Dimensions'!$A:$N,9,FALSE)-VLOOKUP(A142,'Audit Dimensions'!$A:$N,9,FALSE)</f>
        <v>0</v>
      </c>
      <c r="J142" s="139">
        <f>VLOOKUP(A142,'Billing Dimensions'!$A:$N,10,FALSE)-VLOOKUP(A142,'Audit Dimensions'!$A:$N,10,FALSE)</f>
        <v>0</v>
      </c>
      <c r="K142" s="140">
        <f>VLOOKUP(A142,'Billing Dimensions'!$A:$N,11,FALSE)-VLOOKUP(A142,'Audit Dimensions'!$A:$N,11,FALSE)</f>
        <v>0</v>
      </c>
      <c r="L142" s="140">
        <f>VLOOKUP(A142,'Billing Dimensions'!$A:$N,12,FALSE)-VLOOKUP(A142,'Audit Dimensions'!$A:$N,12,FALSE)</f>
        <v>0</v>
      </c>
      <c r="M142" s="140">
        <f>VLOOKUP(A142,'Billing Dimensions'!$A:$N,13,FALSE)-VLOOKUP(A142,'Audit Dimensions'!$A:$N,13,FALSE)</f>
        <v>0</v>
      </c>
      <c r="N142" s="140">
        <f>VLOOKUP(A142,'Billing Dimensions'!$A:$N,14,FALSE)-VLOOKUP(A142,'Audit Dimensions'!$A:$N,14,FALSE)</f>
        <v>0</v>
      </c>
      <c r="O142" s="147">
        <f>VLOOKUP(A142,'Billing Dimensions'!A:Q,16,FALSE)-VLOOKUP('Audit VAR'!A142,'Audit Dimensions'!A:P,16,FALSE)</f>
        <v>1585</v>
      </c>
      <c r="P142" s="148">
        <f t="shared" si="6"/>
        <v>1.585</v>
      </c>
      <c r="Q142" s="151">
        <f t="shared" si="7"/>
        <v>0</v>
      </c>
      <c r="R142" s="80" t="e">
        <f t="shared" si="8"/>
        <v>#DIV/0!</v>
      </c>
    </row>
    <row r="143" spans="1:18" ht="14.45" hidden="1" customHeight="1">
      <c r="A143" s="132" t="s">
        <v>391</v>
      </c>
      <c r="B143" s="52" t="e">
        <f>VLOOKUP(A143,'Billing Dimensions'!A:B,2,FALSE)</f>
        <v>#N/A</v>
      </c>
      <c r="C143" s="136" t="e">
        <f>VLOOKUP(A143,'Billing Dimensions'!$A:$N,3,FALSE)-VLOOKUP(A143,'Audit Dimensions'!$A:$N,3,FALSE)</f>
        <v>#N/A</v>
      </c>
      <c r="D143" s="136" t="e">
        <f>VLOOKUP(A143,'Billing Dimensions'!$A:$N,4,FALSE)-VLOOKUP(A143,'Audit Dimensions'!$A:$N,4,FALSE)</f>
        <v>#N/A</v>
      </c>
      <c r="E143" s="136" t="e">
        <f>VLOOKUP(A143,'Billing Dimensions'!$A:$N,5,FALSE)-VLOOKUP(A143,'Audit Dimensions'!$A:$N,5,FALSE)</f>
        <v>#N/A</v>
      </c>
      <c r="F143" s="137" t="e">
        <f>VLOOKUP(A143,'Billing Dimensions'!$A:$N,6,FALSE)-VLOOKUP(A143,'Audit Dimensions'!$A:$N,6,FALSE)</f>
        <v>#N/A</v>
      </c>
      <c r="G143" s="138" t="e">
        <f>VLOOKUP(A143,'Billing Dimensions'!$A:$N,7,FALSE)-VLOOKUP(A143,'Audit Dimensions'!$A:$N,7,FALSE)</f>
        <v>#N/A</v>
      </c>
      <c r="H143" s="138" t="e">
        <f>VLOOKUP(A143,'Billing Dimensions'!$A:$N,8,FALSE)-VLOOKUP(A143,'Audit Dimensions'!$A:$N,8,FALSE)</f>
        <v>#N/A</v>
      </c>
      <c r="I143" s="138" t="e">
        <f>VLOOKUP(A143,'Billing Dimensions'!$A:$N,9,FALSE)-VLOOKUP(A143,'Audit Dimensions'!$A:$N,9,FALSE)</f>
        <v>#N/A</v>
      </c>
      <c r="J143" s="139" t="e">
        <f>VLOOKUP(A143,'Billing Dimensions'!$A:$N,10,FALSE)-VLOOKUP(A143,'Audit Dimensions'!$A:$N,10,FALSE)</f>
        <v>#N/A</v>
      </c>
      <c r="K143" s="140" t="e">
        <f>VLOOKUP(A143,'Billing Dimensions'!$A:$N,11,FALSE)-VLOOKUP(A143,'Audit Dimensions'!$A:$N,11,FALSE)</f>
        <v>#N/A</v>
      </c>
      <c r="L143" s="140" t="e">
        <f>VLOOKUP(A143,'Billing Dimensions'!$A:$N,12,FALSE)-VLOOKUP(A143,'Audit Dimensions'!$A:$N,12,FALSE)</f>
        <v>#N/A</v>
      </c>
      <c r="M143" s="140" t="e">
        <f>VLOOKUP(A143,'Billing Dimensions'!$A:$N,13,FALSE)-VLOOKUP(A143,'Audit Dimensions'!$A:$N,13,FALSE)</f>
        <v>#N/A</v>
      </c>
      <c r="N143" s="140" t="e">
        <f>VLOOKUP(A143,'Billing Dimensions'!$A:$N,14,FALSE)-VLOOKUP(A143,'Audit Dimensions'!$A:$N,14,FALSE)</f>
        <v>#N/A</v>
      </c>
      <c r="O143" s="147" t="e">
        <f>VLOOKUP(A143,'Billing Dimensions'!A:Q,16,FALSE)-VLOOKUP('Audit VAR'!A143,'Audit Dimensions'!A:P,16,FALSE)</f>
        <v>#N/A</v>
      </c>
      <c r="P143" s="148" t="e">
        <f t="shared" si="6"/>
        <v>#N/A</v>
      </c>
      <c r="Q143" s="151" t="e">
        <f t="shared" si="7"/>
        <v>#N/A</v>
      </c>
      <c r="R143" s="80" t="e">
        <f t="shared" si="8"/>
        <v>#N/A</v>
      </c>
    </row>
    <row r="144" spans="1:18" ht="14.45" hidden="1" customHeight="1">
      <c r="A144" s="132" t="s">
        <v>218</v>
      </c>
      <c r="B144" s="52" t="str">
        <f>VLOOKUP(A144,'Billing Dimensions'!A:B,2,FALSE)</f>
        <v>SB</v>
      </c>
      <c r="C144" s="136" t="e">
        <f>VLOOKUP(A144,'Billing Dimensions'!$A:$N,3,FALSE)-VLOOKUP(A144,'Audit Dimensions'!$A:$N,3,FALSE)</f>
        <v>#N/A</v>
      </c>
      <c r="D144" s="136" t="e">
        <f>VLOOKUP(A144,'Billing Dimensions'!$A:$N,4,FALSE)-VLOOKUP(A144,'Audit Dimensions'!$A:$N,4,FALSE)</f>
        <v>#N/A</v>
      </c>
      <c r="E144" s="136" t="e">
        <f>VLOOKUP(A144,'Billing Dimensions'!$A:$N,5,FALSE)-VLOOKUP(A144,'Audit Dimensions'!$A:$N,5,FALSE)</f>
        <v>#N/A</v>
      </c>
      <c r="F144" s="137" t="e">
        <f>VLOOKUP(A144,'Billing Dimensions'!$A:$N,6,FALSE)-VLOOKUP(A144,'Audit Dimensions'!$A:$N,6,FALSE)</f>
        <v>#N/A</v>
      </c>
      <c r="G144" s="138" t="e">
        <f>VLOOKUP(A144,'Billing Dimensions'!$A:$N,7,FALSE)-VLOOKUP(A144,'Audit Dimensions'!$A:$N,7,FALSE)</f>
        <v>#N/A</v>
      </c>
      <c r="H144" s="138" t="e">
        <f>VLOOKUP(A144,'Billing Dimensions'!$A:$N,8,FALSE)-VLOOKUP(A144,'Audit Dimensions'!$A:$N,8,FALSE)</f>
        <v>#N/A</v>
      </c>
      <c r="I144" s="138" t="e">
        <f>VLOOKUP(A144,'Billing Dimensions'!$A:$N,9,FALSE)-VLOOKUP(A144,'Audit Dimensions'!$A:$N,9,FALSE)</f>
        <v>#N/A</v>
      </c>
      <c r="J144" s="139" t="e">
        <f>VLOOKUP(A144,'Billing Dimensions'!$A:$N,10,FALSE)-VLOOKUP(A144,'Audit Dimensions'!$A:$N,10,FALSE)</f>
        <v>#N/A</v>
      </c>
      <c r="K144" s="140" t="e">
        <f>VLOOKUP(A144,'Billing Dimensions'!$A:$N,11,FALSE)-VLOOKUP(A144,'Audit Dimensions'!$A:$N,11,FALSE)</f>
        <v>#N/A</v>
      </c>
      <c r="L144" s="140" t="e">
        <f>VLOOKUP(A144,'Billing Dimensions'!$A:$N,12,FALSE)-VLOOKUP(A144,'Audit Dimensions'!$A:$N,12,FALSE)</f>
        <v>#N/A</v>
      </c>
      <c r="M144" s="140" t="e">
        <f>VLOOKUP(A144,'Billing Dimensions'!$A:$N,13,FALSE)-VLOOKUP(A144,'Audit Dimensions'!$A:$N,13,FALSE)</f>
        <v>#N/A</v>
      </c>
      <c r="N144" s="140" t="e">
        <f>VLOOKUP(A144,'Billing Dimensions'!$A:$N,14,FALSE)-VLOOKUP(A144,'Audit Dimensions'!$A:$N,14,FALSE)</f>
        <v>#N/A</v>
      </c>
      <c r="O144" s="147" t="e">
        <f>VLOOKUP(A144,'Billing Dimensions'!A:Q,16,FALSE)-VLOOKUP('Audit VAR'!A144,'Audit Dimensions'!A:P,16,FALSE)</f>
        <v>#N/A</v>
      </c>
      <c r="P144" s="148" t="e">
        <f t="shared" si="6"/>
        <v>#N/A</v>
      </c>
      <c r="Q144" s="151" t="e">
        <f t="shared" si="7"/>
        <v>#N/A</v>
      </c>
      <c r="R144" s="80" t="e">
        <f t="shared" si="8"/>
        <v>#N/A</v>
      </c>
    </row>
    <row r="145" spans="1:18" ht="14.45" hidden="1" customHeight="1">
      <c r="A145" s="132" t="s">
        <v>219</v>
      </c>
      <c r="B145" s="52" t="str">
        <f>VLOOKUP(A145,'Billing Dimensions'!A:B,2,FALSE)</f>
        <v>SB</v>
      </c>
      <c r="C145" s="136">
        <f>VLOOKUP(A145,'Billing Dimensions'!$A:$N,3,FALSE)-VLOOKUP(A145,'Audit Dimensions'!$A:$N,3,FALSE)</f>
        <v>-2</v>
      </c>
      <c r="D145" s="136">
        <f>VLOOKUP(A145,'Billing Dimensions'!$A:$N,4,FALSE)-VLOOKUP(A145,'Audit Dimensions'!$A:$N,4,FALSE)</f>
        <v>0</v>
      </c>
      <c r="E145" s="136">
        <f>VLOOKUP(A145,'Billing Dimensions'!$A:$N,5,FALSE)-VLOOKUP(A145,'Audit Dimensions'!$A:$N,5,FALSE)</f>
        <v>-1</v>
      </c>
      <c r="F145" s="137">
        <f>VLOOKUP(A145,'Billing Dimensions'!$A:$N,6,FALSE)-VLOOKUP(A145,'Audit Dimensions'!$A:$N,6,FALSE)</f>
        <v>100</v>
      </c>
      <c r="G145" s="138">
        <f>VLOOKUP(A145,'Billing Dimensions'!$A:$N,7,FALSE)-VLOOKUP(A145,'Audit Dimensions'!$A:$N,7,FALSE)</f>
        <v>0</v>
      </c>
      <c r="H145" s="138">
        <f>VLOOKUP(A145,'Billing Dimensions'!$A:$N,8,FALSE)-VLOOKUP(A145,'Audit Dimensions'!$A:$N,8,FALSE)</f>
        <v>0</v>
      </c>
      <c r="I145" s="138">
        <f>VLOOKUP(A145,'Billing Dimensions'!$A:$N,9,FALSE)-VLOOKUP(A145,'Audit Dimensions'!$A:$N,9,FALSE)</f>
        <v>0</v>
      </c>
      <c r="J145" s="139">
        <f>VLOOKUP(A145,'Billing Dimensions'!$A:$N,10,FALSE)-VLOOKUP(A145,'Audit Dimensions'!$A:$N,10,FALSE)</f>
        <v>0</v>
      </c>
      <c r="K145" s="140">
        <f>VLOOKUP(A145,'Billing Dimensions'!$A:$N,11,FALSE)-VLOOKUP(A145,'Audit Dimensions'!$A:$N,11,FALSE)</f>
        <v>0</v>
      </c>
      <c r="L145" s="140">
        <f>VLOOKUP(A145,'Billing Dimensions'!$A:$N,12,FALSE)-VLOOKUP(A145,'Audit Dimensions'!$A:$N,12,FALSE)</f>
        <v>0</v>
      </c>
      <c r="M145" s="140">
        <f>VLOOKUP(A145,'Billing Dimensions'!$A:$N,13,FALSE)-VLOOKUP(A145,'Audit Dimensions'!$A:$N,13,FALSE)</f>
        <v>0</v>
      </c>
      <c r="N145" s="140">
        <f>VLOOKUP(A145,'Billing Dimensions'!$A:$N,14,FALSE)-VLOOKUP(A145,'Audit Dimensions'!$A:$N,14,FALSE)</f>
        <v>0</v>
      </c>
      <c r="O145" s="147">
        <f>VLOOKUP(A145,'Billing Dimensions'!A:Q,16,FALSE)-VLOOKUP('Audit VAR'!A145,'Audit Dimensions'!A:P,16,FALSE)</f>
        <v>100</v>
      </c>
      <c r="P145" s="148">
        <f t="shared" si="6"/>
        <v>0.1</v>
      </c>
      <c r="Q145" s="151">
        <f t="shared" si="7"/>
        <v>0</v>
      </c>
      <c r="R145" s="80" t="e">
        <f t="shared" si="8"/>
        <v>#DIV/0!</v>
      </c>
    </row>
    <row r="146" spans="1:18" ht="14.45" hidden="1" customHeight="1">
      <c r="A146" s="132" t="s">
        <v>220</v>
      </c>
      <c r="B146" s="52" t="str">
        <f>VLOOKUP(A146,'Billing Dimensions'!A:B,2,FALSE)</f>
        <v>SB</v>
      </c>
      <c r="C146" s="136">
        <f>VLOOKUP(A146,'Billing Dimensions'!$A:$N,3,FALSE)-VLOOKUP(A146,'Audit Dimensions'!$A:$N,3,FALSE)</f>
        <v>-1</v>
      </c>
      <c r="D146" s="136">
        <f>VLOOKUP(A146,'Billing Dimensions'!$A:$N,4,FALSE)-VLOOKUP(A146,'Audit Dimensions'!$A:$N,4,FALSE)</f>
        <v>0</v>
      </c>
      <c r="E146" s="136">
        <f>VLOOKUP(A146,'Billing Dimensions'!$A:$N,5,FALSE)-VLOOKUP(A146,'Audit Dimensions'!$A:$N,5,FALSE)</f>
        <v>0</v>
      </c>
      <c r="F146" s="137">
        <f>VLOOKUP(A146,'Billing Dimensions'!$A:$N,6,FALSE)-VLOOKUP(A146,'Audit Dimensions'!$A:$N,6,FALSE)</f>
        <v>540</v>
      </c>
      <c r="G146" s="138">
        <f>VLOOKUP(A146,'Billing Dimensions'!$A:$N,7,FALSE)-VLOOKUP(A146,'Audit Dimensions'!$A:$N,7,FALSE)</f>
        <v>0</v>
      </c>
      <c r="H146" s="138">
        <f>VLOOKUP(A146,'Billing Dimensions'!$A:$N,8,FALSE)-VLOOKUP(A146,'Audit Dimensions'!$A:$N,8,FALSE)</f>
        <v>0</v>
      </c>
      <c r="I146" s="138">
        <f>VLOOKUP(A146,'Billing Dimensions'!$A:$N,9,FALSE)-VLOOKUP(A146,'Audit Dimensions'!$A:$N,9,FALSE)</f>
        <v>0</v>
      </c>
      <c r="J146" s="139">
        <f>VLOOKUP(A146,'Billing Dimensions'!$A:$N,10,FALSE)-VLOOKUP(A146,'Audit Dimensions'!$A:$N,10,FALSE)</f>
        <v>0</v>
      </c>
      <c r="K146" s="140">
        <f>VLOOKUP(A146,'Billing Dimensions'!$A:$N,11,FALSE)-VLOOKUP(A146,'Audit Dimensions'!$A:$N,11,FALSE)</f>
        <v>0</v>
      </c>
      <c r="L146" s="140">
        <f>VLOOKUP(A146,'Billing Dimensions'!$A:$N,12,FALSE)-VLOOKUP(A146,'Audit Dimensions'!$A:$N,12,FALSE)</f>
        <v>0</v>
      </c>
      <c r="M146" s="140">
        <f>VLOOKUP(A146,'Billing Dimensions'!$A:$N,13,FALSE)-VLOOKUP(A146,'Audit Dimensions'!$A:$N,13,FALSE)</f>
        <v>0</v>
      </c>
      <c r="N146" s="140">
        <f>VLOOKUP(A146,'Billing Dimensions'!$A:$N,14,FALSE)-VLOOKUP(A146,'Audit Dimensions'!$A:$N,14,FALSE)</f>
        <v>0</v>
      </c>
      <c r="O146" s="147">
        <f>VLOOKUP(A146,'Billing Dimensions'!A:Q,16,FALSE)-VLOOKUP('Audit VAR'!A146,'Audit Dimensions'!A:P,16,FALSE)</f>
        <v>540</v>
      </c>
      <c r="P146" s="148">
        <f t="shared" si="6"/>
        <v>0.54</v>
      </c>
      <c r="Q146" s="151">
        <f t="shared" si="7"/>
        <v>0</v>
      </c>
      <c r="R146" s="80" t="e">
        <f t="shared" si="8"/>
        <v>#DIV/0!</v>
      </c>
    </row>
    <row r="147" spans="1:18" hidden="1">
      <c r="A147" s="170" t="s">
        <v>222</v>
      </c>
      <c r="B147" s="52" t="str">
        <f>VLOOKUP(A147,'Billing Dimensions'!A:B,2,FALSE)</f>
        <v>SB</v>
      </c>
      <c r="C147" s="136">
        <f>VLOOKUP(A147,'Billing Dimensions'!$A:$N,3,FALSE)-VLOOKUP(A147,'Audit Dimensions'!$A:$N,3,FALSE)</f>
        <v>1</v>
      </c>
      <c r="D147" s="136">
        <f>VLOOKUP(A147,'Billing Dimensions'!$A:$N,4,FALSE)-VLOOKUP(A147,'Audit Dimensions'!$A:$N,4,FALSE)</f>
        <v>3</v>
      </c>
      <c r="E147" s="136">
        <f>VLOOKUP(A147,'Billing Dimensions'!$A:$N,5,FALSE)-VLOOKUP(A147,'Audit Dimensions'!$A:$N,5,FALSE)</f>
        <v>2</v>
      </c>
      <c r="F147" s="137">
        <f>VLOOKUP(A147,'Billing Dimensions'!$A:$N,6,FALSE)-VLOOKUP(A147,'Audit Dimensions'!$A:$N,6,FALSE)</f>
        <v>3000</v>
      </c>
      <c r="G147" s="138">
        <f>VLOOKUP(A147,'Billing Dimensions'!$A:$N,7,FALSE)-VLOOKUP(A147,'Audit Dimensions'!$A:$N,7,FALSE)</f>
        <v>0</v>
      </c>
      <c r="H147" s="138">
        <f>VLOOKUP(A147,'Billing Dimensions'!$A:$N,8,FALSE)-VLOOKUP(A147,'Audit Dimensions'!$A:$N,8,FALSE)</f>
        <v>0</v>
      </c>
      <c r="I147" s="138">
        <f>VLOOKUP(A147,'Billing Dimensions'!$A:$N,9,FALSE)-VLOOKUP(A147,'Audit Dimensions'!$A:$N,9,FALSE)</f>
        <v>0</v>
      </c>
      <c r="J147" s="139">
        <f>VLOOKUP(A147,'Billing Dimensions'!$A:$N,10,FALSE)-VLOOKUP(A147,'Audit Dimensions'!$A:$N,10,FALSE)</f>
        <v>0</v>
      </c>
      <c r="K147" s="140">
        <f>VLOOKUP(A147,'Billing Dimensions'!$A:$N,11,FALSE)-VLOOKUP(A147,'Audit Dimensions'!$A:$N,11,FALSE)</f>
        <v>0</v>
      </c>
      <c r="L147" s="140">
        <f>VLOOKUP(A147,'Billing Dimensions'!$A:$N,12,FALSE)-VLOOKUP(A147,'Audit Dimensions'!$A:$N,12,FALSE)</f>
        <v>0</v>
      </c>
      <c r="M147" s="140">
        <f>VLOOKUP(A147,'Billing Dimensions'!$A:$N,13,FALSE)-VLOOKUP(A147,'Audit Dimensions'!$A:$N,13,FALSE)</f>
        <v>0</v>
      </c>
      <c r="N147" s="140">
        <f>VLOOKUP(A147,'Billing Dimensions'!$A:$N,14,FALSE)-VLOOKUP(A147,'Audit Dimensions'!$A:$N,14,FALSE)</f>
        <v>0</v>
      </c>
      <c r="O147" s="147">
        <f>VLOOKUP(A147,'Billing Dimensions'!A:Q,16,FALSE)-VLOOKUP('Audit VAR'!A147,'Audit Dimensions'!A:P,16,FALSE)</f>
        <v>3000</v>
      </c>
      <c r="P147" s="148">
        <f t="shared" si="6"/>
        <v>3</v>
      </c>
      <c r="Q147" s="151">
        <f t="shared" si="7"/>
        <v>2.1192000000000002E-4</v>
      </c>
      <c r="R147" s="80">
        <f t="shared" si="8"/>
        <v>14156.285390713476</v>
      </c>
    </row>
    <row r="148" spans="1:18" ht="12.4" hidden="1" customHeight="1">
      <c r="A148" s="132" t="s">
        <v>223</v>
      </c>
      <c r="B148" s="52" t="str">
        <f>VLOOKUP(A148,'Billing Dimensions'!A:B,2,FALSE)</f>
        <v>SB</v>
      </c>
      <c r="C148" s="136">
        <f>VLOOKUP(A148,'Billing Dimensions'!$A:$N,3,FALSE)-VLOOKUP(A148,'Audit Dimensions'!$A:$N,3,FALSE)</f>
        <v>-1</v>
      </c>
      <c r="D148" s="136">
        <f>VLOOKUP(A148,'Billing Dimensions'!$A:$N,4,FALSE)-VLOOKUP(A148,'Audit Dimensions'!$A:$N,4,FALSE)</f>
        <v>1</v>
      </c>
      <c r="E148" s="136">
        <f>VLOOKUP(A148,'Billing Dimensions'!$A:$N,5,FALSE)-VLOOKUP(A148,'Audit Dimensions'!$A:$N,5,FALSE)</f>
        <v>1</v>
      </c>
      <c r="F148" s="137">
        <f>VLOOKUP(A148,'Billing Dimensions'!$A:$N,6,FALSE)-VLOOKUP(A148,'Audit Dimensions'!$A:$N,6,FALSE)</f>
        <v>-150</v>
      </c>
      <c r="G148" s="138">
        <f>VLOOKUP(A148,'Billing Dimensions'!$A:$N,7,FALSE)-VLOOKUP(A148,'Audit Dimensions'!$A:$N,7,FALSE)</f>
        <v>0</v>
      </c>
      <c r="H148" s="138">
        <f>VLOOKUP(A148,'Billing Dimensions'!$A:$N,8,FALSE)-VLOOKUP(A148,'Audit Dimensions'!$A:$N,8,FALSE)</f>
        <v>0</v>
      </c>
      <c r="I148" s="138">
        <f>VLOOKUP(A148,'Billing Dimensions'!$A:$N,9,FALSE)-VLOOKUP(A148,'Audit Dimensions'!$A:$N,9,FALSE)</f>
        <v>0</v>
      </c>
      <c r="J148" s="139">
        <f>VLOOKUP(A148,'Billing Dimensions'!$A:$N,10,FALSE)-VLOOKUP(A148,'Audit Dimensions'!$A:$N,10,FALSE)</f>
        <v>0</v>
      </c>
      <c r="K148" s="140">
        <f>VLOOKUP(A148,'Billing Dimensions'!$A:$N,11,FALSE)-VLOOKUP(A148,'Audit Dimensions'!$A:$N,11,FALSE)</f>
        <v>0</v>
      </c>
      <c r="L148" s="140">
        <f>VLOOKUP(A148,'Billing Dimensions'!$A:$N,12,FALSE)-VLOOKUP(A148,'Audit Dimensions'!$A:$N,12,FALSE)</f>
        <v>0</v>
      </c>
      <c r="M148" s="140">
        <f>VLOOKUP(A148,'Billing Dimensions'!$A:$N,13,FALSE)-VLOOKUP(A148,'Audit Dimensions'!$A:$N,13,FALSE)</f>
        <v>0</v>
      </c>
      <c r="N148" s="140">
        <f>VLOOKUP(A148,'Billing Dimensions'!$A:$N,14,FALSE)-VLOOKUP(A148,'Audit Dimensions'!$A:$N,14,FALSE)</f>
        <v>0</v>
      </c>
      <c r="O148" s="147">
        <f>VLOOKUP(A148,'Billing Dimensions'!A:Q,16,FALSE)-VLOOKUP('Audit VAR'!A148,'Audit Dimensions'!A:P,16,FALSE)</f>
        <v>-150</v>
      </c>
      <c r="P148" s="148">
        <f t="shared" si="6"/>
        <v>-0.15</v>
      </c>
      <c r="Q148" s="151">
        <f t="shared" si="7"/>
        <v>-3.5320000000000001E-5</v>
      </c>
      <c r="R148" s="80">
        <f t="shared" si="8"/>
        <v>4246.8856172140431</v>
      </c>
    </row>
    <row r="149" spans="1:18" hidden="1">
      <c r="A149" s="132" t="s">
        <v>225</v>
      </c>
      <c r="B149" s="52" t="str">
        <f>VLOOKUP(A149,'Billing Dimensions'!A:B,2,FALSE)</f>
        <v>SB</v>
      </c>
      <c r="C149" s="136">
        <f>VLOOKUP(A149,'Billing Dimensions'!$A:$N,3,FALSE)-VLOOKUP(A149,'Audit Dimensions'!$A:$N,3,FALSE)</f>
        <v>0</v>
      </c>
      <c r="D149" s="136">
        <f>VLOOKUP(A149,'Billing Dimensions'!$A:$N,4,FALSE)-VLOOKUP(A149,'Audit Dimensions'!$A:$N,4,FALSE)</f>
        <v>-1</v>
      </c>
      <c r="E149" s="136">
        <f>VLOOKUP(A149,'Billing Dimensions'!$A:$N,5,FALSE)-VLOOKUP(A149,'Audit Dimensions'!$A:$N,5,FALSE)</f>
        <v>1</v>
      </c>
      <c r="F149" s="137">
        <f>VLOOKUP(A149,'Billing Dimensions'!$A:$N,6,FALSE)-VLOOKUP(A149,'Audit Dimensions'!$A:$N,6,FALSE)</f>
        <v>-608</v>
      </c>
      <c r="G149" s="138">
        <f>VLOOKUP(A149,'Billing Dimensions'!$A:$N,7,FALSE)-VLOOKUP(A149,'Audit Dimensions'!$A:$N,7,FALSE)</f>
        <v>0</v>
      </c>
      <c r="H149" s="138">
        <f>VLOOKUP(A149,'Billing Dimensions'!$A:$N,8,FALSE)-VLOOKUP(A149,'Audit Dimensions'!$A:$N,8,FALSE)</f>
        <v>0</v>
      </c>
      <c r="I149" s="138">
        <f>VLOOKUP(A149,'Billing Dimensions'!$A:$N,9,FALSE)-VLOOKUP(A149,'Audit Dimensions'!$A:$N,9,FALSE)</f>
        <v>0</v>
      </c>
      <c r="J149" s="139">
        <f>VLOOKUP(A149,'Billing Dimensions'!$A:$N,10,FALSE)-VLOOKUP(A149,'Audit Dimensions'!$A:$N,10,FALSE)</f>
        <v>0</v>
      </c>
      <c r="K149" s="140">
        <f>VLOOKUP(A149,'Billing Dimensions'!$A:$N,11,FALSE)-VLOOKUP(A149,'Audit Dimensions'!$A:$N,11,FALSE)</f>
        <v>0</v>
      </c>
      <c r="L149" s="140">
        <f>VLOOKUP(A149,'Billing Dimensions'!$A:$N,12,FALSE)-VLOOKUP(A149,'Audit Dimensions'!$A:$N,12,FALSE)</f>
        <v>0</v>
      </c>
      <c r="M149" s="140">
        <f>VLOOKUP(A149,'Billing Dimensions'!$A:$N,13,FALSE)-VLOOKUP(A149,'Audit Dimensions'!$A:$N,13,FALSE)</f>
        <v>0</v>
      </c>
      <c r="N149" s="140">
        <f>VLOOKUP(A149,'Billing Dimensions'!$A:$N,14,FALSE)-VLOOKUP(A149,'Audit Dimensions'!$A:$N,14,FALSE)</f>
        <v>0</v>
      </c>
      <c r="O149" s="147">
        <f>VLOOKUP(A149,'Billing Dimensions'!A:Q,16,FALSE)-VLOOKUP('Audit VAR'!A149,'Audit Dimensions'!A:P,16,FALSE)</f>
        <v>-608</v>
      </c>
      <c r="P149" s="148">
        <f t="shared" si="6"/>
        <v>-0.60799999999999998</v>
      </c>
      <c r="Q149" s="151">
        <f t="shared" si="7"/>
        <v>0</v>
      </c>
      <c r="R149" s="80" t="e">
        <f t="shared" si="8"/>
        <v>#DIV/0!</v>
      </c>
    </row>
    <row r="150" spans="1:18" hidden="1">
      <c r="A150" s="132" t="s">
        <v>226</v>
      </c>
      <c r="B150" s="52" t="str">
        <f>VLOOKUP(A150,'Billing Dimensions'!A:B,2,FALSE)</f>
        <v>SB</v>
      </c>
      <c r="C150" s="136" t="e">
        <f>VLOOKUP(A150,'Billing Dimensions'!$A:$N,3,FALSE)-VLOOKUP(A150,'Audit Dimensions'!$A:$N,3,FALSE)</f>
        <v>#N/A</v>
      </c>
      <c r="D150" s="136" t="e">
        <f>VLOOKUP(A150,'Billing Dimensions'!$A:$N,4,FALSE)-VLOOKUP(A150,'Audit Dimensions'!$A:$N,4,FALSE)</f>
        <v>#N/A</v>
      </c>
      <c r="E150" s="136" t="e">
        <f>VLOOKUP(A150,'Billing Dimensions'!$A:$N,5,FALSE)-VLOOKUP(A150,'Audit Dimensions'!$A:$N,5,FALSE)</f>
        <v>#N/A</v>
      </c>
      <c r="F150" s="137" t="e">
        <f>VLOOKUP(A150,'Billing Dimensions'!$A:$N,6,FALSE)-VLOOKUP(A150,'Audit Dimensions'!$A:$N,6,FALSE)</f>
        <v>#N/A</v>
      </c>
      <c r="G150" s="138" t="e">
        <f>VLOOKUP(A150,'Billing Dimensions'!$A:$N,7,FALSE)-VLOOKUP(A150,'Audit Dimensions'!$A:$N,7,FALSE)</f>
        <v>#N/A</v>
      </c>
      <c r="H150" s="138" t="e">
        <f>VLOOKUP(A150,'Billing Dimensions'!$A:$N,8,FALSE)-VLOOKUP(A150,'Audit Dimensions'!$A:$N,8,FALSE)</f>
        <v>#N/A</v>
      </c>
      <c r="I150" s="138" t="e">
        <f>VLOOKUP(A150,'Billing Dimensions'!$A:$N,9,FALSE)-VLOOKUP(A150,'Audit Dimensions'!$A:$N,9,FALSE)</f>
        <v>#N/A</v>
      </c>
      <c r="J150" s="139" t="e">
        <f>VLOOKUP(A150,'Billing Dimensions'!$A:$N,10,FALSE)-VLOOKUP(A150,'Audit Dimensions'!$A:$N,10,FALSE)</f>
        <v>#N/A</v>
      </c>
      <c r="K150" s="140" t="e">
        <f>VLOOKUP(A150,'Billing Dimensions'!$A:$N,11,FALSE)-VLOOKUP(A150,'Audit Dimensions'!$A:$N,11,FALSE)</f>
        <v>#N/A</v>
      </c>
      <c r="L150" s="140" t="e">
        <f>VLOOKUP(A150,'Billing Dimensions'!$A:$N,12,FALSE)-VLOOKUP(A150,'Audit Dimensions'!$A:$N,12,FALSE)</f>
        <v>#N/A</v>
      </c>
      <c r="M150" s="140" t="e">
        <f>VLOOKUP(A150,'Billing Dimensions'!$A:$N,13,FALSE)-VLOOKUP(A150,'Audit Dimensions'!$A:$N,13,FALSE)</f>
        <v>#N/A</v>
      </c>
      <c r="N150" s="140" t="e">
        <f>VLOOKUP(A150,'Billing Dimensions'!$A:$N,14,FALSE)-VLOOKUP(A150,'Audit Dimensions'!$A:$N,14,FALSE)</f>
        <v>#N/A</v>
      </c>
      <c r="O150" s="147" t="e">
        <f>VLOOKUP(A150,'Billing Dimensions'!A:Q,16,FALSE)-VLOOKUP('Audit VAR'!A150,'Audit Dimensions'!A:P,16,FALSE)</f>
        <v>#N/A</v>
      </c>
      <c r="P150" s="148" t="e">
        <f t="shared" si="6"/>
        <v>#N/A</v>
      </c>
      <c r="Q150" s="151" t="e">
        <f t="shared" si="7"/>
        <v>#N/A</v>
      </c>
      <c r="R150" s="80" t="e">
        <f t="shared" si="8"/>
        <v>#N/A</v>
      </c>
    </row>
    <row r="151" spans="1:18" hidden="1">
      <c r="A151" s="132" t="s">
        <v>228</v>
      </c>
      <c r="B151" s="52" t="str">
        <f>VLOOKUP(A151,'Billing Dimensions'!A:B,2,FALSE)</f>
        <v>SB</v>
      </c>
      <c r="C151" s="136">
        <f>VLOOKUP(A151,'Billing Dimensions'!$A:$N,3,FALSE)-VLOOKUP(A151,'Audit Dimensions'!$A:$N,3,FALSE)</f>
        <v>3</v>
      </c>
      <c r="D151" s="136">
        <f>VLOOKUP(A151,'Billing Dimensions'!$A:$N,4,FALSE)-VLOOKUP(A151,'Audit Dimensions'!$A:$N,4,FALSE)</f>
        <v>3</v>
      </c>
      <c r="E151" s="136">
        <f>VLOOKUP(A151,'Billing Dimensions'!$A:$N,5,FALSE)-VLOOKUP(A151,'Audit Dimensions'!$A:$N,5,FALSE)</f>
        <v>-2</v>
      </c>
      <c r="F151" s="137">
        <f>VLOOKUP(A151,'Billing Dimensions'!$A:$N,6,FALSE)-VLOOKUP(A151,'Audit Dimensions'!$A:$N,6,FALSE)</f>
        <v>7100</v>
      </c>
      <c r="G151" s="138">
        <f>VLOOKUP(A151,'Billing Dimensions'!$A:$N,7,FALSE)-VLOOKUP(A151,'Audit Dimensions'!$A:$N,7,FALSE)</f>
        <v>0</v>
      </c>
      <c r="H151" s="138">
        <f>VLOOKUP(A151,'Billing Dimensions'!$A:$N,8,FALSE)-VLOOKUP(A151,'Audit Dimensions'!$A:$N,8,FALSE)</f>
        <v>0</v>
      </c>
      <c r="I151" s="138">
        <f>VLOOKUP(A151,'Billing Dimensions'!$A:$N,9,FALSE)-VLOOKUP(A151,'Audit Dimensions'!$A:$N,9,FALSE)</f>
        <v>0</v>
      </c>
      <c r="J151" s="139">
        <f>VLOOKUP(A151,'Billing Dimensions'!$A:$N,10,FALSE)-VLOOKUP(A151,'Audit Dimensions'!$A:$N,10,FALSE)</f>
        <v>0</v>
      </c>
      <c r="K151" s="140">
        <f>VLOOKUP(A151,'Billing Dimensions'!$A:$N,11,FALSE)-VLOOKUP(A151,'Audit Dimensions'!$A:$N,11,FALSE)</f>
        <v>0</v>
      </c>
      <c r="L151" s="140">
        <f>VLOOKUP(A151,'Billing Dimensions'!$A:$N,12,FALSE)-VLOOKUP(A151,'Audit Dimensions'!$A:$N,12,FALSE)</f>
        <v>0</v>
      </c>
      <c r="M151" s="140">
        <f>VLOOKUP(A151,'Billing Dimensions'!$A:$N,13,FALSE)-VLOOKUP(A151,'Audit Dimensions'!$A:$N,13,FALSE)</f>
        <v>0</v>
      </c>
      <c r="N151" s="140">
        <f>VLOOKUP(A151,'Billing Dimensions'!$A:$N,14,FALSE)-VLOOKUP(A151,'Audit Dimensions'!$A:$N,14,FALSE)</f>
        <v>0</v>
      </c>
      <c r="O151" s="147">
        <f>VLOOKUP(A151,'Billing Dimensions'!A:Q,16,FALSE)-VLOOKUP('Audit VAR'!A151,'Audit Dimensions'!A:P,16,FALSE)</f>
        <v>7100</v>
      </c>
      <c r="P151" s="148">
        <f t="shared" si="6"/>
        <v>7.1</v>
      </c>
      <c r="Q151" s="151">
        <f t="shared" si="7"/>
        <v>-6.3575999999999997E-4</v>
      </c>
      <c r="R151" s="80">
        <f t="shared" si="8"/>
        <v>-11167.736252673965</v>
      </c>
    </row>
    <row r="152" spans="1:18" hidden="1">
      <c r="A152" s="132" t="s">
        <v>366</v>
      </c>
      <c r="B152" s="52" t="e">
        <f>VLOOKUP(A152,'Billing Dimensions'!A:B,2,FALSE)</f>
        <v>#N/A</v>
      </c>
      <c r="C152" s="136" t="e">
        <f>VLOOKUP(A152,'Billing Dimensions'!$A:$N,3,FALSE)-VLOOKUP(A152,'Audit Dimensions'!$A:$N,3,FALSE)</f>
        <v>#N/A</v>
      </c>
      <c r="D152" s="136" t="e">
        <f>VLOOKUP(A152,'Billing Dimensions'!$A:$N,4,FALSE)-VLOOKUP(A152,'Audit Dimensions'!$A:$N,4,FALSE)</f>
        <v>#N/A</v>
      </c>
      <c r="E152" s="136" t="e">
        <f>VLOOKUP(A152,'Billing Dimensions'!$A:$N,5,FALSE)-VLOOKUP(A152,'Audit Dimensions'!$A:$N,5,FALSE)</f>
        <v>#N/A</v>
      </c>
      <c r="F152" s="137" t="e">
        <f>VLOOKUP(A152,'Billing Dimensions'!$A:$N,6,FALSE)-VLOOKUP(A152,'Audit Dimensions'!$A:$N,6,FALSE)</f>
        <v>#N/A</v>
      </c>
      <c r="G152" s="138" t="e">
        <f>VLOOKUP(A152,'Billing Dimensions'!$A:$N,7,FALSE)-VLOOKUP(A152,'Audit Dimensions'!$A:$N,7,FALSE)</f>
        <v>#N/A</v>
      </c>
      <c r="H152" s="138" t="e">
        <f>VLOOKUP(A152,'Billing Dimensions'!$A:$N,8,FALSE)-VLOOKUP(A152,'Audit Dimensions'!$A:$N,8,FALSE)</f>
        <v>#N/A</v>
      </c>
      <c r="I152" s="138" t="e">
        <f>VLOOKUP(A152,'Billing Dimensions'!$A:$N,9,FALSE)-VLOOKUP(A152,'Audit Dimensions'!$A:$N,9,FALSE)</f>
        <v>#N/A</v>
      </c>
      <c r="J152" s="139" t="e">
        <f>VLOOKUP(A152,'Billing Dimensions'!$A:$N,10,FALSE)-VLOOKUP(A152,'Audit Dimensions'!$A:$N,10,FALSE)</f>
        <v>#N/A</v>
      </c>
      <c r="K152" s="140" t="e">
        <f>VLOOKUP(A152,'Billing Dimensions'!$A:$N,11,FALSE)-VLOOKUP(A152,'Audit Dimensions'!$A:$N,11,FALSE)</f>
        <v>#N/A</v>
      </c>
      <c r="L152" s="140" t="e">
        <f>VLOOKUP(A152,'Billing Dimensions'!$A:$N,12,FALSE)-VLOOKUP(A152,'Audit Dimensions'!$A:$N,12,FALSE)</f>
        <v>#N/A</v>
      </c>
      <c r="M152" s="140" t="e">
        <f>VLOOKUP(A152,'Billing Dimensions'!$A:$N,13,FALSE)-VLOOKUP(A152,'Audit Dimensions'!$A:$N,13,FALSE)</f>
        <v>#N/A</v>
      </c>
      <c r="N152" s="140" t="e">
        <f>VLOOKUP(A152,'Billing Dimensions'!$A:$N,14,FALSE)-VLOOKUP(A152,'Audit Dimensions'!$A:$N,14,FALSE)</f>
        <v>#N/A</v>
      </c>
      <c r="O152" s="147" t="e">
        <f>VLOOKUP(A152,'Billing Dimensions'!A:Q,16,FALSE)-VLOOKUP('Audit VAR'!A152,'Audit Dimensions'!A:P,16,FALSE)</f>
        <v>#N/A</v>
      </c>
      <c r="P152" s="148" t="e">
        <f t="shared" si="6"/>
        <v>#N/A</v>
      </c>
      <c r="Q152" s="151" t="e">
        <f t="shared" si="7"/>
        <v>#N/A</v>
      </c>
      <c r="R152" s="80" t="e">
        <f t="shared" si="8"/>
        <v>#N/A</v>
      </c>
    </row>
    <row r="153" spans="1:18" hidden="1">
      <c r="A153" s="171" t="s">
        <v>231</v>
      </c>
      <c r="B153" s="52" t="str">
        <f>VLOOKUP(A153,'Billing Dimensions'!A:B,2,FALSE)</f>
        <v>SB</v>
      </c>
      <c r="C153" s="136">
        <f>VLOOKUP(A153,'Billing Dimensions'!$A:$N,3,FALSE)-VLOOKUP(A153,'Audit Dimensions'!$A:$N,3,FALSE)</f>
        <v>-1</v>
      </c>
      <c r="D153" s="136">
        <f>VLOOKUP(A153,'Billing Dimensions'!$A:$N,4,FALSE)-VLOOKUP(A153,'Audit Dimensions'!$A:$N,4,FALSE)</f>
        <v>0</v>
      </c>
      <c r="E153" s="136">
        <f>VLOOKUP(A153,'Billing Dimensions'!$A:$N,5,FALSE)-VLOOKUP(A153,'Audit Dimensions'!$A:$N,5,FALSE)</f>
        <v>1</v>
      </c>
      <c r="F153" s="137">
        <f>VLOOKUP(A153,'Billing Dimensions'!$A:$N,6,FALSE)-VLOOKUP(A153,'Audit Dimensions'!$A:$N,6,FALSE)</f>
        <v>-11400</v>
      </c>
      <c r="G153" s="138">
        <f>VLOOKUP(A153,'Billing Dimensions'!$A:$N,7,FALSE)-VLOOKUP(A153,'Audit Dimensions'!$A:$N,7,FALSE)</f>
        <v>0</v>
      </c>
      <c r="H153" s="138">
        <f>VLOOKUP(A153,'Billing Dimensions'!$A:$N,8,FALSE)-VLOOKUP(A153,'Audit Dimensions'!$A:$N,8,FALSE)</f>
        <v>0</v>
      </c>
      <c r="I153" s="138">
        <f>VLOOKUP(A153,'Billing Dimensions'!$A:$N,9,FALSE)-VLOOKUP(A153,'Audit Dimensions'!$A:$N,9,FALSE)</f>
        <v>0</v>
      </c>
      <c r="J153" s="139">
        <f>VLOOKUP(A153,'Billing Dimensions'!$A:$N,10,FALSE)-VLOOKUP(A153,'Audit Dimensions'!$A:$N,10,FALSE)</f>
        <v>0</v>
      </c>
      <c r="K153" s="140">
        <f>VLOOKUP(A153,'Billing Dimensions'!$A:$N,11,FALSE)-VLOOKUP(A153,'Audit Dimensions'!$A:$N,11,FALSE)</f>
        <v>0</v>
      </c>
      <c r="L153" s="140">
        <f>VLOOKUP(A153,'Billing Dimensions'!$A:$N,12,FALSE)-VLOOKUP(A153,'Audit Dimensions'!$A:$N,12,FALSE)</f>
        <v>0</v>
      </c>
      <c r="M153" s="140">
        <f>VLOOKUP(A153,'Billing Dimensions'!$A:$N,13,FALSE)-VLOOKUP(A153,'Audit Dimensions'!$A:$N,13,FALSE)</f>
        <v>0</v>
      </c>
      <c r="N153" s="140">
        <f>VLOOKUP(A153,'Billing Dimensions'!$A:$N,14,FALSE)-VLOOKUP(A153,'Audit Dimensions'!$A:$N,14,FALSE)</f>
        <v>0</v>
      </c>
      <c r="O153" s="147">
        <f>VLOOKUP(A153,'Billing Dimensions'!A:Q,16,FALSE)-VLOOKUP('Audit VAR'!A153,'Audit Dimensions'!A:P,16,FALSE)</f>
        <v>-11400</v>
      </c>
      <c r="P153" s="148">
        <f t="shared" si="6"/>
        <v>-11.4</v>
      </c>
      <c r="Q153" s="151">
        <f t="shared" si="7"/>
        <v>0</v>
      </c>
      <c r="R153" s="80" t="e">
        <f t="shared" si="8"/>
        <v>#DIV/0!</v>
      </c>
    </row>
    <row r="154" spans="1:18" hidden="1">
      <c r="A154" s="171" t="s">
        <v>232</v>
      </c>
      <c r="B154" s="52" t="str">
        <f>VLOOKUP(A154,'Billing Dimensions'!A:B,2,FALSE)</f>
        <v>SB</v>
      </c>
      <c r="C154" s="136">
        <f>VLOOKUP(A154,'Billing Dimensions'!$A:$N,3,FALSE)-VLOOKUP(A154,'Audit Dimensions'!$A:$N,3,FALSE)</f>
        <v>0</v>
      </c>
      <c r="D154" s="136">
        <f>VLOOKUP(A154,'Billing Dimensions'!$A:$N,4,FALSE)-VLOOKUP(A154,'Audit Dimensions'!$A:$N,4,FALSE)</f>
        <v>0</v>
      </c>
      <c r="E154" s="136">
        <f>VLOOKUP(A154,'Billing Dimensions'!$A:$N,5,FALSE)-VLOOKUP(A154,'Audit Dimensions'!$A:$N,5,FALSE)</f>
        <v>1</v>
      </c>
      <c r="F154" s="137">
        <f>VLOOKUP(A154,'Billing Dimensions'!$A:$N,6,FALSE)-VLOOKUP(A154,'Audit Dimensions'!$A:$N,6,FALSE)</f>
        <v>-385</v>
      </c>
      <c r="G154" s="138">
        <f>VLOOKUP(A154,'Billing Dimensions'!$A:$N,7,FALSE)-VLOOKUP(A154,'Audit Dimensions'!$A:$N,7,FALSE)</f>
        <v>0</v>
      </c>
      <c r="H154" s="138">
        <f>VLOOKUP(A154,'Billing Dimensions'!$A:$N,8,FALSE)-VLOOKUP(A154,'Audit Dimensions'!$A:$N,8,FALSE)</f>
        <v>0</v>
      </c>
      <c r="I154" s="138">
        <f>VLOOKUP(A154,'Billing Dimensions'!$A:$N,9,FALSE)-VLOOKUP(A154,'Audit Dimensions'!$A:$N,9,FALSE)</f>
        <v>0</v>
      </c>
      <c r="J154" s="139">
        <f>VLOOKUP(A154,'Billing Dimensions'!$A:$N,10,FALSE)-VLOOKUP(A154,'Audit Dimensions'!$A:$N,10,FALSE)</f>
        <v>0</v>
      </c>
      <c r="K154" s="140">
        <f>VLOOKUP(A154,'Billing Dimensions'!$A:$N,11,FALSE)-VLOOKUP(A154,'Audit Dimensions'!$A:$N,11,FALSE)</f>
        <v>0</v>
      </c>
      <c r="L154" s="140">
        <f>VLOOKUP(A154,'Billing Dimensions'!$A:$N,12,FALSE)-VLOOKUP(A154,'Audit Dimensions'!$A:$N,12,FALSE)</f>
        <v>0</v>
      </c>
      <c r="M154" s="140">
        <f>VLOOKUP(A154,'Billing Dimensions'!$A:$N,13,FALSE)-VLOOKUP(A154,'Audit Dimensions'!$A:$N,13,FALSE)</f>
        <v>0</v>
      </c>
      <c r="N154" s="140">
        <f>VLOOKUP(A154,'Billing Dimensions'!$A:$N,14,FALSE)-VLOOKUP(A154,'Audit Dimensions'!$A:$N,14,FALSE)</f>
        <v>0</v>
      </c>
      <c r="O154" s="147">
        <f>VLOOKUP(A154,'Billing Dimensions'!A:Q,16,FALSE)-VLOOKUP('Audit VAR'!A154,'Audit Dimensions'!A:P,16,FALSE)</f>
        <v>-385</v>
      </c>
      <c r="P154" s="148">
        <f t="shared" si="6"/>
        <v>-0.38500000000000001</v>
      </c>
      <c r="Q154" s="151">
        <f t="shared" si="7"/>
        <v>0</v>
      </c>
      <c r="R154" s="80" t="e">
        <f t="shared" si="8"/>
        <v>#DIV/0!</v>
      </c>
    </row>
    <row r="155" spans="1:18" ht="12.95" hidden="1" customHeight="1">
      <c r="A155" s="132" t="s">
        <v>233</v>
      </c>
      <c r="B155" s="52" t="str">
        <f>VLOOKUP(A155,'Billing Dimensions'!A:B,2,FALSE)</f>
        <v>SB</v>
      </c>
      <c r="C155" s="136">
        <f>VLOOKUP(A155,'Billing Dimensions'!$A:$N,3,FALSE)-VLOOKUP(A155,'Audit Dimensions'!$A:$N,3,FALSE)</f>
        <v>1</v>
      </c>
      <c r="D155" s="136">
        <f>VLOOKUP(A155,'Billing Dimensions'!$A:$N,4,FALSE)-VLOOKUP(A155,'Audit Dimensions'!$A:$N,4,FALSE)</f>
        <v>0</v>
      </c>
      <c r="E155" s="136">
        <f>VLOOKUP(A155,'Billing Dimensions'!$A:$N,5,FALSE)-VLOOKUP(A155,'Audit Dimensions'!$A:$N,5,FALSE)</f>
        <v>-1</v>
      </c>
      <c r="F155" s="137">
        <f>VLOOKUP(A155,'Billing Dimensions'!$A:$N,6,FALSE)-VLOOKUP(A155,'Audit Dimensions'!$A:$N,6,FALSE)</f>
        <v>-860</v>
      </c>
      <c r="G155" s="138">
        <f>VLOOKUP(A155,'Billing Dimensions'!$A:$N,7,FALSE)-VLOOKUP(A155,'Audit Dimensions'!$A:$N,7,FALSE)</f>
        <v>0</v>
      </c>
      <c r="H155" s="138">
        <f>VLOOKUP(A155,'Billing Dimensions'!$A:$N,8,FALSE)-VLOOKUP(A155,'Audit Dimensions'!$A:$N,8,FALSE)</f>
        <v>0</v>
      </c>
      <c r="I155" s="138">
        <f>VLOOKUP(A155,'Billing Dimensions'!$A:$N,9,FALSE)-VLOOKUP(A155,'Audit Dimensions'!$A:$N,9,FALSE)</f>
        <v>0</v>
      </c>
      <c r="J155" s="139">
        <f>VLOOKUP(A155,'Billing Dimensions'!$A:$N,10,FALSE)-VLOOKUP(A155,'Audit Dimensions'!$A:$N,10,FALSE)</f>
        <v>0</v>
      </c>
      <c r="K155" s="140">
        <f>VLOOKUP(A155,'Billing Dimensions'!$A:$N,11,FALSE)-VLOOKUP(A155,'Audit Dimensions'!$A:$N,11,FALSE)</f>
        <v>0</v>
      </c>
      <c r="L155" s="140">
        <f>VLOOKUP(A155,'Billing Dimensions'!$A:$N,12,FALSE)-VLOOKUP(A155,'Audit Dimensions'!$A:$N,12,FALSE)</f>
        <v>0</v>
      </c>
      <c r="M155" s="140">
        <f>VLOOKUP(A155,'Billing Dimensions'!$A:$N,13,FALSE)-VLOOKUP(A155,'Audit Dimensions'!$A:$N,13,FALSE)</f>
        <v>0</v>
      </c>
      <c r="N155" s="140">
        <f>VLOOKUP(A155,'Billing Dimensions'!$A:$N,14,FALSE)-VLOOKUP(A155,'Audit Dimensions'!$A:$N,14,FALSE)</f>
        <v>0</v>
      </c>
      <c r="O155" s="147">
        <f>VLOOKUP(A155,'Billing Dimensions'!A:Q,16,FALSE)-VLOOKUP('Audit VAR'!A155,'Audit Dimensions'!A:P,16,FALSE)</f>
        <v>-860</v>
      </c>
      <c r="P155" s="148">
        <f t="shared" si="6"/>
        <v>-0.86</v>
      </c>
      <c r="Q155" s="151">
        <f t="shared" si="7"/>
        <v>0</v>
      </c>
      <c r="R155" s="80" t="e">
        <f t="shared" si="8"/>
        <v>#DIV/0!</v>
      </c>
    </row>
    <row r="156" spans="1:18" hidden="1">
      <c r="A156" s="132" t="s">
        <v>234</v>
      </c>
      <c r="B156" s="52" t="str">
        <f>VLOOKUP(A156,'Billing Dimensions'!A:B,2,FALSE)</f>
        <v>SB</v>
      </c>
      <c r="C156" s="136" t="e">
        <f>VLOOKUP(A156,'Billing Dimensions'!$A:$N,3,FALSE)-VLOOKUP(A156,'Audit Dimensions'!$A:$N,3,FALSE)</f>
        <v>#N/A</v>
      </c>
      <c r="D156" s="136" t="e">
        <f>VLOOKUP(A156,'Billing Dimensions'!$A:$N,4,FALSE)-VLOOKUP(A156,'Audit Dimensions'!$A:$N,4,FALSE)</f>
        <v>#N/A</v>
      </c>
      <c r="E156" s="136" t="e">
        <f>VLOOKUP(A156,'Billing Dimensions'!$A:$N,5,FALSE)-VLOOKUP(A156,'Audit Dimensions'!$A:$N,5,FALSE)</f>
        <v>#N/A</v>
      </c>
      <c r="F156" s="137" t="e">
        <f>VLOOKUP(A156,'Billing Dimensions'!$A:$N,6,FALSE)-VLOOKUP(A156,'Audit Dimensions'!$A:$N,6,FALSE)</f>
        <v>#N/A</v>
      </c>
      <c r="G156" s="138" t="e">
        <f>VLOOKUP(A156,'Billing Dimensions'!$A:$N,7,FALSE)-VLOOKUP(A156,'Audit Dimensions'!$A:$N,7,FALSE)</f>
        <v>#N/A</v>
      </c>
      <c r="H156" s="138" t="e">
        <f>VLOOKUP(A156,'Billing Dimensions'!$A:$N,8,FALSE)-VLOOKUP(A156,'Audit Dimensions'!$A:$N,8,FALSE)</f>
        <v>#N/A</v>
      </c>
      <c r="I156" s="138" t="e">
        <f>VLOOKUP(A156,'Billing Dimensions'!$A:$N,9,FALSE)-VLOOKUP(A156,'Audit Dimensions'!$A:$N,9,FALSE)</f>
        <v>#N/A</v>
      </c>
      <c r="J156" s="139" t="e">
        <f>VLOOKUP(A156,'Billing Dimensions'!$A:$N,10,FALSE)-VLOOKUP(A156,'Audit Dimensions'!$A:$N,10,FALSE)</f>
        <v>#N/A</v>
      </c>
      <c r="K156" s="140" t="e">
        <f>VLOOKUP(A156,'Billing Dimensions'!$A:$N,11,FALSE)-VLOOKUP(A156,'Audit Dimensions'!$A:$N,11,FALSE)</f>
        <v>#N/A</v>
      </c>
      <c r="L156" s="140" t="e">
        <f>VLOOKUP(A156,'Billing Dimensions'!$A:$N,12,FALSE)-VLOOKUP(A156,'Audit Dimensions'!$A:$N,12,FALSE)</f>
        <v>#N/A</v>
      </c>
      <c r="M156" s="140" t="e">
        <f>VLOOKUP(A156,'Billing Dimensions'!$A:$N,13,FALSE)-VLOOKUP(A156,'Audit Dimensions'!$A:$N,13,FALSE)</f>
        <v>#N/A</v>
      </c>
      <c r="N156" s="140" t="e">
        <f>VLOOKUP(A156,'Billing Dimensions'!$A:$N,14,FALSE)-VLOOKUP(A156,'Audit Dimensions'!$A:$N,14,FALSE)</f>
        <v>#N/A</v>
      </c>
      <c r="O156" s="147" t="e">
        <f>VLOOKUP(A156,'Billing Dimensions'!A:Q,16,FALSE)-VLOOKUP('Audit VAR'!A156,'Audit Dimensions'!A:P,16,FALSE)</f>
        <v>#N/A</v>
      </c>
      <c r="P156" s="148" t="e">
        <f t="shared" si="6"/>
        <v>#N/A</v>
      </c>
      <c r="Q156" s="151" t="e">
        <f t="shared" si="7"/>
        <v>#N/A</v>
      </c>
      <c r="R156" s="80" t="e">
        <f t="shared" si="8"/>
        <v>#N/A</v>
      </c>
    </row>
    <row r="157" spans="1:18" ht="14.45" hidden="1" customHeight="1">
      <c r="A157" s="132" t="s">
        <v>235</v>
      </c>
      <c r="B157" s="52" t="str">
        <f>VLOOKUP(A157,'Billing Dimensions'!A:B,2,FALSE)</f>
        <v>SB</v>
      </c>
      <c r="C157" s="136">
        <f>VLOOKUP(A157,'Billing Dimensions'!$A:$N,3,FALSE)-VLOOKUP(A157,'Audit Dimensions'!$A:$N,3,FALSE)</f>
        <v>0</v>
      </c>
      <c r="D157" s="136">
        <f>VLOOKUP(A157,'Billing Dimensions'!$A:$N,4,FALSE)-VLOOKUP(A157,'Audit Dimensions'!$A:$N,4,FALSE)</f>
        <v>1</v>
      </c>
      <c r="E157" s="136">
        <f>VLOOKUP(A157,'Billing Dimensions'!$A:$N,5,FALSE)-VLOOKUP(A157,'Audit Dimensions'!$A:$N,5,FALSE)</f>
        <v>-1</v>
      </c>
      <c r="F157" s="137">
        <f>VLOOKUP(A157,'Billing Dimensions'!$A:$N,6,FALSE)-VLOOKUP(A157,'Audit Dimensions'!$A:$N,6,FALSE)</f>
        <v>-1720</v>
      </c>
      <c r="G157" s="138">
        <f>VLOOKUP(A157,'Billing Dimensions'!$A:$N,7,FALSE)-VLOOKUP(A157,'Audit Dimensions'!$A:$N,7,FALSE)</f>
        <v>0</v>
      </c>
      <c r="H157" s="138">
        <f>VLOOKUP(A157,'Billing Dimensions'!$A:$N,8,FALSE)-VLOOKUP(A157,'Audit Dimensions'!$A:$N,8,FALSE)</f>
        <v>0</v>
      </c>
      <c r="I157" s="138">
        <f>VLOOKUP(A157,'Billing Dimensions'!$A:$N,9,FALSE)-VLOOKUP(A157,'Audit Dimensions'!$A:$N,9,FALSE)</f>
        <v>0</v>
      </c>
      <c r="J157" s="139">
        <f>VLOOKUP(A157,'Billing Dimensions'!$A:$N,10,FALSE)-VLOOKUP(A157,'Audit Dimensions'!$A:$N,10,FALSE)</f>
        <v>0</v>
      </c>
      <c r="K157" s="140">
        <f>VLOOKUP(A157,'Billing Dimensions'!$A:$N,11,FALSE)-VLOOKUP(A157,'Audit Dimensions'!$A:$N,11,FALSE)</f>
        <v>0</v>
      </c>
      <c r="L157" s="140">
        <f>VLOOKUP(A157,'Billing Dimensions'!$A:$N,12,FALSE)-VLOOKUP(A157,'Audit Dimensions'!$A:$N,12,FALSE)</f>
        <v>0</v>
      </c>
      <c r="M157" s="140">
        <f>VLOOKUP(A157,'Billing Dimensions'!$A:$N,13,FALSE)-VLOOKUP(A157,'Audit Dimensions'!$A:$N,13,FALSE)</f>
        <v>0</v>
      </c>
      <c r="N157" s="140">
        <f>VLOOKUP(A157,'Billing Dimensions'!$A:$N,14,FALSE)-VLOOKUP(A157,'Audit Dimensions'!$A:$N,14,FALSE)</f>
        <v>0</v>
      </c>
      <c r="O157" s="147">
        <f>VLOOKUP(A157,'Billing Dimensions'!A:Q,16,FALSE)-VLOOKUP('Audit VAR'!A157,'Audit Dimensions'!A:P,16,FALSE)</f>
        <v>-1720</v>
      </c>
      <c r="P157" s="148">
        <f t="shared" si="6"/>
        <v>-1.72</v>
      </c>
      <c r="Q157" s="151">
        <f t="shared" si="7"/>
        <v>0</v>
      </c>
      <c r="R157" s="80" t="e">
        <f t="shared" si="8"/>
        <v>#DIV/0!</v>
      </c>
    </row>
    <row r="158" spans="1:18" hidden="1">
      <c r="A158" s="132" t="s">
        <v>240</v>
      </c>
      <c r="B158" s="52" t="str">
        <f>VLOOKUP(A158,'Billing Dimensions'!A:B,2,FALSE)</f>
        <v>SB</v>
      </c>
      <c r="C158" s="136">
        <f>VLOOKUP(A158,'Billing Dimensions'!$A:$N,3,FALSE)-VLOOKUP(A158,'Audit Dimensions'!$A:$N,3,FALSE)</f>
        <v>0</v>
      </c>
      <c r="D158" s="136">
        <f>VLOOKUP(A158,'Billing Dimensions'!$A:$N,4,FALSE)-VLOOKUP(A158,'Audit Dimensions'!$A:$N,4,FALSE)</f>
        <v>2</v>
      </c>
      <c r="E158" s="136">
        <f>VLOOKUP(A158,'Billing Dimensions'!$A:$N,5,FALSE)-VLOOKUP(A158,'Audit Dimensions'!$A:$N,5,FALSE)</f>
        <v>0</v>
      </c>
      <c r="F158" s="137">
        <f>VLOOKUP(A158,'Billing Dimensions'!$A:$N,6,FALSE)-VLOOKUP(A158,'Audit Dimensions'!$A:$N,6,FALSE)</f>
        <v>-350</v>
      </c>
      <c r="G158" s="138">
        <f>VLOOKUP(A158,'Billing Dimensions'!$A:$N,7,FALSE)-VLOOKUP(A158,'Audit Dimensions'!$A:$N,7,FALSE)</f>
        <v>0</v>
      </c>
      <c r="H158" s="138">
        <f>VLOOKUP(A158,'Billing Dimensions'!$A:$N,8,FALSE)-VLOOKUP(A158,'Audit Dimensions'!$A:$N,8,FALSE)</f>
        <v>0</v>
      </c>
      <c r="I158" s="138">
        <f>VLOOKUP(A158,'Billing Dimensions'!$A:$N,9,FALSE)-VLOOKUP(A158,'Audit Dimensions'!$A:$N,9,FALSE)</f>
        <v>0</v>
      </c>
      <c r="J158" s="139">
        <f>VLOOKUP(A158,'Billing Dimensions'!$A:$N,10,FALSE)-VLOOKUP(A158,'Audit Dimensions'!$A:$N,10,FALSE)</f>
        <v>0</v>
      </c>
      <c r="K158" s="140">
        <f>VLOOKUP(A158,'Billing Dimensions'!$A:$N,11,FALSE)-VLOOKUP(A158,'Audit Dimensions'!$A:$N,11,FALSE)</f>
        <v>0</v>
      </c>
      <c r="L158" s="140">
        <f>VLOOKUP(A158,'Billing Dimensions'!$A:$N,12,FALSE)-VLOOKUP(A158,'Audit Dimensions'!$A:$N,12,FALSE)</f>
        <v>0</v>
      </c>
      <c r="M158" s="140">
        <f>VLOOKUP(A158,'Billing Dimensions'!$A:$N,13,FALSE)-VLOOKUP(A158,'Audit Dimensions'!$A:$N,13,FALSE)</f>
        <v>0</v>
      </c>
      <c r="N158" s="140">
        <f>VLOOKUP(A158,'Billing Dimensions'!$A:$N,14,FALSE)-VLOOKUP(A158,'Audit Dimensions'!$A:$N,14,FALSE)</f>
        <v>0</v>
      </c>
      <c r="O158" s="147">
        <f>VLOOKUP(A158,'Billing Dimensions'!A:Q,16,FALSE)-VLOOKUP('Audit VAR'!A158,'Audit Dimensions'!A:P,16,FALSE)</f>
        <v>-350</v>
      </c>
      <c r="P158" s="148">
        <f t="shared" si="6"/>
        <v>-0.35</v>
      </c>
      <c r="Q158" s="151">
        <f t="shared" si="7"/>
        <v>0</v>
      </c>
      <c r="R158" s="80" t="e">
        <f t="shared" si="8"/>
        <v>#DIV/0!</v>
      </c>
    </row>
    <row r="159" spans="1:18" ht="14.45" hidden="1" customHeight="1">
      <c r="A159" s="132" t="s">
        <v>241</v>
      </c>
      <c r="B159" s="52" t="str">
        <f>VLOOKUP(A159,'Billing Dimensions'!A:B,2,FALSE)</f>
        <v>SB</v>
      </c>
      <c r="C159" s="136" t="e">
        <f>VLOOKUP(A159,'Billing Dimensions'!$A:$N,3,FALSE)-VLOOKUP(A159,'Audit Dimensions'!$A:$N,3,FALSE)</f>
        <v>#N/A</v>
      </c>
      <c r="D159" s="136" t="e">
        <f>VLOOKUP(A159,'Billing Dimensions'!$A:$N,4,FALSE)-VLOOKUP(A159,'Audit Dimensions'!$A:$N,4,FALSE)</f>
        <v>#N/A</v>
      </c>
      <c r="E159" s="136" t="e">
        <f>VLOOKUP(A159,'Billing Dimensions'!$A:$N,5,FALSE)-VLOOKUP(A159,'Audit Dimensions'!$A:$N,5,FALSE)</f>
        <v>#N/A</v>
      </c>
      <c r="F159" s="137" t="e">
        <f>VLOOKUP(A159,'Billing Dimensions'!$A:$N,6,FALSE)-VLOOKUP(A159,'Audit Dimensions'!$A:$N,6,FALSE)</f>
        <v>#N/A</v>
      </c>
      <c r="G159" s="138" t="e">
        <f>VLOOKUP(A159,'Billing Dimensions'!$A:$N,7,FALSE)-VLOOKUP(A159,'Audit Dimensions'!$A:$N,7,FALSE)</f>
        <v>#N/A</v>
      </c>
      <c r="H159" s="138" t="e">
        <f>VLOOKUP(A159,'Billing Dimensions'!$A:$N,8,FALSE)-VLOOKUP(A159,'Audit Dimensions'!$A:$N,8,FALSE)</f>
        <v>#N/A</v>
      </c>
      <c r="I159" s="138" t="e">
        <f>VLOOKUP(A159,'Billing Dimensions'!$A:$N,9,FALSE)-VLOOKUP(A159,'Audit Dimensions'!$A:$N,9,FALSE)</f>
        <v>#N/A</v>
      </c>
      <c r="J159" s="139" t="e">
        <f>VLOOKUP(A159,'Billing Dimensions'!$A:$N,10,FALSE)-VLOOKUP(A159,'Audit Dimensions'!$A:$N,10,FALSE)</f>
        <v>#N/A</v>
      </c>
      <c r="K159" s="140" t="e">
        <f>VLOOKUP(A159,'Billing Dimensions'!$A:$N,11,FALSE)-VLOOKUP(A159,'Audit Dimensions'!$A:$N,11,FALSE)</f>
        <v>#N/A</v>
      </c>
      <c r="L159" s="140" t="e">
        <f>VLOOKUP(A159,'Billing Dimensions'!$A:$N,12,FALSE)-VLOOKUP(A159,'Audit Dimensions'!$A:$N,12,FALSE)</f>
        <v>#N/A</v>
      </c>
      <c r="M159" s="140" t="e">
        <f>VLOOKUP(A159,'Billing Dimensions'!$A:$N,13,FALSE)-VLOOKUP(A159,'Audit Dimensions'!$A:$N,13,FALSE)</f>
        <v>#N/A</v>
      </c>
      <c r="N159" s="140" t="e">
        <f>VLOOKUP(A159,'Billing Dimensions'!$A:$N,14,FALSE)-VLOOKUP(A159,'Audit Dimensions'!$A:$N,14,FALSE)</f>
        <v>#N/A</v>
      </c>
      <c r="O159" s="147" t="e">
        <f>VLOOKUP(A159,'Billing Dimensions'!A:Q,16,FALSE)-VLOOKUP('Audit VAR'!A159,'Audit Dimensions'!A:P,16,FALSE)</f>
        <v>#N/A</v>
      </c>
      <c r="P159" s="148" t="e">
        <f t="shared" si="6"/>
        <v>#N/A</v>
      </c>
      <c r="Q159" s="151" t="e">
        <f t="shared" si="7"/>
        <v>#N/A</v>
      </c>
      <c r="R159" s="80" t="e">
        <f t="shared" si="8"/>
        <v>#N/A</v>
      </c>
    </row>
    <row r="160" spans="1:18" hidden="1">
      <c r="A160" s="132" t="s">
        <v>242</v>
      </c>
      <c r="B160" s="52" t="str">
        <f>VLOOKUP(A160,'Billing Dimensions'!A:B,2,FALSE)</f>
        <v>SB</v>
      </c>
      <c r="C160" s="136">
        <f>VLOOKUP(A160,'Billing Dimensions'!$A:$N,3,FALSE)-VLOOKUP(A160,'Audit Dimensions'!$A:$N,3,FALSE)</f>
        <v>0</v>
      </c>
      <c r="D160" s="136">
        <f>VLOOKUP(A160,'Billing Dimensions'!$A:$N,4,FALSE)-VLOOKUP(A160,'Audit Dimensions'!$A:$N,4,FALSE)</f>
        <v>2</v>
      </c>
      <c r="E160" s="136">
        <f>VLOOKUP(A160,'Billing Dimensions'!$A:$N,5,FALSE)-VLOOKUP(A160,'Audit Dimensions'!$A:$N,5,FALSE)</f>
        <v>0</v>
      </c>
      <c r="F160" s="137">
        <f>VLOOKUP(A160,'Billing Dimensions'!$A:$N,6,FALSE)-VLOOKUP(A160,'Audit Dimensions'!$A:$N,6,FALSE)</f>
        <v>-2500</v>
      </c>
      <c r="G160" s="138">
        <f>VLOOKUP(A160,'Billing Dimensions'!$A:$N,7,FALSE)-VLOOKUP(A160,'Audit Dimensions'!$A:$N,7,FALSE)</f>
        <v>0</v>
      </c>
      <c r="H160" s="138">
        <f>VLOOKUP(A160,'Billing Dimensions'!$A:$N,8,FALSE)-VLOOKUP(A160,'Audit Dimensions'!$A:$N,8,FALSE)</f>
        <v>0</v>
      </c>
      <c r="I160" s="138">
        <f>VLOOKUP(A160,'Billing Dimensions'!$A:$N,9,FALSE)-VLOOKUP(A160,'Audit Dimensions'!$A:$N,9,FALSE)</f>
        <v>0</v>
      </c>
      <c r="J160" s="139">
        <f>VLOOKUP(A160,'Billing Dimensions'!$A:$N,10,FALSE)-VLOOKUP(A160,'Audit Dimensions'!$A:$N,10,FALSE)</f>
        <v>0</v>
      </c>
      <c r="K160" s="140">
        <f>VLOOKUP(A160,'Billing Dimensions'!$A:$N,11,FALSE)-VLOOKUP(A160,'Audit Dimensions'!$A:$N,11,FALSE)</f>
        <v>0</v>
      </c>
      <c r="L160" s="140">
        <f>VLOOKUP(A160,'Billing Dimensions'!$A:$N,12,FALSE)-VLOOKUP(A160,'Audit Dimensions'!$A:$N,12,FALSE)</f>
        <v>0</v>
      </c>
      <c r="M160" s="140">
        <f>VLOOKUP(A160,'Billing Dimensions'!$A:$N,13,FALSE)-VLOOKUP(A160,'Audit Dimensions'!$A:$N,13,FALSE)</f>
        <v>0</v>
      </c>
      <c r="N160" s="140">
        <f>VLOOKUP(A160,'Billing Dimensions'!$A:$N,14,FALSE)-VLOOKUP(A160,'Audit Dimensions'!$A:$N,14,FALSE)</f>
        <v>0</v>
      </c>
      <c r="O160" s="147">
        <f>VLOOKUP(A160,'Billing Dimensions'!A:Q,16,FALSE)-VLOOKUP('Audit VAR'!A160,'Audit Dimensions'!A:P,16,FALSE)</f>
        <v>-2500</v>
      </c>
      <c r="P160" s="148">
        <f t="shared" si="6"/>
        <v>-2.5</v>
      </c>
      <c r="Q160" s="151">
        <f t="shared" si="7"/>
        <v>0</v>
      </c>
      <c r="R160" s="80" t="e">
        <f t="shared" si="8"/>
        <v>#DIV/0!</v>
      </c>
    </row>
    <row r="161" spans="1:18" ht="14.45" hidden="1" customHeight="1">
      <c r="A161" s="132" t="s">
        <v>243</v>
      </c>
      <c r="B161" s="52" t="str">
        <f>VLOOKUP(A161,'Billing Dimensions'!A:B,2,FALSE)</f>
        <v>SB</v>
      </c>
      <c r="C161" s="136" t="e">
        <f>VLOOKUP(A161,'Billing Dimensions'!$A:$N,3,FALSE)-VLOOKUP(A161,'Audit Dimensions'!$A:$N,3,FALSE)</f>
        <v>#N/A</v>
      </c>
      <c r="D161" s="136" t="e">
        <f>VLOOKUP(A161,'Billing Dimensions'!$A:$N,4,FALSE)-VLOOKUP(A161,'Audit Dimensions'!$A:$N,4,FALSE)</f>
        <v>#N/A</v>
      </c>
      <c r="E161" s="136" t="e">
        <f>VLOOKUP(A161,'Billing Dimensions'!$A:$N,5,FALSE)-VLOOKUP(A161,'Audit Dimensions'!$A:$N,5,FALSE)</f>
        <v>#N/A</v>
      </c>
      <c r="F161" s="137" t="e">
        <f>VLOOKUP(A161,'Billing Dimensions'!$A:$N,6,FALSE)-VLOOKUP(A161,'Audit Dimensions'!$A:$N,6,FALSE)</f>
        <v>#N/A</v>
      </c>
      <c r="G161" s="138" t="e">
        <f>VLOOKUP(A161,'Billing Dimensions'!$A:$N,7,FALSE)-VLOOKUP(A161,'Audit Dimensions'!$A:$N,7,FALSE)</f>
        <v>#N/A</v>
      </c>
      <c r="H161" s="138" t="e">
        <f>VLOOKUP(A161,'Billing Dimensions'!$A:$N,8,FALSE)-VLOOKUP(A161,'Audit Dimensions'!$A:$N,8,FALSE)</f>
        <v>#N/A</v>
      </c>
      <c r="I161" s="138" t="e">
        <f>VLOOKUP(A161,'Billing Dimensions'!$A:$N,9,FALSE)-VLOOKUP(A161,'Audit Dimensions'!$A:$N,9,FALSE)</f>
        <v>#N/A</v>
      </c>
      <c r="J161" s="139" t="e">
        <f>VLOOKUP(A161,'Billing Dimensions'!$A:$N,10,FALSE)-VLOOKUP(A161,'Audit Dimensions'!$A:$N,10,FALSE)</f>
        <v>#N/A</v>
      </c>
      <c r="K161" s="140" t="e">
        <f>VLOOKUP(A161,'Billing Dimensions'!$A:$N,11,FALSE)-VLOOKUP(A161,'Audit Dimensions'!$A:$N,11,FALSE)</f>
        <v>#N/A</v>
      </c>
      <c r="L161" s="140" t="e">
        <f>VLOOKUP(A161,'Billing Dimensions'!$A:$N,12,FALSE)-VLOOKUP(A161,'Audit Dimensions'!$A:$N,12,FALSE)</f>
        <v>#N/A</v>
      </c>
      <c r="M161" s="140" t="e">
        <f>VLOOKUP(A161,'Billing Dimensions'!$A:$N,13,FALSE)-VLOOKUP(A161,'Audit Dimensions'!$A:$N,13,FALSE)</f>
        <v>#N/A</v>
      </c>
      <c r="N161" s="140" t="e">
        <f>VLOOKUP(A161,'Billing Dimensions'!$A:$N,14,FALSE)-VLOOKUP(A161,'Audit Dimensions'!$A:$N,14,FALSE)</f>
        <v>#N/A</v>
      </c>
      <c r="O161" s="147" t="e">
        <f>VLOOKUP(A161,'Billing Dimensions'!A:Q,16,FALSE)-VLOOKUP('Audit VAR'!A161,'Audit Dimensions'!A:P,16,FALSE)</f>
        <v>#N/A</v>
      </c>
      <c r="P161" s="148" t="e">
        <f t="shared" si="6"/>
        <v>#N/A</v>
      </c>
      <c r="Q161" s="151" t="e">
        <f t="shared" si="7"/>
        <v>#N/A</v>
      </c>
      <c r="R161" s="80" t="e">
        <f t="shared" si="8"/>
        <v>#N/A</v>
      </c>
    </row>
    <row r="162" spans="1:18" hidden="1">
      <c r="A162" s="132" t="s">
        <v>246</v>
      </c>
      <c r="B162" s="52" t="str">
        <f>VLOOKUP(A162,'Billing Dimensions'!A:B,2,FALSE)</f>
        <v>SB</v>
      </c>
      <c r="C162" s="136">
        <f>VLOOKUP(A162,'Billing Dimensions'!$A:$N,3,FALSE)-VLOOKUP(A162,'Audit Dimensions'!$A:$N,3,FALSE)</f>
        <v>0</v>
      </c>
      <c r="D162" s="136">
        <f>VLOOKUP(A162,'Billing Dimensions'!$A:$N,4,FALSE)-VLOOKUP(A162,'Audit Dimensions'!$A:$N,4,FALSE)</f>
        <v>-4</v>
      </c>
      <c r="E162" s="136">
        <f>VLOOKUP(A162,'Billing Dimensions'!$A:$N,5,FALSE)-VLOOKUP(A162,'Audit Dimensions'!$A:$N,5,FALSE)</f>
        <v>1</v>
      </c>
      <c r="F162" s="137">
        <f>VLOOKUP(A162,'Billing Dimensions'!$A:$N,6,FALSE)-VLOOKUP(A162,'Audit Dimensions'!$A:$N,6,FALSE)</f>
        <v>-1300</v>
      </c>
      <c r="G162" s="138">
        <f>VLOOKUP(A162,'Billing Dimensions'!$A:$N,7,FALSE)-VLOOKUP(A162,'Audit Dimensions'!$A:$N,7,FALSE)</f>
        <v>0</v>
      </c>
      <c r="H162" s="138">
        <f>VLOOKUP(A162,'Billing Dimensions'!$A:$N,8,FALSE)-VLOOKUP(A162,'Audit Dimensions'!$A:$N,8,FALSE)</f>
        <v>0</v>
      </c>
      <c r="I162" s="138">
        <f>VLOOKUP(A162,'Billing Dimensions'!$A:$N,9,FALSE)-VLOOKUP(A162,'Audit Dimensions'!$A:$N,9,FALSE)</f>
        <v>0</v>
      </c>
      <c r="J162" s="139">
        <f>VLOOKUP(A162,'Billing Dimensions'!$A:$N,10,FALSE)-VLOOKUP(A162,'Audit Dimensions'!$A:$N,10,FALSE)</f>
        <v>0</v>
      </c>
      <c r="K162" s="140">
        <f>VLOOKUP(A162,'Billing Dimensions'!$A:$N,11,FALSE)-VLOOKUP(A162,'Audit Dimensions'!$A:$N,11,FALSE)</f>
        <v>0</v>
      </c>
      <c r="L162" s="140">
        <f>VLOOKUP(A162,'Billing Dimensions'!$A:$N,12,FALSE)-VLOOKUP(A162,'Audit Dimensions'!$A:$N,12,FALSE)</f>
        <v>0</v>
      </c>
      <c r="M162" s="140">
        <f>VLOOKUP(A162,'Billing Dimensions'!$A:$N,13,FALSE)-VLOOKUP(A162,'Audit Dimensions'!$A:$N,13,FALSE)</f>
        <v>0</v>
      </c>
      <c r="N162" s="140">
        <f>VLOOKUP(A162,'Billing Dimensions'!$A:$N,14,FALSE)-VLOOKUP(A162,'Audit Dimensions'!$A:$N,14,FALSE)</f>
        <v>0</v>
      </c>
      <c r="O162" s="147">
        <f>VLOOKUP(A162,'Billing Dimensions'!A:Q,16,FALSE)-VLOOKUP('Audit VAR'!A162,'Audit Dimensions'!A:P,16,FALSE)</f>
        <v>-1300</v>
      </c>
      <c r="P162" s="148">
        <f t="shared" si="6"/>
        <v>-1.3</v>
      </c>
      <c r="Q162" s="151">
        <f t="shared" si="7"/>
        <v>0</v>
      </c>
      <c r="R162" s="80" t="e">
        <f t="shared" si="8"/>
        <v>#DIV/0!</v>
      </c>
    </row>
    <row r="163" spans="1:18" ht="14.45" hidden="1" customHeight="1">
      <c r="A163" s="132" t="s">
        <v>247</v>
      </c>
      <c r="B163" s="52" t="str">
        <f>VLOOKUP(A163,'Billing Dimensions'!A:B,2,FALSE)</f>
        <v>SB</v>
      </c>
      <c r="C163" s="136">
        <f>VLOOKUP(A163,'Billing Dimensions'!$A:$N,3,FALSE)-VLOOKUP(A163,'Audit Dimensions'!$A:$N,3,FALSE)</f>
        <v>-1</v>
      </c>
      <c r="D163" s="136">
        <f>VLOOKUP(A163,'Billing Dimensions'!$A:$N,4,FALSE)-VLOOKUP(A163,'Audit Dimensions'!$A:$N,4,FALSE)</f>
        <v>0</v>
      </c>
      <c r="E163" s="136">
        <f>VLOOKUP(A163,'Billing Dimensions'!$A:$N,5,FALSE)-VLOOKUP(A163,'Audit Dimensions'!$A:$N,5,FALSE)</f>
        <v>0</v>
      </c>
      <c r="F163" s="137">
        <f>VLOOKUP(A163,'Billing Dimensions'!$A:$N,6,FALSE)-VLOOKUP(A163,'Audit Dimensions'!$A:$N,6,FALSE)</f>
        <v>-370</v>
      </c>
      <c r="G163" s="138">
        <f>VLOOKUP(A163,'Billing Dimensions'!$A:$N,7,FALSE)-VLOOKUP(A163,'Audit Dimensions'!$A:$N,7,FALSE)</f>
        <v>0</v>
      </c>
      <c r="H163" s="138">
        <f>VLOOKUP(A163,'Billing Dimensions'!$A:$N,8,FALSE)-VLOOKUP(A163,'Audit Dimensions'!$A:$N,8,FALSE)</f>
        <v>0</v>
      </c>
      <c r="I163" s="138">
        <f>VLOOKUP(A163,'Billing Dimensions'!$A:$N,9,FALSE)-VLOOKUP(A163,'Audit Dimensions'!$A:$N,9,FALSE)</f>
        <v>0</v>
      </c>
      <c r="J163" s="139">
        <f>VLOOKUP(A163,'Billing Dimensions'!$A:$N,10,FALSE)-VLOOKUP(A163,'Audit Dimensions'!$A:$N,10,FALSE)</f>
        <v>0</v>
      </c>
      <c r="K163" s="140">
        <f>VLOOKUP(A163,'Billing Dimensions'!$A:$N,11,FALSE)-VLOOKUP(A163,'Audit Dimensions'!$A:$N,11,FALSE)</f>
        <v>0</v>
      </c>
      <c r="L163" s="140">
        <f>VLOOKUP(A163,'Billing Dimensions'!$A:$N,12,FALSE)-VLOOKUP(A163,'Audit Dimensions'!$A:$N,12,FALSE)</f>
        <v>0</v>
      </c>
      <c r="M163" s="140">
        <f>VLOOKUP(A163,'Billing Dimensions'!$A:$N,13,FALSE)-VLOOKUP(A163,'Audit Dimensions'!$A:$N,13,FALSE)</f>
        <v>0</v>
      </c>
      <c r="N163" s="140">
        <f>VLOOKUP(A163,'Billing Dimensions'!$A:$N,14,FALSE)-VLOOKUP(A163,'Audit Dimensions'!$A:$N,14,FALSE)</f>
        <v>0</v>
      </c>
      <c r="O163" s="147">
        <f>VLOOKUP(A163,'Billing Dimensions'!A:Q,16,FALSE)-VLOOKUP('Audit VAR'!A163,'Audit Dimensions'!A:P,16,FALSE)</f>
        <v>-370</v>
      </c>
      <c r="P163" s="148">
        <f t="shared" si="6"/>
        <v>-0.37</v>
      </c>
      <c r="Q163" s="151">
        <f t="shared" si="7"/>
        <v>0</v>
      </c>
      <c r="R163" s="80" t="e">
        <f t="shared" si="8"/>
        <v>#DIV/0!</v>
      </c>
    </row>
    <row r="164" spans="1:18" ht="14.45" hidden="1" customHeight="1">
      <c r="A164" s="132" t="s">
        <v>248</v>
      </c>
      <c r="B164" s="52" t="str">
        <f>VLOOKUP(A164,'Billing Dimensions'!A:B,2,FALSE)</f>
        <v>SB</v>
      </c>
      <c r="C164" s="136">
        <f>VLOOKUP(A164,'Billing Dimensions'!$A:$N,3,FALSE)-VLOOKUP(A164,'Audit Dimensions'!$A:$N,3,FALSE)</f>
        <v>0</v>
      </c>
      <c r="D164" s="136">
        <f>VLOOKUP(A164,'Billing Dimensions'!$A:$N,4,FALSE)-VLOOKUP(A164,'Audit Dimensions'!$A:$N,4,FALSE)</f>
        <v>3</v>
      </c>
      <c r="E164" s="136">
        <f>VLOOKUP(A164,'Billing Dimensions'!$A:$N,5,FALSE)-VLOOKUP(A164,'Audit Dimensions'!$A:$N,5,FALSE)</f>
        <v>-1</v>
      </c>
      <c r="F164" s="137">
        <f>VLOOKUP(A164,'Billing Dimensions'!$A:$N,6,FALSE)-VLOOKUP(A164,'Audit Dimensions'!$A:$N,6,FALSE)</f>
        <v>350</v>
      </c>
      <c r="G164" s="138">
        <f>VLOOKUP(A164,'Billing Dimensions'!$A:$N,7,FALSE)-VLOOKUP(A164,'Audit Dimensions'!$A:$N,7,FALSE)</f>
        <v>0</v>
      </c>
      <c r="H164" s="138">
        <f>VLOOKUP(A164,'Billing Dimensions'!$A:$N,8,FALSE)-VLOOKUP(A164,'Audit Dimensions'!$A:$N,8,FALSE)</f>
        <v>0</v>
      </c>
      <c r="I164" s="138">
        <f>VLOOKUP(A164,'Billing Dimensions'!$A:$N,9,FALSE)-VLOOKUP(A164,'Audit Dimensions'!$A:$N,9,FALSE)</f>
        <v>0</v>
      </c>
      <c r="J164" s="139">
        <f>VLOOKUP(A164,'Billing Dimensions'!$A:$N,10,FALSE)-VLOOKUP(A164,'Audit Dimensions'!$A:$N,10,FALSE)</f>
        <v>0</v>
      </c>
      <c r="K164" s="140">
        <f>VLOOKUP(A164,'Billing Dimensions'!$A:$N,11,FALSE)-VLOOKUP(A164,'Audit Dimensions'!$A:$N,11,FALSE)</f>
        <v>0</v>
      </c>
      <c r="L164" s="140">
        <f>VLOOKUP(A164,'Billing Dimensions'!$A:$N,12,FALSE)-VLOOKUP(A164,'Audit Dimensions'!$A:$N,12,FALSE)</f>
        <v>0</v>
      </c>
      <c r="M164" s="140">
        <f>VLOOKUP(A164,'Billing Dimensions'!$A:$N,13,FALSE)-VLOOKUP(A164,'Audit Dimensions'!$A:$N,13,FALSE)</f>
        <v>0</v>
      </c>
      <c r="N164" s="140">
        <f>VLOOKUP(A164,'Billing Dimensions'!$A:$N,14,FALSE)-VLOOKUP(A164,'Audit Dimensions'!$A:$N,14,FALSE)</f>
        <v>0</v>
      </c>
      <c r="O164" s="147">
        <f>VLOOKUP(A164,'Billing Dimensions'!A:Q,16,FALSE)-VLOOKUP('Audit VAR'!A164,'Audit Dimensions'!A:P,16,FALSE)</f>
        <v>350</v>
      </c>
      <c r="P164" s="148">
        <f t="shared" si="6"/>
        <v>0.35</v>
      </c>
      <c r="Q164" s="151">
        <f t="shared" si="7"/>
        <v>0</v>
      </c>
      <c r="R164" s="80" t="e">
        <f t="shared" si="8"/>
        <v>#DIV/0!</v>
      </c>
    </row>
    <row r="165" spans="1:18" ht="14.45" hidden="1" customHeight="1">
      <c r="A165" s="132" t="s">
        <v>392</v>
      </c>
      <c r="B165" s="52" t="e">
        <f>VLOOKUP(A165,'Billing Dimensions'!A:B,2,FALSE)</f>
        <v>#N/A</v>
      </c>
      <c r="C165" s="136" t="e">
        <f>VLOOKUP(A165,'Billing Dimensions'!$A:$N,3,FALSE)-VLOOKUP(A165,'Audit Dimensions'!$A:$N,3,FALSE)</f>
        <v>#N/A</v>
      </c>
      <c r="D165" s="136" t="e">
        <f>VLOOKUP(A165,'Billing Dimensions'!$A:$N,4,FALSE)-VLOOKUP(A165,'Audit Dimensions'!$A:$N,4,FALSE)</f>
        <v>#N/A</v>
      </c>
      <c r="E165" s="136" t="e">
        <f>VLOOKUP(A165,'Billing Dimensions'!$A:$N,5,FALSE)-VLOOKUP(A165,'Audit Dimensions'!$A:$N,5,FALSE)</f>
        <v>#N/A</v>
      </c>
      <c r="F165" s="137" t="e">
        <f>VLOOKUP(A165,'Billing Dimensions'!$A:$N,6,FALSE)-VLOOKUP(A165,'Audit Dimensions'!$A:$N,6,FALSE)</f>
        <v>#N/A</v>
      </c>
      <c r="G165" s="138" t="e">
        <f>VLOOKUP(A165,'Billing Dimensions'!$A:$N,7,FALSE)-VLOOKUP(A165,'Audit Dimensions'!$A:$N,7,FALSE)</f>
        <v>#N/A</v>
      </c>
      <c r="H165" s="138" t="e">
        <f>VLOOKUP(A165,'Billing Dimensions'!$A:$N,8,FALSE)-VLOOKUP(A165,'Audit Dimensions'!$A:$N,8,FALSE)</f>
        <v>#N/A</v>
      </c>
      <c r="I165" s="138" t="e">
        <f>VLOOKUP(A165,'Billing Dimensions'!$A:$N,9,FALSE)-VLOOKUP(A165,'Audit Dimensions'!$A:$N,9,FALSE)</f>
        <v>#N/A</v>
      </c>
      <c r="J165" s="139" t="e">
        <f>VLOOKUP(A165,'Billing Dimensions'!$A:$N,10,FALSE)-VLOOKUP(A165,'Audit Dimensions'!$A:$N,10,FALSE)</f>
        <v>#N/A</v>
      </c>
      <c r="K165" s="140" t="e">
        <f>VLOOKUP(A165,'Billing Dimensions'!$A:$N,11,FALSE)-VLOOKUP(A165,'Audit Dimensions'!$A:$N,11,FALSE)</f>
        <v>#N/A</v>
      </c>
      <c r="L165" s="140" t="e">
        <f>VLOOKUP(A165,'Billing Dimensions'!$A:$N,12,FALSE)-VLOOKUP(A165,'Audit Dimensions'!$A:$N,12,FALSE)</f>
        <v>#N/A</v>
      </c>
      <c r="M165" s="140" t="e">
        <f>VLOOKUP(A165,'Billing Dimensions'!$A:$N,13,FALSE)-VLOOKUP(A165,'Audit Dimensions'!$A:$N,13,FALSE)</f>
        <v>#N/A</v>
      </c>
      <c r="N165" s="140" t="e">
        <f>VLOOKUP(A165,'Billing Dimensions'!$A:$N,14,FALSE)-VLOOKUP(A165,'Audit Dimensions'!$A:$N,14,FALSE)</f>
        <v>#N/A</v>
      </c>
      <c r="O165" s="147" t="e">
        <f>VLOOKUP(A165,'Billing Dimensions'!A:Q,16,FALSE)-VLOOKUP('Audit VAR'!A165,'Audit Dimensions'!A:P,16,FALSE)</f>
        <v>#N/A</v>
      </c>
      <c r="P165" s="148" t="e">
        <f t="shared" si="6"/>
        <v>#N/A</v>
      </c>
      <c r="Q165" s="151" t="e">
        <f t="shared" si="7"/>
        <v>#N/A</v>
      </c>
      <c r="R165" s="80" t="e">
        <f t="shared" si="8"/>
        <v>#N/A</v>
      </c>
    </row>
    <row r="166" spans="1:18" ht="14.45" hidden="1" customHeight="1">
      <c r="A166" s="132" t="s">
        <v>250</v>
      </c>
      <c r="B166" s="52" t="str">
        <f>VLOOKUP(A166,'Billing Dimensions'!A:B,2,FALSE)</f>
        <v>SB</v>
      </c>
      <c r="C166" s="136">
        <f>VLOOKUP(A166,'Billing Dimensions'!$A:$N,3,FALSE)-VLOOKUP(A166,'Audit Dimensions'!$A:$N,3,FALSE)</f>
        <v>1</v>
      </c>
      <c r="D166" s="136">
        <f>VLOOKUP(A166,'Billing Dimensions'!$A:$N,4,FALSE)-VLOOKUP(A166,'Audit Dimensions'!$A:$N,4,FALSE)</f>
        <v>0</v>
      </c>
      <c r="E166" s="136">
        <f>VLOOKUP(A166,'Billing Dimensions'!$A:$N,5,FALSE)-VLOOKUP(A166,'Audit Dimensions'!$A:$N,5,FALSE)</f>
        <v>0</v>
      </c>
      <c r="F166" s="137">
        <f>VLOOKUP(A166,'Billing Dimensions'!$A:$N,6,FALSE)-VLOOKUP(A166,'Audit Dimensions'!$A:$N,6,FALSE)</f>
        <v>-750</v>
      </c>
      <c r="G166" s="138">
        <f>VLOOKUP(A166,'Billing Dimensions'!$A:$N,7,FALSE)-VLOOKUP(A166,'Audit Dimensions'!$A:$N,7,FALSE)</f>
        <v>0</v>
      </c>
      <c r="H166" s="138">
        <f>VLOOKUP(A166,'Billing Dimensions'!$A:$N,8,FALSE)-VLOOKUP(A166,'Audit Dimensions'!$A:$N,8,FALSE)</f>
        <v>0</v>
      </c>
      <c r="I166" s="138">
        <f>VLOOKUP(A166,'Billing Dimensions'!$A:$N,9,FALSE)-VLOOKUP(A166,'Audit Dimensions'!$A:$N,9,FALSE)</f>
        <v>0</v>
      </c>
      <c r="J166" s="139">
        <f>VLOOKUP(A166,'Billing Dimensions'!$A:$N,10,FALSE)-VLOOKUP(A166,'Audit Dimensions'!$A:$N,10,FALSE)</f>
        <v>0</v>
      </c>
      <c r="K166" s="140">
        <f>VLOOKUP(A166,'Billing Dimensions'!$A:$N,11,FALSE)-VLOOKUP(A166,'Audit Dimensions'!$A:$N,11,FALSE)</f>
        <v>0</v>
      </c>
      <c r="L166" s="140">
        <f>VLOOKUP(A166,'Billing Dimensions'!$A:$N,12,FALSE)-VLOOKUP(A166,'Audit Dimensions'!$A:$N,12,FALSE)</f>
        <v>0</v>
      </c>
      <c r="M166" s="140">
        <f>VLOOKUP(A166,'Billing Dimensions'!$A:$N,13,FALSE)-VLOOKUP(A166,'Audit Dimensions'!$A:$N,13,FALSE)</f>
        <v>0</v>
      </c>
      <c r="N166" s="140">
        <f>VLOOKUP(A166,'Billing Dimensions'!$A:$N,14,FALSE)-VLOOKUP(A166,'Audit Dimensions'!$A:$N,14,FALSE)</f>
        <v>0</v>
      </c>
      <c r="O166" s="147">
        <f>VLOOKUP(A166,'Billing Dimensions'!A:Q,16,FALSE)-VLOOKUP('Audit VAR'!A166,'Audit Dimensions'!A:P,16,FALSE)</f>
        <v>-750</v>
      </c>
      <c r="P166" s="148">
        <f t="shared" si="6"/>
        <v>-0.75</v>
      </c>
      <c r="Q166" s="151">
        <f t="shared" si="7"/>
        <v>0</v>
      </c>
      <c r="R166" s="80" t="e">
        <f t="shared" si="8"/>
        <v>#DIV/0!</v>
      </c>
    </row>
    <row r="167" spans="1:18" ht="15" hidden="1" customHeight="1">
      <c r="A167" s="132" t="s">
        <v>251</v>
      </c>
      <c r="B167" s="52" t="str">
        <f>VLOOKUP(A167,'Billing Dimensions'!A:B,2,FALSE)</f>
        <v>SB</v>
      </c>
      <c r="C167" s="136">
        <f>VLOOKUP(A167,'Billing Dimensions'!$A:$N,3,FALSE)-VLOOKUP(A167,'Audit Dimensions'!$A:$N,3,FALSE)</f>
        <v>-19</v>
      </c>
      <c r="D167" s="136">
        <f>VLOOKUP(A167,'Billing Dimensions'!$A:$N,4,FALSE)-VLOOKUP(A167,'Audit Dimensions'!$A:$N,4,FALSE)</f>
        <v>-1</v>
      </c>
      <c r="E167" s="136">
        <f>VLOOKUP(A167,'Billing Dimensions'!$A:$N,5,FALSE)-VLOOKUP(A167,'Audit Dimensions'!$A:$N,5,FALSE)</f>
        <v>1</v>
      </c>
      <c r="F167" s="137">
        <f>VLOOKUP(A167,'Billing Dimensions'!$A:$N,6,FALSE)-VLOOKUP(A167,'Audit Dimensions'!$A:$N,6,FALSE)</f>
        <v>-4200</v>
      </c>
      <c r="G167" s="138">
        <f>VLOOKUP(A167,'Billing Dimensions'!$A:$N,7,FALSE)-VLOOKUP(A167,'Audit Dimensions'!$A:$N,7,FALSE)</f>
        <v>0</v>
      </c>
      <c r="H167" s="138">
        <f>VLOOKUP(A167,'Billing Dimensions'!$A:$N,8,FALSE)-VLOOKUP(A167,'Audit Dimensions'!$A:$N,8,FALSE)</f>
        <v>0</v>
      </c>
      <c r="I167" s="138">
        <f>VLOOKUP(A167,'Billing Dimensions'!$A:$N,9,FALSE)-VLOOKUP(A167,'Audit Dimensions'!$A:$N,9,FALSE)</f>
        <v>0</v>
      </c>
      <c r="J167" s="139">
        <f>VLOOKUP(A167,'Billing Dimensions'!$A:$N,10,FALSE)-VLOOKUP(A167,'Audit Dimensions'!$A:$N,10,FALSE)</f>
        <v>0</v>
      </c>
      <c r="K167" s="140">
        <f>VLOOKUP(A167,'Billing Dimensions'!$A:$N,11,FALSE)-VLOOKUP(A167,'Audit Dimensions'!$A:$N,11,FALSE)</f>
        <v>0</v>
      </c>
      <c r="L167" s="140">
        <f>VLOOKUP(A167,'Billing Dimensions'!$A:$N,12,FALSE)-VLOOKUP(A167,'Audit Dimensions'!$A:$N,12,FALSE)</f>
        <v>0</v>
      </c>
      <c r="M167" s="140">
        <f>VLOOKUP(A167,'Billing Dimensions'!$A:$N,13,FALSE)-VLOOKUP(A167,'Audit Dimensions'!$A:$N,13,FALSE)</f>
        <v>0</v>
      </c>
      <c r="N167" s="140">
        <f>VLOOKUP(A167,'Billing Dimensions'!$A:$N,14,FALSE)-VLOOKUP(A167,'Audit Dimensions'!$A:$N,14,FALSE)</f>
        <v>0</v>
      </c>
      <c r="O167" s="147">
        <f>VLOOKUP(A167,'Billing Dimensions'!A:Q,16,FALSE)-VLOOKUP('Audit VAR'!A167,'Audit Dimensions'!A:P,16,FALSE)</f>
        <v>-4200</v>
      </c>
      <c r="P167" s="148">
        <f t="shared" si="6"/>
        <v>-4.2</v>
      </c>
      <c r="Q167" s="151">
        <f t="shared" si="7"/>
        <v>6.7108000000000001E-4</v>
      </c>
      <c r="R167" s="80">
        <f t="shared" si="8"/>
        <v>-6258.5682779996423</v>
      </c>
    </row>
    <row r="168" spans="1:18" ht="14.45" hidden="1" customHeight="1">
      <c r="A168" s="132" t="s">
        <v>252</v>
      </c>
      <c r="B168" s="52" t="str">
        <f>VLOOKUP(A168,'Billing Dimensions'!A:B,2,FALSE)</f>
        <v>SB</v>
      </c>
      <c r="C168" s="136">
        <f>VLOOKUP(A168,'Billing Dimensions'!$A:$N,3,FALSE)-VLOOKUP(A168,'Audit Dimensions'!$A:$N,3,FALSE)</f>
        <v>-18</v>
      </c>
      <c r="D168" s="136">
        <f>VLOOKUP(A168,'Billing Dimensions'!$A:$N,4,FALSE)-VLOOKUP(A168,'Audit Dimensions'!$A:$N,4,FALSE)</f>
        <v>5</v>
      </c>
      <c r="E168" s="136">
        <f>VLOOKUP(A168,'Billing Dimensions'!$A:$N,5,FALSE)-VLOOKUP(A168,'Audit Dimensions'!$A:$N,5,FALSE)</f>
        <v>0</v>
      </c>
      <c r="F168" s="137">
        <f>VLOOKUP(A168,'Billing Dimensions'!$A:$N,6,FALSE)-VLOOKUP(A168,'Audit Dimensions'!$A:$N,6,FALSE)</f>
        <v>-3050</v>
      </c>
      <c r="G168" s="138">
        <f>VLOOKUP(A168,'Billing Dimensions'!$A:$N,7,FALSE)-VLOOKUP(A168,'Audit Dimensions'!$A:$N,7,FALSE)</f>
        <v>0</v>
      </c>
      <c r="H168" s="138">
        <f>VLOOKUP(A168,'Billing Dimensions'!$A:$N,8,FALSE)-VLOOKUP(A168,'Audit Dimensions'!$A:$N,8,FALSE)</f>
        <v>0</v>
      </c>
      <c r="I168" s="138">
        <f>VLOOKUP(A168,'Billing Dimensions'!$A:$N,9,FALSE)-VLOOKUP(A168,'Audit Dimensions'!$A:$N,9,FALSE)</f>
        <v>0</v>
      </c>
      <c r="J168" s="139">
        <f>VLOOKUP(A168,'Billing Dimensions'!$A:$N,10,FALSE)-VLOOKUP(A168,'Audit Dimensions'!$A:$N,10,FALSE)</f>
        <v>0</v>
      </c>
      <c r="K168" s="140">
        <f>VLOOKUP(A168,'Billing Dimensions'!$A:$N,11,FALSE)-VLOOKUP(A168,'Audit Dimensions'!$A:$N,11,FALSE)</f>
        <v>0</v>
      </c>
      <c r="L168" s="140">
        <f>VLOOKUP(A168,'Billing Dimensions'!$A:$N,12,FALSE)-VLOOKUP(A168,'Audit Dimensions'!$A:$N,12,FALSE)</f>
        <v>0</v>
      </c>
      <c r="M168" s="140">
        <f>VLOOKUP(A168,'Billing Dimensions'!$A:$N,13,FALSE)-VLOOKUP(A168,'Audit Dimensions'!$A:$N,13,FALSE)</f>
        <v>0</v>
      </c>
      <c r="N168" s="140">
        <f>VLOOKUP(A168,'Billing Dimensions'!$A:$N,14,FALSE)-VLOOKUP(A168,'Audit Dimensions'!$A:$N,14,FALSE)</f>
        <v>0</v>
      </c>
      <c r="O168" s="147">
        <f>VLOOKUP(A168,'Billing Dimensions'!A:Q,16,FALSE)-VLOOKUP('Audit VAR'!A168,'Audit Dimensions'!A:P,16,FALSE)</f>
        <v>-3050</v>
      </c>
      <c r="P168" s="148">
        <f t="shared" si="6"/>
        <v>-3.05</v>
      </c>
      <c r="Q168" s="151">
        <f t="shared" si="7"/>
        <v>0</v>
      </c>
      <c r="R168" s="80" t="e">
        <f t="shared" si="8"/>
        <v>#DIV/0!</v>
      </c>
    </row>
    <row r="169" spans="1:18" ht="14.45" hidden="1" customHeight="1">
      <c r="A169" s="132" t="s">
        <v>253</v>
      </c>
      <c r="B169" s="52" t="str">
        <f>VLOOKUP(A169,'Billing Dimensions'!A:B,2,FALSE)</f>
        <v>SB</v>
      </c>
      <c r="C169" s="136">
        <f>VLOOKUP(A169,'Billing Dimensions'!$A:$N,3,FALSE)-VLOOKUP(A169,'Audit Dimensions'!$A:$N,3,FALSE)</f>
        <v>15</v>
      </c>
      <c r="D169" s="136">
        <f>VLOOKUP(A169,'Billing Dimensions'!$A:$N,4,FALSE)-VLOOKUP(A169,'Audit Dimensions'!$A:$N,4,FALSE)</f>
        <v>-1</v>
      </c>
      <c r="E169" s="136">
        <f>VLOOKUP(A169,'Billing Dimensions'!$A:$N,5,FALSE)-VLOOKUP(A169,'Audit Dimensions'!$A:$N,5,FALSE)</f>
        <v>0</v>
      </c>
      <c r="F169" s="137">
        <f>VLOOKUP(A169,'Billing Dimensions'!$A:$N,6,FALSE)-VLOOKUP(A169,'Audit Dimensions'!$A:$N,6,FALSE)</f>
        <v>2690</v>
      </c>
      <c r="G169" s="138">
        <f>VLOOKUP(A169,'Billing Dimensions'!$A:$N,7,FALSE)-VLOOKUP(A169,'Audit Dimensions'!$A:$N,7,FALSE)</f>
        <v>0</v>
      </c>
      <c r="H169" s="138">
        <f>VLOOKUP(A169,'Billing Dimensions'!$A:$N,8,FALSE)-VLOOKUP(A169,'Audit Dimensions'!$A:$N,8,FALSE)</f>
        <v>0</v>
      </c>
      <c r="I169" s="138">
        <f>VLOOKUP(A169,'Billing Dimensions'!$A:$N,9,FALSE)-VLOOKUP(A169,'Audit Dimensions'!$A:$N,9,FALSE)</f>
        <v>0</v>
      </c>
      <c r="J169" s="139">
        <f>VLOOKUP(A169,'Billing Dimensions'!$A:$N,10,FALSE)-VLOOKUP(A169,'Audit Dimensions'!$A:$N,10,FALSE)</f>
        <v>0</v>
      </c>
      <c r="K169" s="140">
        <f>VLOOKUP(A169,'Billing Dimensions'!$A:$N,11,FALSE)-VLOOKUP(A169,'Audit Dimensions'!$A:$N,11,FALSE)</f>
        <v>0</v>
      </c>
      <c r="L169" s="140">
        <f>VLOOKUP(A169,'Billing Dimensions'!$A:$N,12,FALSE)-VLOOKUP(A169,'Audit Dimensions'!$A:$N,12,FALSE)</f>
        <v>0</v>
      </c>
      <c r="M169" s="140">
        <f>VLOOKUP(A169,'Billing Dimensions'!$A:$N,13,FALSE)-VLOOKUP(A169,'Audit Dimensions'!$A:$N,13,FALSE)</f>
        <v>0</v>
      </c>
      <c r="N169" s="140">
        <f>VLOOKUP(A169,'Billing Dimensions'!$A:$N,14,FALSE)-VLOOKUP(A169,'Audit Dimensions'!$A:$N,14,FALSE)</f>
        <v>0</v>
      </c>
      <c r="O169" s="147">
        <f>VLOOKUP(A169,'Billing Dimensions'!A:Q,16,FALSE)-VLOOKUP('Audit VAR'!A169,'Audit Dimensions'!A:P,16,FALSE)</f>
        <v>2690</v>
      </c>
      <c r="P169" s="148">
        <f t="shared" si="6"/>
        <v>2.69</v>
      </c>
      <c r="Q169" s="151">
        <f t="shared" si="7"/>
        <v>0</v>
      </c>
      <c r="R169" s="80" t="e">
        <f t="shared" si="8"/>
        <v>#DIV/0!</v>
      </c>
    </row>
    <row r="170" spans="1:18" hidden="1">
      <c r="A170" s="132" t="s">
        <v>254</v>
      </c>
      <c r="B170" s="52" t="str">
        <f>VLOOKUP(A170,'Billing Dimensions'!A:B,2,FALSE)</f>
        <v>SB</v>
      </c>
      <c r="C170" s="136">
        <f>VLOOKUP(A170,'Billing Dimensions'!$A:$N,3,FALSE)-VLOOKUP(A170,'Audit Dimensions'!$A:$N,3,FALSE)</f>
        <v>0</v>
      </c>
      <c r="D170" s="136">
        <f>VLOOKUP(A170,'Billing Dimensions'!$A:$N,4,FALSE)-VLOOKUP(A170,'Audit Dimensions'!$A:$N,4,FALSE)</f>
        <v>0</v>
      </c>
      <c r="E170" s="136">
        <f>VLOOKUP(A170,'Billing Dimensions'!$A:$N,5,FALSE)-VLOOKUP(A170,'Audit Dimensions'!$A:$N,5,FALSE)</f>
        <v>-1</v>
      </c>
      <c r="F170" s="137">
        <f>VLOOKUP(A170,'Billing Dimensions'!$A:$N,6,FALSE)-VLOOKUP(A170,'Audit Dimensions'!$A:$N,6,FALSE)</f>
        <v>-800</v>
      </c>
      <c r="G170" s="138">
        <f>VLOOKUP(A170,'Billing Dimensions'!$A:$N,7,FALSE)-VLOOKUP(A170,'Audit Dimensions'!$A:$N,7,FALSE)</f>
        <v>0</v>
      </c>
      <c r="H170" s="138">
        <f>VLOOKUP(A170,'Billing Dimensions'!$A:$N,8,FALSE)-VLOOKUP(A170,'Audit Dimensions'!$A:$N,8,FALSE)</f>
        <v>0</v>
      </c>
      <c r="I170" s="138">
        <f>VLOOKUP(A170,'Billing Dimensions'!$A:$N,9,FALSE)-VLOOKUP(A170,'Audit Dimensions'!$A:$N,9,FALSE)</f>
        <v>0</v>
      </c>
      <c r="J170" s="139">
        <f>VLOOKUP(A170,'Billing Dimensions'!$A:$N,10,FALSE)-VLOOKUP(A170,'Audit Dimensions'!$A:$N,10,FALSE)</f>
        <v>0</v>
      </c>
      <c r="K170" s="140">
        <f>VLOOKUP(A170,'Billing Dimensions'!$A:$N,11,FALSE)-VLOOKUP(A170,'Audit Dimensions'!$A:$N,11,FALSE)</f>
        <v>0</v>
      </c>
      <c r="L170" s="140">
        <f>VLOOKUP(A170,'Billing Dimensions'!$A:$N,12,FALSE)-VLOOKUP(A170,'Audit Dimensions'!$A:$N,12,FALSE)</f>
        <v>0</v>
      </c>
      <c r="M170" s="140">
        <f>VLOOKUP(A170,'Billing Dimensions'!$A:$N,13,FALSE)-VLOOKUP(A170,'Audit Dimensions'!$A:$N,13,FALSE)</f>
        <v>0</v>
      </c>
      <c r="N170" s="140">
        <f>VLOOKUP(A170,'Billing Dimensions'!$A:$N,14,FALSE)-VLOOKUP(A170,'Audit Dimensions'!$A:$N,14,FALSE)</f>
        <v>0</v>
      </c>
      <c r="O170" s="147">
        <f>VLOOKUP(A170,'Billing Dimensions'!A:Q,16,FALSE)-VLOOKUP('Audit VAR'!A170,'Audit Dimensions'!A:P,16,FALSE)</f>
        <v>-800</v>
      </c>
      <c r="P170" s="148">
        <f t="shared" si="6"/>
        <v>-0.8</v>
      </c>
      <c r="Q170" s="151">
        <f t="shared" si="7"/>
        <v>0</v>
      </c>
      <c r="R170" s="80" t="e">
        <f t="shared" si="8"/>
        <v>#DIV/0!</v>
      </c>
    </row>
    <row r="171" spans="1:18" ht="14.45" hidden="1" customHeight="1">
      <c r="A171" s="132" t="s">
        <v>255</v>
      </c>
      <c r="B171" s="52" t="str">
        <f>VLOOKUP(A171,'Billing Dimensions'!A:B,2,FALSE)</f>
        <v>SB</v>
      </c>
      <c r="C171" s="136">
        <f>VLOOKUP(A171,'Billing Dimensions'!$A:$N,3,FALSE)-VLOOKUP(A171,'Audit Dimensions'!$A:$N,3,FALSE)</f>
        <v>1</v>
      </c>
      <c r="D171" s="136">
        <f>VLOOKUP(A171,'Billing Dimensions'!$A:$N,4,FALSE)-VLOOKUP(A171,'Audit Dimensions'!$A:$N,4,FALSE)</f>
        <v>1</v>
      </c>
      <c r="E171" s="136">
        <f>VLOOKUP(A171,'Billing Dimensions'!$A:$N,5,FALSE)-VLOOKUP(A171,'Audit Dimensions'!$A:$N,5,FALSE)</f>
        <v>0</v>
      </c>
      <c r="F171" s="137">
        <f>VLOOKUP(A171,'Billing Dimensions'!$A:$N,6,FALSE)-VLOOKUP(A171,'Audit Dimensions'!$A:$N,6,FALSE)</f>
        <v>-190</v>
      </c>
      <c r="G171" s="138">
        <f>VLOOKUP(A171,'Billing Dimensions'!$A:$N,7,FALSE)-VLOOKUP(A171,'Audit Dimensions'!$A:$N,7,FALSE)</f>
        <v>0</v>
      </c>
      <c r="H171" s="138">
        <f>VLOOKUP(A171,'Billing Dimensions'!$A:$N,8,FALSE)-VLOOKUP(A171,'Audit Dimensions'!$A:$N,8,FALSE)</f>
        <v>0</v>
      </c>
      <c r="I171" s="138">
        <f>VLOOKUP(A171,'Billing Dimensions'!$A:$N,9,FALSE)-VLOOKUP(A171,'Audit Dimensions'!$A:$N,9,FALSE)</f>
        <v>0</v>
      </c>
      <c r="J171" s="139">
        <f>VLOOKUP(A171,'Billing Dimensions'!$A:$N,10,FALSE)-VLOOKUP(A171,'Audit Dimensions'!$A:$N,10,FALSE)</f>
        <v>0</v>
      </c>
      <c r="K171" s="140">
        <f>VLOOKUP(A171,'Billing Dimensions'!$A:$N,11,FALSE)-VLOOKUP(A171,'Audit Dimensions'!$A:$N,11,FALSE)</f>
        <v>0</v>
      </c>
      <c r="L171" s="140">
        <f>VLOOKUP(A171,'Billing Dimensions'!$A:$N,12,FALSE)-VLOOKUP(A171,'Audit Dimensions'!$A:$N,12,FALSE)</f>
        <v>0</v>
      </c>
      <c r="M171" s="140">
        <f>VLOOKUP(A171,'Billing Dimensions'!$A:$N,13,FALSE)-VLOOKUP(A171,'Audit Dimensions'!$A:$N,13,FALSE)</f>
        <v>0</v>
      </c>
      <c r="N171" s="140">
        <f>VLOOKUP(A171,'Billing Dimensions'!$A:$N,14,FALSE)-VLOOKUP(A171,'Audit Dimensions'!$A:$N,14,FALSE)</f>
        <v>0</v>
      </c>
      <c r="O171" s="147">
        <f>VLOOKUP(A171,'Billing Dimensions'!A:Q,16,FALSE)-VLOOKUP('Audit VAR'!A171,'Audit Dimensions'!A:P,16,FALSE)</f>
        <v>-190</v>
      </c>
      <c r="P171" s="148">
        <f t="shared" si="6"/>
        <v>-0.19</v>
      </c>
      <c r="Q171" s="151">
        <f t="shared" si="7"/>
        <v>0</v>
      </c>
      <c r="R171" s="80" t="e">
        <f t="shared" si="8"/>
        <v>#DIV/0!</v>
      </c>
    </row>
    <row r="172" spans="1:18" ht="14.45" hidden="1" customHeight="1">
      <c r="A172" s="132" t="s">
        <v>256</v>
      </c>
      <c r="B172" s="52" t="str">
        <f>VLOOKUP(A172,'Billing Dimensions'!A:B,2,FALSE)</f>
        <v>SB</v>
      </c>
      <c r="C172" s="136">
        <f>VLOOKUP(A172,'Billing Dimensions'!$A:$N,3,FALSE)-VLOOKUP(A172,'Audit Dimensions'!$A:$N,3,FALSE)</f>
        <v>-2</v>
      </c>
      <c r="D172" s="136">
        <f>VLOOKUP(A172,'Billing Dimensions'!$A:$N,4,FALSE)-VLOOKUP(A172,'Audit Dimensions'!$A:$N,4,FALSE)</f>
        <v>-2</v>
      </c>
      <c r="E172" s="136">
        <f>VLOOKUP(A172,'Billing Dimensions'!$A:$N,5,FALSE)-VLOOKUP(A172,'Audit Dimensions'!$A:$N,5,FALSE)</f>
        <v>1</v>
      </c>
      <c r="F172" s="137">
        <f>VLOOKUP(A172,'Billing Dimensions'!$A:$N,6,FALSE)-VLOOKUP(A172,'Audit Dimensions'!$A:$N,6,FALSE)</f>
        <v>-900</v>
      </c>
      <c r="G172" s="138">
        <f>VLOOKUP(A172,'Billing Dimensions'!$A:$N,7,FALSE)-VLOOKUP(A172,'Audit Dimensions'!$A:$N,7,FALSE)</f>
        <v>0</v>
      </c>
      <c r="H172" s="138">
        <f>VLOOKUP(A172,'Billing Dimensions'!$A:$N,8,FALSE)-VLOOKUP(A172,'Audit Dimensions'!$A:$N,8,FALSE)</f>
        <v>0</v>
      </c>
      <c r="I172" s="138">
        <f>VLOOKUP(A172,'Billing Dimensions'!$A:$N,9,FALSE)-VLOOKUP(A172,'Audit Dimensions'!$A:$N,9,FALSE)</f>
        <v>0</v>
      </c>
      <c r="J172" s="139">
        <f>VLOOKUP(A172,'Billing Dimensions'!$A:$N,10,FALSE)-VLOOKUP(A172,'Audit Dimensions'!$A:$N,10,FALSE)</f>
        <v>0</v>
      </c>
      <c r="K172" s="140">
        <f>VLOOKUP(A172,'Billing Dimensions'!$A:$N,11,FALSE)-VLOOKUP(A172,'Audit Dimensions'!$A:$N,11,FALSE)</f>
        <v>0</v>
      </c>
      <c r="L172" s="140">
        <f>VLOOKUP(A172,'Billing Dimensions'!$A:$N,12,FALSE)-VLOOKUP(A172,'Audit Dimensions'!$A:$N,12,FALSE)</f>
        <v>0</v>
      </c>
      <c r="M172" s="140">
        <f>VLOOKUP(A172,'Billing Dimensions'!$A:$N,13,FALSE)-VLOOKUP(A172,'Audit Dimensions'!$A:$N,13,FALSE)</f>
        <v>0</v>
      </c>
      <c r="N172" s="140">
        <f>VLOOKUP(A172,'Billing Dimensions'!$A:$N,14,FALSE)-VLOOKUP(A172,'Audit Dimensions'!$A:$N,14,FALSE)</f>
        <v>0</v>
      </c>
      <c r="O172" s="147">
        <f>VLOOKUP(A172,'Billing Dimensions'!A:Q,16,FALSE)-VLOOKUP('Audit VAR'!A172,'Audit Dimensions'!A:P,16,FALSE)</f>
        <v>-900</v>
      </c>
      <c r="P172" s="148">
        <f t="shared" si="6"/>
        <v>-0.9</v>
      </c>
      <c r="Q172" s="151">
        <f t="shared" si="7"/>
        <v>1.4128E-4</v>
      </c>
      <c r="R172" s="80">
        <f t="shared" si="8"/>
        <v>-6370.3284258210642</v>
      </c>
    </row>
    <row r="173" spans="1:18" ht="14.45" hidden="1" customHeight="1">
      <c r="A173" s="162" t="s">
        <v>257</v>
      </c>
      <c r="B173" s="52" t="str">
        <f>VLOOKUP(A173,'Billing Dimensions'!A:B,2,FALSE)</f>
        <v>SB</v>
      </c>
      <c r="C173" s="136">
        <f>VLOOKUP(A173,'Billing Dimensions'!$A:$N,3,FALSE)-VLOOKUP(A173,'Audit Dimensions'!$A:$N,3,FALSE)</f>
        <v>0</v>
      </c>
      <c r="D173" s="136">
        <f>VLOOKUP(A173,'Billing Dimensions'!$A:$N,4,FALSE)-VLOOKUP(A173,'Audit Dimensions'!$A:$N,4,FALSE)</f>
        <v>1</v>
      </c>
      <c r="E173" s="136">
        <f>VLOOKUP(A173,'Billing Dimensions'!$A:$N,5,FALSE)-VLOOKUP(A173,'Audit Dimensions'!$A:$N,5,FALSE)</f>
        <v>0</v>
      </c>
      <c r="F173" s="137">
        <f>VLOOKUP(A173,'Billing Dimensions'!$A:$N,6,FALSE)-VLOOKUP(A173,'Audit Dimensions'!$A:$N,6,FALSE)</f>
        <v>-700</v>
      </c>
      <c r="G173" s="138">
        <f>VLOOKUP(A173,'Billing Dimensions'!$A:$N,7,FALSE)-VLOOKUP(A173,'Audit Dimensions'!$A:$N,7,FALSE)</f>
        <v>0</v>
      </c>
      <c r="H173" s="138">
        <f>VLOOKUP(A173,'Billing Dimensions'!$A:$N,8,FALSE)-VLOOKUP(A173,'Audit Dimensions'!$A:$N,8,FALSE)</f>
        <v>0</v>
      </c>
      <c r="I173" s="138">
        <f>VLOOKUP(A173,'Billing Dimensions'!$A:$N,9,FALSE)-VLOOKUP(A173,'Audit Dimensions'!$A:$N,9,FALSE)</f>
        <v>0</v>
      </c>
      <c r="J173" s="139">
        <f>VLOOKUP(A173,'Billing Dimensions'!$A:$N,10,FALSE)-VLOOKUP(A173,'Audit Dimensions'!$A:$N,10,FALSE)</f>
        <v>0</v>
      </c>
      <c r="K173" s="140">
        <f>VLOOKUP(A173,'Billing Dimensions'!$A:$N,11,FALSE)-VLOOKUP(A173,'Audit Dimensions'!$A:$N,11,FALSE)</f>
        <v>0</v>
      </c>
      <c r="L173" s="140">
        <f>VLOOKUP(A173,'Billing Dimensions'!$A:$N,12,FALSE)-VLOOKUP(A173,'Audit Dimensions'!$A:$N,12,FALSE)</f>
        <v>0</v>
      </c>
      <c r="M173" s="140">
        <f>VLOOKUP(A173,'Billing Dimensions'!$A:$N,13,FALSE)-VLOOKUP(A173,'Audit Dimensions'!$A:$N,13,FALSE)</f>
        <v>0</v>
      </c>
      <c r="N173" s="140">
        <f>VLOOKUP(A173,'Billing Dimensions'!$A:$N,14,FALSE)-VLOOKUP(A173,'Audit Dimensions'!$A:$N,14,FALSE)</f>
        <v>0</v>
      </c>
      <c r="O173" s="147">
        <f>VLOOKUP(A173,'Billing Dimensions'!A:Q,16,FALSE)-VLOOKUP('Audit VAR'!A173,'Audit Dimensions'!A:P,16,FALSE)</f>
        <v>-700</v>
      </c>
      <c r="P173" s="148">
        <f t="shared" si="6"/>
        <v>-0.7</v>
      </c>
      <c r="Q173" s="151">
        <f t="shared" si="7"/>
        <v>0</v>
      </c>
      <c r="R173" s="80" t="e">
        <f t="shared" si="8"/>
        <v>#DIV/0!</v>
      </c>
    </row>
    <row r="174" spans="1:18" hidden="1">
      <c r="A174" s="162" t="s">
        <v>258</v>
      </c>
      <c r="B174" s="52" t="str">
        <f>VLOOKUP(A174,'Billing Dimensions'!A:B,2,FALSE)</f>
        <v>SB</v>
      </c>
      <c r="C174" s="136">
        <f>VLOOKUP(A174,'Billing Dimensions'!$A:$N,3,FALSE)-VLOOKUP(A174,'Audit Dimensions'!$A:$N,3,FALSE)</f>
        <v>1</v>
      </c>
      <c r="D174" s="136">
        <f>VLOOKUP(A174,'Billing Dimensions'!$A:$N,4,FALSE)-VLOOKUP(A174,'Audit Dimensions'!$A:$N,4,FALSE)</f>
        <v>2</v>
      </c>
      <c r="E174" s="136">
        <f>VLOOKUP(A174,'Billing Dimensions'!$A:$N,5,FALSE)-VLOOKUP(A174,'Audit Dimensions'!$A:$N,5,FALSE)</f>
        <v>1</v>
      </c>
      <c r="F174" s="137">
        <f>VLOOKUP(A174,'Billing Dimensions'!$A:$N,6,FALSE)-VLOOKUP(A174,'Audit Dimensions'!$A:$N,6,FALSE)</f>
        <v>-200</v>
      </c>
      <c r="G174" s="138">
        <f>VLOOKUP(A174,'Billing Dimensions'!$A:$N,7,FALSE)-VLOOKUP(A174,'Audit Dimensions'!$A:$N,7,FALSE)</f>
        <v>0</v>
      </c>
      <c r="H174" s="138">
        <f>VLOOKUP(A174,'Billing Dimensions'!$A:$N,8,FALSE)-VLOOKUP(A174,'Audit Dimensions'!$A:$N,8,FALSE)</f>
        <v>0</v>
      </c>
      <c r="I174" s="138">
        <f>VLOOKUP(A174,'Billing Dimensions'!$A:$N,9,FALSE)-VLOOKUP(A174,'Audit Dimensions'!$A:$N,9,FALSE)</f>
        <v>0</v>
      </c>
      <c r="J174" s="139">
        <f>VLOOKUP(A174,'Billing Dimensions'!$A:$N,10,FALSE)-VLOOKUP(A174,'Audit Dimensions'!$A:$N,10,FALSE)</f>
        <v>0</v>
      </c>
      <c r="K174" s="140">
        <f>VLOOKUP(A174,'Billing Dimensions'!$A:$N,11,FALSE)-VLOOKUP(A174,'Audit Dimensions'!$A:$N,11,FALSE)</f>
        <v>0</v>
      </c>
      <c r="L174" s="140">
        <f>VLOOKUP(A174,'Billing Dimensions'!$A:$N,12,FALSE)-VLOOKUP(A174,'Audit Dimensions'!$A:$N,12,FALSE)</f>
        <v>0</v>
      </c>
      <c r="M174" s="140">
        <f>VLOOKUP(A174,'Billing Dimensions'!$A:$N,13,FALSE)-VLOOKUP(A174,'Audit Dimensions'!$A:$N,13,FALSE)</f>
        <v>0</v>
      </c>
      <c r="N174" s="140">
        <f>VLOOKUP(A174,'Billing Dimensions'!$A:$N,14,FALSE)-VLOOKUP(A174,'Audit Dimensions'!$A:$N,14,FALSE)</f>
        <v>0</v>
      </c>
      <c r="O174" s="147">
        <f>VLOOKUP(A174,'Billing Dimensions'!A:Q,16,FALSE)-VLOOKUP('Audit VAR'!A174,'Audit Dimensions'!A:P,16,FALSE)</f>
        <v>-200</v>
      </c>
      <c r="P174" s="148">
        <f t="shared" si="6"/>
        <v>-0.2</v>
      </c>
      <c r="Q174" s="151">
        <f t="shared" si="7"/>
        <v>7.0640000000000001E-5</v>
      </c>
      <c r="R174" s="80">
        <f t="shared" si="8"/>
        <v>-2831.2570781426953</v>
      </c>
    </row>
    <row r="175" spans="1:18" ht="14.45" hidden="1" customHeight="1">
      <c r="A175" s="132" t="s">
        <v>259</v>
      </c>
      <c r="B175" s="52" t="str">
        <f>VLOOKUP(A175,'Billing Dimensions'!A:B,2,FALSE)</f>
        <v>SB</v>
      </c>
      <c r="C175" s="136">
        <f>VLOOKUP(A175,'Billing Dimensions'!$A:$N,3,FALSE)-VLOOKUP(A175,'Audit Dimensions'!$A:$N,3,FALSE)</f>
        <v>-59.3</v>
      </c>
      <c r="D175" s="136">
        <f>VLOOKUP(A175,'Billing Dimensions'!$A:$N,4,FALSE)-VLOOKUP(A175,'Audit Dimensions'!$A:$N,4,FALSE)</f>
        <v>-4.8000000000000007</v>
      </c>
      <c r="E175" s="136">
        <f>VLOOKUP(A175,'Billing Dimensions'!$A:$N,5,FALSE)-VLOOKUP(A175,'Audit Dimensions'!$A:$N,5,FALSE)</f>
        <v>-1</v>
      </c>
      <c r="F175" s="137">
        <f>VLOOKUP(A175,'Billing Dimensions'!$A:$N,6,FALSE)-VLOOKUP(A175,'Audit Dimensions'!$A:$N,6,FALSE)</f>
        <v>-4750</v>
      </c>
      <c r="G175" s="138">
        <f>VLOOKUP(A175,'Billing Dimensions'!$A:$N,7,FALSE)-VLOOKUP(A175,'Audit Dimensions'!$A:$N,7,FALSE)</f>
        <v>0</v>
      </c>
      <c r="H175" s="138">
        <f>VLOOKUP(A175,'Billing Dimensions'!$A:$N,8,FALSE)-VLOOKUP(A175,'Audit Dimensions'!$A:$N,8,FALSE)</f>
        <v>0</v>
      </c>
      <c r="I175" s="138">
        <f>VLOOKUP(A175,'Billing Dimensions'!$A:$N,9,FALSE)-VLOOKUP(A175,'Audit Dimensions'!$A:$N,9,FALSE)</f>
        <v>0</v>
      </c>
      <c r="J175" s="139">
        <f>VLOOKUP(A175,'Billing Dimensions'!$A:$N,10,FALSE)-VLOOKUP(A175,'Audit Dimensions'!$A:$N,10,FALSE)</f>
        <v>0</v>
      </c>
      <c r="K175" s="140">
        <f>VLOOKUP(A175,'Billing Dimensions'!$A:$N,11,FALSE)-VLOOKUP(A175,'Audit Dimensions'!$A:$N,11,FALSE)</f>
        <v>0</v>
      </c>
      <c r="L175" s="140">
        <f>VLOOKUP(A175,'Billing Dimensions'!$A:$N,12,FALSE)-VLOOKUP(A175,'Audit Dimensions'!$A:$N,12,FALSE)</f>
        <v>0</v>
      </c>
      <c r="M175" s="140">
        <f>VLOOKUP(A175,'Billing Dimensions'!$A:$N,13,FALSE)-VLOOKUP(A175,'Audit Dimensions'!$A:$N,13,FALSE)</f>
        <v>0</v>
      </c>
      <c r="N175" s="140">
        <f>VLOOKUP(A175,'Billing Dimensions'!$A:$N,14,FALSE)-VLOOKUP(A175,'Audit Dimensions'!$A:$N,14,FALSE)</f>
        <v>0</v>
      </c>
      <c r="O175" s="147">
        <f>VLOOKUP(A175,'Billing Dimensions'!A:Q,16,FALSE)-VLOOKUP('Audit VAR'!A175,'Audit Dimensions'!A:P,16,FALSE)</f>
        <v>-4750</v>
      </c>
      <c r="P175" s="148">
        <f t="shared" si="6"/>
        <v>-4.75</v>
      </c>
      <c r="Q175" s="151">
        <f t="shared" si="7"/>
        <v>-1.0053484800000002E-2</v>
      </c>
      <c r="R175" s="80">
        <f t="shared" si="8"/>
        <v>472.47298767488059</v>
      </c>
    </row>
    <row r="176" spans="1:18" hidden="1">
      <c r="A176" s="132" t="s">
        <v>261</v>
      </c>
      <c r="B176" s="52" t="str">
        <f>VLOOKUP(A176,'Billing Dimensions'!A:B,2,FALSE)</f>
        <v>SB</v>
      </c>
      <c r="C176" s="136">
        <f>VLOOKUP(A176,'Billing Dimensions'!$A:$N,3,FALSE)-VLOOKUP(A176,'Audit Dimensions'!$A:$N,3,FALSE)</f>
        <v>0</v>
      </c>
      <c r="D176" s="136">
        <f>VLOOKUP(A176,'Billing Dimensions'!$A:$N,4,FALSE)-VLOOKUP(A176,'Audit Dimensions'!$A:$N,4,FALSE)</f>
        <v>0</v>
      </c>
      <c r="E176" s="136">
        <f>VLOOKUP(A176,'Billing Dimensions'!$A:$N,5,FALSE)-VLOOKUP(A176,'Audit Dimensions'!$A:$N,5,FALSE)</f>
        <v>0</v>
      </c>
      <c r="F176" s="137">
        <f>VLOOKUP(A176,'Billing Dimensions'!$A:$N,6,FALSE)-VLOOKUP(A176,'Audit Dimensions'!$A:$N,6,FALSE)</f>
        <v>0</v>
      </c>
      <c r="G176" s="138">
        <f>VLOOKUP(A176,'Billing Dimensions'!$A:$N,7,FALSE)-VLOOKUP(A176,'Audit Dimensions'!$A:$N,7,FALSE)</f>
        <v>0</v>
      </c>
      <c r="H176" s="138">
        <f>VLOOKUP(A176,'Billing Dimensions'!$A:$N,8,FALSE)-VLOOKUP(A176,'Audit Dimensions'!$A:$N,8,FALSE)</f>
        <v>0</v>
      </c>
      <c r="I176" s="138">
        <f>VLOOKUP(A176,'Billing Dimensions'!$A:$N,9,FALSE)-VLOOKUP(A176,'Audit Dimensions'!$A:$N,9,FALSE)</f>
        <v>0</v>
      </c>
      <c r="J176" s="139">
        <f>VLOOKUP(A176,'Billing Dimensions'!$A:$N,10,FALSE)-VLOOKUP(A176,'Audit Dimensions'!$A:$N,10,FALSE)</f>
        <v>0</v>
      </c>
      <c r="K176" s="140">
        <f>VLOOKUP(A176,'Billing Dimensions'!$A:$N,11,FALSE)-VLOOKUP(A176,'Audit Dimensions'!$A:$N,11,FALSE)</f>
        <v>0</v>
      </c>
      <c r="L176" s="140">
        <f>VLOOKUP(A176,'Billing Dimensions'!$A:$N,12,FALSE)-VLOOKUP(A176,'Audit Dimensions'!$A:$N,12,FALSE)</f>
        <v>0</v>
      </c>
      <c r="M176" s="140">
        <f>VLOOKUP(A176,'Billing Dimensions'!$A:$N,13,FALSE)-VLOOKUP(A176,'Audit Dimensions'!$A:$N,13,FALSE)</f>
        <v>0</v>
      </c>
      <c r="N176" s="140">
        <f>VLOOKUP(A176,'Billing Dimensions'!$A:$N,14,FALSE)-VLOOKUP(A176,'Audit Dimensions'!$A:$N,14,FALSE)</f>
        <v>0</v>
      </c>
      <c r="O176" s="147">
        <f>VLOOKUP(A176,'Billing Dimensions'!A:Q,16,FALSE)-VLOOKUP('Audit VAR'!A176,'Audit Dimensions'!A:P,16,FALSE)</f>
        <v>0</v>
      </c>
      <c r="P176" s="148">
        <f t="shared" si="6"/>
        <v>0</v>
      </c>
      <c r="Q176" s="151">
        <f t="shared" si="7"/>
        <v>0</v>
      </c>
      <c r="R176" s="80" t="e">
        <f t="shared" si="8"/>
        <v>#DIV/0!</v>
      </c>
    </row>
    <row r="177" spans="1:18" ht="14.45" hidden="1" customHeight="1">
      <c r="A177" s="132" t="s">
        <v>262</v>
      </c>
      <c r="B177" s="52" t="str">
        <f>VLOOKUP(A177,'Billing Dimensions'!A:B,2,FALSE)</f>
        <v> </v>
      </c>
      <c r="C177" s="136" t="e">
        <f>VLOOKUP(A177,'Billing Dimensions'!$A:$N,3,FALSE)-VLOOKUP(A177,'Audit Dimensions'!$A:$N,3,FALSE)</f>
        <v>#N/A</v>
      </c>
      <c r="D177" s="136" t="e">
        <f>VLOOKUP(A177,'Billing Dimensions'!$A:$N,4,FALSE)-VLOOKUP(A177,'Audit Dimensions'!$A:$N,4,FALSE)</f>
        <v>#N/A</v>
      </c>
      <c r="E177" s="136" t="e">
        <f>VLOOKUP(A177,'Billing Dimensions'!$A:$N,5,FALSE)-VLOOKUP(A177,'Audit Dimensions'!$A:$N,5,FALSE)</f>
        <v>#N/A</v>
      </c>
      <c r="F177" s="137" t="e">
        <f>VLOOKUP(A177,'Billing Dimensions'!$A:$N,6,FALSE)-VLOOKUP(A177,'Audit Dimensions'!$A:$N,6,FALSE)</f>
        <v>#N/A</v>
      </c>
      <c r="G177" s="138" t="e">
        <f>VLOOKUP(A177,'Billing Dimensions'!$A:$N,7,FALSE)-VLOOKUP(A177,'Audit Dimensions'!$A:$N,7,FALSE)</f>
        <v>#N/A</v>
      </c>
      <c r="H177" s="138" t="e">
        <f>VLOOKUP(A177,'Billing Dimensions'!$A:$N,8,FALSE)-VLOOKUP(A177,'Audit Dimensions'!$A:$N,8,FALSE)</f>
        <v>#N/A</v>
      </c>
      <c r="I177" s="138" t="e">
        <f>VLOOKUP(A177,'Billing Dimensions'!$A:$N,9,FALSE)-VLOOKUP(A177,'Audit Dimensions'!$A:$N,9,FALSE)</f>
        <v>#N/A</v>
      </c>
      <c r="J177" s="139" t="e">
        <f>VLOOKUP(A177,'Billing Dimensions'!$A:$N,10,FALSE)-VLOOKUP(A177,'Audit Dimensions'!$A:$N,10,FALSE)</f>
        <v>#N/A</v>
      </c>
      <c r="K177" s="140" t="e">
        <f>VLOOKUP(A177,'Billing Dimensions'!$A:$N,11,FALSE)-VLOOKUP(A177,'Audit Dimensions'!$A:$N,11,FALSE)</f>
        <v>#N/A</v>
      </c>
      <c r="L177" s="140" t="e">
        <f>VLOOKUP(A177,'Billing Dimensions'!$A:$N,12,FALSE)-VLOOKUP(A177,'Audit Dimensions'!$A:$N,12,FALSE)</f>
        <v>#N/A</v>
      </c>
      <c r="M177" s="140" t="e">
        <f>VLOOKUP(A177,'Billing Dimensions'!$A:$N,13,FALSE)-VLOOKUP(A177,'Audit Dimensions'!$A:$N,13,FALSE)</f>
        <v>#N/A</v>
      </c>
      <c r="N177" s="140" t="e">
        <f>VLOOKUP(A177,'Billing Dimensions'!$A:$N,14,FALSE)-VLOOKUP(A177,'Audit Dimensions'!$A:$N,14,FALSE)</f>
        <v>#N/A</v>
      </c>
      <c r="O177" s="147" t="e">
        <f>VLOOKUP(A177,'Billing Dimensions'!A:Q,16,FALSE)-VLOOKUP('Audit VAR'!A177,'Audit Dimensions'!A:P,16,FALSE)</f>
        <v>#N/A</v>
      </c>
      <c r="P177" s="148" t="e">
        <f t="shared" si="6"/>
        <v>#N/A</v>
      </c>
      <c r="Q177" s="151" t="e">
        <f t="shared" si="7"/>
        <v>#N/A</v>
      </c>
      <c r="R177" s="80" t="e">
        <f t="shared" si="8"/>
        <v>#N/A</v>
      </c>
    </row>
    <row r="178" spans="1:18" hidden="1">
      <c r="A178" s="132" t="s">
        <v>263</v>
      </c>
      <c r="B178" s="52" t="str">
        <f>VLOOKUP(A178,'Billing Dimensions'!A:B,2,FALSE)</f>
        <v>SB</v>
      </c>
      <c r="C178" s="136">
        <f>VLOOKUP(A178,'Billing Dimensions'!$A:$N,3,FALSE)-VLOOKUP(A178,'Audit Dimensions'!$A:$N,3,FALSE)</f>
        <v>0</v>
      </c>
      <c r="D178" s="136">
        <f>VLOOKUP(A178,'Billing Dimensions'!$A:$N,4,FALSE)-VLOOKUP(A178,'Audit Dimensions'!$A:$N,4,FALSE)</f>
        <v>31</v>
      </c>
      <c r="E178" s="136">
        <f>VLOOKUP(A178,'Billing Dimensions'!$A:$N,5,FALSE)-VLOOKUP(A178,'Audit Dimensions'!$A:$N,5,FALSE)</f>
        <v>0</v>
      </c>
      <c r="F178" s="137">
        <f>VLOOKUP(A178,'Billing Dimensions'!$A:$N,6,FALSE)-VLOOKUP(A178,'Audit Dimensions'!$A:$N,6,FALSE)</f>
        <v>250</v>
      </c>
      <c r="G178" s="138">
        <f>VLOOKUP(A178,'Billing Dimensions'!$A:$N,7,FALSE)-VLOOKUP(A178,'Audit Dimensions'!$A:$N,7,FALSE)</f>
        <v>0</v>
      </c>
      <c r="H178" s="138">
        <f>VLOOKUP(A178,'Billing Dimensions'!$A:$N,8,FALSE)-VLOOKUP(A178,'Audit Dimensions'!$A:$N,8,FALSE)</f>
        <v>0</v>
      </c>
      <c r="I178" s="138">
        <f>VLOOKUP(A178,'Billing Dimensions'!$A:$N,9,FALSE)-VLOOKUP(A178,'Audit Dimensions'!$A:$N,9,FALSE)</f>
        <v>0</v>
      </c>
      <c r="J178" s="139">
        <f>VLOOKUP(A178,'Billing Dimensions'!$A:$N,10,FALSE)-VLOOKUP(A178,'Audit Dimensions'!$A:$N,10,FALSE)</f>
        <v>0</v>
      </c>
      <c r="K178" s="140">
        <f>VLOOKUP(A178,'Billing Dimensions'!$A:$N,11,FALSE)-VLOOKUP(A178,'Audit Dimensions'!$A:$N,11,FALSE)</f>
        <v>0</v>
      </c>
      <c r="L178" s="140">
        <f>VLOOKUP(A178,'Billing Dimensions'!$A:$N,12,FALSE)-VLOOKUP(A178,'Audit Dimensions'!$A:$N,12,FALSE)</f>
        <v>0</v>
      </c>
      <c r="M178" s="140">
        <f>VLOOKUP(A178,'Billing Dimensions'!$A:$N,13,FALSE)-VLOOKUP(A178,'Audit Dimensions'!$A:$N,13,FALSE)</f>
        <v>0</v>
      </c>
      <c r="N178" s="140">
        <f>VLOOKUP(A178,'Billing Dimensions'!$A:$N,14,FALSE)-VLOOKUP(A178,'Audit Dimensions'!$A:$N,14,FALSE)</f>
        <v>0</v>
      </c>
      <c r="O178" s="147">
        <f>VLOOKUP(A178,'Billing Dimensions'!A:Q,16,FALSE)-VLOOKUP('Audit VAR'!A178,'Audit Dimensions'!A:P,16,FALSE)</f>
        <v>250</v>
      </c>
      <c r="P178" s="148">
        <f t="shared" si="6"/>
        <v>0.25</v>
      </c>
      <c r="Q178" s="151">
        <f t="shared" si="7"/>
        <v>0</v>
      </c>
      <c r="R178" s="80" t="e">
        <f t="shared" si="8"/>
        <v>#DIV/0!</v>
      </c>
    </row>
    <row r="179" spans="1:18" ht="14.45" hidden="1" customHeight="1">
      <c r="A179" s="132" t="s">
        <v>264</v>
      </c>
      <c r="B179" s="52" t="str">
        <f>VLOOKUP(A179,'Billing Dimensions'!A:B,2,FALSE)</f>
        <v>SB</v>
      </c>
      <c r="C179" s="136">
        <f>VLOOKUP(A179,'Billing Dimensions'!$A:$N,3,FALSE)-VLOOKUP(A179,'Audit Dimensions'!$A:$N,3,FALSE)</f>
        <v>-1</v>
      </c>
      <c r="D179" s="136">
        <f>VLOOKUP(A179,'Billing Dimensions'!$A:$N,4,FALSE)-VLOOKUP(A179,'Audit Dimensions'!$A:$N,4,FALSE)</f>
        <v>2</v>
      </c>
      <c r="E179" s="136">
        <f>VLOOKUP(A179,'Billing Dimensions'!$A:$N,5,FALSE)-VLOOKUP(A179,'Audit Dimensions'!$A:$N,5,FALSE)</f>
        <v>0</v>
      </c>
      <c r="F179" s="137">
        <f>VLOOKUP(A179,'Billing Dimensions'!$A:$N,6,FALSE)-VLOOKUP(A179,'Audit Dimensions'!$A:$N,6,FALSE)</f>
        <v>-300</v>
      </c>
      <c r="G179" s="138">
        <f>VLOOKUP(A179,'Billing Dimensions'!$A:$N,7,FALSE)-VLOOKUP(A179,'Audit Dimensions'!$A:$N,7,FALSE)</f>
        <v>0</v>
      </c>
      <c r="H179" s="138">
        <f>VLOOKUP(A179,'Billing Dimensions'!$A:$N,8,FALSE)-VLOOKUP(A179,'Audit Dimensions'!$A:$N,8,FALSE)</f>
        <v>0</v>
      </c>
      <c r="I179" s="138">
        <f>VLOOKUP(A179,'Billing Dimensions'!$A:$N,9,FALSE)-VLOOKUP(A179,'Audit Dimensions'!$A:$N,9,FALSE)</f>
        <v>0</v>
      </c>
      <c r="J179" s="139">
        <f>VLOOKUP(A179,'Billing Dimensions'!$A:$N,10,FALSE)-VLOOKUP(A179,'Audit Dimensions'!$A:$N,10,FALSE)</f>
        <v>0</v>
      </c>
      <c r="K179" s="140">
        <f>VLOOKUP(A179,'Billing Dimensions'!$A:$N,11,FALSE)-VLOOKUP(A179,'Audit Dimensions'!$A:$N,11,FALSE)</f>
        <v>0</v>
      </c>
      <c r="L179" s="140">
        <f>VLOOKUP(A179,'Billing Dimensions'!$A:$N,12,FALSE)-VLOOKUP(A179,'Audit Dimensions'!$A:$N,12,FALSE)</f>
        <v>0</v>
      </c>
      <c r="M179" s="140">
        <f>VLOOKUP(A179,'Billing Dimensions'!$A:$N,13,FALSE)-VLOOKUP(A179,'Audit Dimensions'!$A:$N,13,FALSE)</f>
        <v>0</v>
      </c>
      <c r="N179" s="140">
        <f>VLOOKUP(A179,'Billing Dimensions'!$A:$N,14,FALSE)-VLOOKUP(A179,'Audit Dimensions'!$A:$N,14,FALSE)</f>
        <v>0</v>
      </c>
      <c r="O179" s="147">
        <f>VLOOKUP(A179,'Billing Dimensions'!A:Q,16,FALSE)-VLOOKUP('Audit VAR'!A179,'Audit Dimensions'!A:P,16,FALSE)</f>
        <v>-300</v>
      </c>
      <c r="P179" s="148">
        <f t="shared" si="6"/>
        <v>-0.3</v>
      </c>
      <c r="Q179" s="151">
        <f t="shared" si="7"/>
        <v>0</v>
      </c>
      <c r="R179" s="80" t="e">
        <f t="shared" si="8"/>
        <v>#DIV/0!</v>
      </c>
    </row>
    <row r="180" spans="1:18" ht="12.95" hidden="1" customHeight="1">
      <c r="A180" s="132" t="s">
        <v>265</v>
      </c>
      <c r="B180" s="52" t="str">
        <f>VLOOKUP(A180,'Billing Dimensions'!A:B,2,FALSE)</f>
        <v>SB</v>
      </c>
      <c r="C180" s="136">
        <f>VLOOKUP(A180,'Billing Dimensions'!$A:$N,3,FALSE)-VLOOKUP(A180,'Audit Dimensions'!$A:$N,3,FALSE)</f>
        <v>9</v>
      </c>
      <c r="D180" s="136">
        <f>VLOOKUP(A180,'Billing Dimensions'!$A:$N,4,FALSE)-VLOOKUP(A180,'Audit Dimensions'!$A:$N,4,FALSE)</f>
        <v>3</v>
      </c>
      <c r="E180" s="136">
        <f>VLOOKUP(A180,'Billing Dimensions'!$A:$N,5,FALSE)-VLOOKUP(A180,'Audit Dimensions'!$A:$N,5,FALSE)</f>
        <v>-1</v>
      </c>
      <c r="F180" s="137">
        <f>VLOOKUP(A180,'Billing Dimensions'!$A:$N,6,FALSE)-VLOOKUP(A180,'Audit Dimensions'!$A:$N,6,FALSE)</f>
        <v>-1800</v>
      </c>
      <c r="G180" s="138">
        <f>VLOOKUP(A180,'Billing Dimensions'!$A:$N,7,FALSE)-VLOOKUP(A180,'Audit Dimensions'!$A:$N,7,FALSE)</f>
        <v>0</v>
      </c>
      <c r="H180" s="138">
        <f>VLOOKUP(A180,'Billing Dimensions'!$A:$N,8,FALSE)-VLOOKUP(A180,'Audit Dimensions'!$A:$N,8,FALSE)</f>
        <v>0</v>
      </c>
      <c r="I180" s="138">
        <f>VLOOKUP(A180,'Billing Dimensions'!$A:$N,9,FALSE)-VLOOKUP(A180,'Audit Dimensions'!$A:$N,9,FALSE)</f>
        <v>0</v>
      </c>
      <c r="J180" s="139">
        <f>VLOOKUP(A180,'Billing Dimensions'!$A:$N,10,FALSE)-VLOOKUP(A180,'Audit Dimensions'!$A:$N,10,FALSE)</f>
        <v>0</v>
      </c>
      <c r="K180" s="140">
        <f>VLOOKUP(A180,'Billing Dimensions'!$A:$N,11,FALSE)-VLOOKUP(A180,'Audit Dimensions'!$A:$N,11,FALSE)</f>
        <v>0</v>
      </c>
      <c r="L180" s="140">
        <f>VLOOKUP(A180,'Billing Dimensions'!$A:$N,12,FALSE)-VLOOKUP(A180,'Audit Dimensions'!$A:$N,12,FALSE)</f>
        <v>0</v>
      </c>
      <c r="M180" s="140">
        <f>VLOOKUP(A180,'Billing Dimensions'!$A:$N,13,FALSE)-VLOOKUP(A180,'Audit Dimensions'!$A:$N,13,FALSE)</f>
        <v>0</v>
      </c>
      <c r="N180" s="140">
        <f>VLOOKUP(A180,'Billing Dimensions'!$A:$N,14,FALSE)-VLOOKUP(A180,'Audit Dimensions'!$A:$N,14,FALSE)</f>
        <v>0</v>
      </c>
      <c r="O180" s="147">
        <f>VLOOKUP(A180,'Billing Dimensions'!A:Q,16,FALSE)-VLOOKUP('Audit VAR'!A180,'Audit Dimensions'!A:P,16,FALSE)</f>
        <v>-1800</v>
      </c>
      <c r="P180" s="148">
        <f t="shared" si="6"/>
        <v>-1.8</v>
      </c>
      <c r="Q180" s="151">
        <f t="shared" si="7"/>
        <v>-9.5363999999999996E-4</v>
      </c>
      <c r="R180" s="80">
        <f t="shared" si="8"/>
        <v>1887.504718761797</v>
      </c>
    </row>
    <row r="181" spans="1:18" ht="12.95" hidden="1" customHeight="1">
      <c r="A181" s="132" t="s">
        <v>266</v>
      </c>
      <c r="B181" s="52" t="str">
        <f>VLOOKUP(A181,'Billing Dimensions'!A:B,2,FALSE)</f>
        <v>SB</v>
      </c>
      <c r="C181" s="136">
        <f>VLOOKUP(A181,'Billing Dimensions'!$A:$N,3,FALSE)-VLOOKUP(A181,'Audit Dimensions'!$A:$N,3,FALSE)</f>
        <v>1</v>
      </c>
      <c r="D181" s="136">
        <f>VLOOKUP(A181,'Billing Dimensions'!$A:$N,4,FALSE)-VLOOKUP(A181,'Audit Dimensions'!$A:$N,4,FALSE)</f>
        <v>3</v>
      </c>
      <c r="E181" s="136">
        <f>VLOOKUP(A181,'Billing Dimensions'!$A:$N,5,FALSE)-VLOOKUP(A181,'Audit Dimensions'!$A:$N,5,FALSE)</f>
        <v>1</v>
      </c>
      <c r="F181" s="137">
        <f>VLOOKUP(A181,'Billing Dimensions'!$A:$N,6,FALSE)-VLOOKUP(A181,'Audit Dimensions'!$A:$N,6,FALSE)</f>
        <v>250</v>
      </c>
      <c r="G181" s="138">
        <f>VLOOKUP(A181,'Billing Dimensions'!$A:$N,7,FALSE)-VLOOKUP(A181,'Audit Dimensions'!$A:$N,7,FALSE)</f>
        <v>0</v>
      </c>
      <c r="H181" s="138">
        <f>VLOOKUP(A181,'Billing Dimensions'!$A:$N,8,FALSE)-VLOOKUP(A181,'Audit Dimensions'!$A:$N,8,FALSE)</f>
        <v>0</v>
      </c>
      <c r="I181" s="138">
        <f>VLOOKUP(A181,'Billing Dimensions'!$A:$N,9,FALSE)-VLOOKUP(A181,'Audit Dimensions'!$A:$N,9,FALSE)</f>
        <v>0</v>
      </c>
      <c r="J181" s="139">
        <f>VLOOKUP(A181,'Billing Dimensions'!$A:$N,10,FALSE)-VLOOKUP(A181,'Audit Dimensions'!$A:$N,10,FALSE)</f>
        <v>0</v>
      </c>
      <c r="K181" s="140">
        <f>VLOOKUP(A181,'Billing Dimensions'!$A:$N,11,FALSE)-VLOOKUP(A181,'Audit Dimensions'!$A:$N,11,FALSE)</f>
        <v>0</v>
      </c>
      <c r="L181" s="140">
        <f>VLOOKUP(A181,'Billing Dimensions'!$A:$N,12,FALSE)-VLOOKUP(A181,'Audit Dimensions'!$A:$N,12,FALSE)</f>
        <v>0</v>
      </c>
      <c r="M181" s="140">
        <f>VLOOKUP(A181,'Billing Dimensions'!$A:$N,13,FALSE)-VLOOKUP(A181,'Audit Dimensions'!$A:$N,13,FALSE)</f>
        <v>0</v>
      </c>
      <c r="N181" s="140">
        <f>VLOOKUP(A181,'Billing Dimensions'!$A:$N,14,FALSE)-VLOOKUP(A181,'Audit Dimensions'!$A:$N,14,FALSE)</f>
        <v>0</v>
      </c>
      <c r="O181" s="147">
        <f>VLOOKUP(A181,'Billing Dimensions'!A:Q,16,FALSE)-VLOOKUP('Audit VAR'!A181,'Audit Dimensions'!A:P,16,FALSE)</f>
        <v>250</v>
      </c>
      <c r="P181" s="148">
        <f t="shared" si="6"/>
        <v>0.25</v>
      </c>
      <c r="Q181" s="151">
        <f t="shared" si="7"/>
        <v>1.0596000000000001E-4</v>
      </c>
      <c r="R181" s="80">
        <f t="shared" si="8"/>
        <v>2359.3808984522461</v>
      </c>
    </row>
    <row r="182" spans="1:18" ht="12.95" hidden="1" customHeight="1">
      <c r="A182" s="132" t="s">
        <v>367</v>
      </c>
      <c r="B182" s="52" t="e">
        <f>VLOOKUP(A182,'Billing Dimensions'!A:B,2,FALSE)</f>
        <v>#N/A</v>
      </c>
      <c r="C182" s="136" t="e">
        <f>VLOOKUP(A182,'Billing Dimensions'!$A:$N,3,FALSE)-VLOOKUP(A182,'Audit Dimensions'!$A:$N,3,FALSE)</f>
        <v>#N/A</v>
      </c>
      <c r="D182" s="136" t="e">
        <f>VLOOKUP(A182,'Billing Dimensions'!$A:$N,4,FALSE)-VLOOKUP(A182,'Audit Dimensions'!$A:$N,4,FALSE)</f>
        <v>#N/A</v>
      </c>
      <c r="E182" s="136" t="e">
        <f>VLOOKUP(A182,'Billing Dimensions'!$A:$N,5,FALSE)-VLOOKUP(A182,'Audit Dimensions'!$A:$N,5,FALSE)</f>
        <v>#N/A</v>
      </c>
      <c r="F182" s="137" t="e">
        <f>VLOOKUP(A182,'Billing Dimensions'!$A:$N,6,FALSE)-VLOOKUP(A182,'Audit Dimensions'!$A:$N,6,FALSE)</f>
        <v>#N/A</v>
      </c>
      <c r="G182" s="138" t="e">
        <f>VLOOKUP(A182,'Billing Dimensions'!$A:$N,7,FALSE)-VLOOKUP(A182,'Audit Dimensions'!$A:$N,7,FALSE)</f>
        <v>#N/A</v>
      </c>
      <c r="H182" s="138" t="e">
        <f>VLOOKUP(A182,'Billing Dimensions'!$A:$N,8,FALSE)-VLOOKUP(A182,'Audit Dimensions'!$A:$N,8,FALSE)</f>
        <v>#N/A</v>
      </c>
      <c r="I182" s="138" t="e">
        <f>VLOOKUP(A182,'Billing Dimensions'!$A:$N,9,FALSE)-VLOOKUP(A182,'Audit Dimensions'!$A:$N,9,FALSE)</f>
        <v>#N/A</v>
      </c>
      <c r="J182" s="139" t="e">
        <f>VLOOKUP(A182,'Billing Dimensions'!$A:$N,10,FALSE)-VLOOKUP(A182,'Audit Dimensions'!$A:$N,10,FALSE)</f>
        <v>#N/A</v>
      </c>
      <c r="K182" s="140" t="e">
        <f>VLOOKUP(A182,'Billing Dimensions'!$A:$N,11,FALSE)-VLOOKUP(A182,'Audit Dimensions'!$A:$N,11,FALSE)</f>
        <v>#N/A</v>
      </c>
      <c r="L182" s="140" t="e">
        <f>VLOOKUP(A182,'Billing Dimensions'!$A:$N,12,FALSE)-VLOOKUP(A182,'Audit Dimensions'!$A:$N,12,FALSE)</f>
        <v>#N/A</v>
      </c>
      <c r="M182" s="140" t="e">
        <f>VLOOKUP(A182,'Billing Dimensions'!$A:$N,13,FALSE)-VLOOKUP(A182,'Audit Dimensions'!$A:$N,13,FALSE)</f>
        <v>#N/A</v>
      </c>
      <c r="N182" s="140" t="e">
        <f>VLOOKUP(A182,'Billing Dimensions'!$A:$N,14,FALSE)-VLOOKUP(A182,'Audit Dimensions'!$A:$N,14,FALSE)</f>
        <v>#N/A</v>
      </c>
      <c r="O182" s="147" t="e">
        <f>VLOOKUP(A182,'Billing Dimensions'!A:Q,16,FALSE)-VLOOKUP('Audit VAR'!A182,'Audit Dimensions'!A:P,16,FALSE)</f>
        <v>#N/A</v>
      </c>
      <c r="P182" s="148" t="e">
        <f t="shared" si="6"/>
        <v>#N/A</v>
      </c>
      <c r="Q182" s="151" t="e">
        <f t="shared" si="7"/>
        <v>#N/A</v>
      </c>
      <c r="R182" s="80" t="e">
        <f t="shared" si="8"/>
        <v>#N/A</v>
      </c>
    </row>
    <row r="183" spans="1:18" hidden="1">
      <c r="A183" s="132" t="s">
        <v>267</v>
      </c>
      <c r="B183" s="52" t="str">
        <f>VLOOKUP(A183,'Billing Dimensions'!A:B,2,FALSE)</f>
        <v>SB</v>
      </c>
      <c r="C183" s="136">
        <f>VLOOKUP(A183,'Billing Dimensions'!$A:$N,3,FALSE)-VLOOKUP(A183,'Audit Dimensions'!$A:$N,3,FALSE)</f>
        <v>2</v>
      </c>
      <c r="D183" s="136">
        <f>VLOOKUP(A183,'Billing Dimensions'!$A:$N,4,FALSE)-VLOOKUP(A183,'Audit Dimensions'!$A:$N,4,FALSE)</f>
        <v>17</v>
      </c>
      <c r="E183" s="136">
        <f>VLOOKUP(A183,'Billing Dimensions'!$A:$N,5,FALSE)-VLOOKUP(A183,'Audit Dimensions'!$A:$N,5,FALSE)</f>
        <v>-1</v>
      </c>
      <c r="F183" s="137">
        <f>VLOOKUP(A183,'Billing Dimensions'!$A:$N,6,FALSE)-VLOOKUP(A183,'Audit Dimensions'!$A:$N,6,FALSE)</f>
        <v>-1830</v>
      </c>
      <c r="G183" s="138">
        <f>VLOOKUP(A183,'Billing Dimensions'!$A:$N,7,FALSE)-VLOOKUP(A183,'Audit Dimensions'!$A:$N,7,FALSE)</f>
        <v>0</v>
      </c>
      <c r="H183" s="138">
        <f>VLOOKUP(A183,'Billing Dimensions'!$A:$N,8,FALSE)-VLOOKUP(A183,'Audit Dimensions'!$A:$N,8,FALSE)</f>
        <v>0</v>
      </c>
      <c r="I183" s="138">
        <f>VLOOKUP(A183,'Billing Dimensions'!$A:$N,9,FALSE)-VLOOKUP(A183,'Audit Dimensions'!$A:$N,9,FALSE)</f>
        <v>0</v>
      </c>
      <c r="J183" s="139">
        <f>VLOOKUP(A183,'Billing Dimensions'!$A:$N,10,FALSE)-VLOOKUP(A183,'Audit Dimensions'!$A:$N,10,FALSE)</f>
        <v>0</v>
      </c>
      <c r="K183" s="140">
        <f>VLOOKUP(A183,'Billing Dimensions'!$A:$N,11,FALSE)-VLOOKUP(A183,'Audit Dimensions'!$A:$N,11,FALSE)</f>
        <v>0</v>
      </c>
      <c r="L183" s="140">
        <f>VLOOKUP(A183,'Billing Dimensions'!$A:$N,12,FALSE)-VLOOKUP(A183,'Audit Dimensions'!$A:$N,12,FALSE)</f>
        <v>0</v>
      </c>
      <c r="M183" s="140">
        <f>VLOOKUP(A183,'Billing Dimensions'!$A:$N,13,FALSE)-VLOOKUP(A183,'Audit Dimensions'!$A:$N,13,FALSE)</f>
        <v>0</v>
      </c>
      <c r="N183" s="140">
        <f>VLOOKUP(A183,'Billing Dimensions'!$A:$N,14,FALSE)-VLOOKUP(A183,'Audit Dimensions'!$A:$N,14,FALSE)</f>
        <v>0</v>
      </c>
      <c r="O183" s="147">
        <f>VLOOKUP(A183,'Billing Dimensions'!A:Q,16,FALSE)-VLOOKUP('Audit VAR'!A183,'Audit Dimensions'!A:P,16,FALSE)</f>
        <v>-1830</v>
      </c>
      <c r="P183" s="148">
        <f t="shared" si="6"/>
        <v>-1.83</v>
      </c>
      <c r="Q183" s="151">
        <f t="shared" si="7"/>
        <v>-1.2008800000000001E-3</v>
      </c>
      <c r="R183" s="80">
        <f t="shared" si="8"/>
        <v>1523.8824861768037</v>
      </c>
    </row>
    <row r="184" spans="1:18" ht="14.45" hidden="1" customHeight="1">
      <c r="A184" s="157" t="s">
        <v>268</v>
      </c>
      <c r="B184" s="52" t="str">
        <f>VLOOKUP(A184,'Billing Dimensions'!A:B,2,FALSE)</f>
        <v>SB</v>
      </c>
      <c r="C184" s="136">
        <f>VLOOKUP(A184,'Billing Dimensions'!$A:$N,3,FALSE)-VLOOKUP(A184,'Audit Dimensions'!$A:$N,3,FALSE)</f>
        <v>136</v>
      </c>
      <c r="D184" s="136">
        <f>VLOOKUP(A184,'Billing Dimensions'!$A:$N,4,FALSE)-VLOOKUP(A184,'Audit Dimensions'!$A:$N,4,FALSE)</f>
        <v>35</v>
      </c>
      <c r="E184" s="136">
        <f>VLOOKUP(A184,'Billing Dimensions'!$A:$N,5,FALSE)-VLOOKUP(A184,'Audit Dimensions'!$A:$N,5,FALSE)</f>
        <v>8</v>
      </c>
      <c r="F184" s="137">
        <f>VLOOKUP(A184,'Billing Dimensions'!$A:$N,6,FALSE)-VLOOKUP(A184,'Audit Dimensions'!$A:$N,6,FALSE)</f>
        <v>17600</v>
      </c>
      <c r="G184" s="138">
        <f>VLOOKUP(A184,'Billing Dimensions'!$A:$N,7,FALSE)-VLOOKUP(A184,'Audit Dimensions'!$A:$N,7,FALSE)</f>
        <v>0</v>
      </c>
      <c r="H184" s="138">
        <f>VLOOKUP(A184,'Billing Dimensions'!$A:$N,8,FALSE)-VLOOKUP(A184,'Audit Dimensions'!$A:$N,8,FALSE)</f>
        <v>0</v>
      </c>
      <c r="I184" s="138">
        <f>VLOOKUP(A184,'Billing Dimensions'!$A:$N,9,FALSE)-VLOOKUP(A184,'Audit Dimensions'!$A:$N,9,FALSE)</f>
        <v>0</v>
      </c>
      <c r="J184" s="139">
        <f>VLOOKUP(A184,'Billing Dimensions'!$A:$N,10,FALSE)-VLOOKUP(A184,'Audit Dimensions'!$A:$N,10,FALSE)</f>
        <v>0</v>
      </c>
      <c r="K184" s="140">
        <f>VLOOKUP(A184,'Billing Dimensions'!$A:$N,11,FALSE)-VLOOKUP(A184,'Audit Dimensions'!$A:$N,11,FALSE)</f>
        <v>0</v>
      </c>
      <c r="L184" s="140">
        <f>VLOOKUP(A184,'Billing Dimensions'!$A:$N,12,FALSE)-VLOOKUP(A184,'Audit Dimensions'!$A:$N,12,FALSE)</f>
        <v>0</v>
      </c>
      <c r="M184" s="140">
        <f>VLOOKUP(A184,'Billing Dimensions'!$A:$N,13,FALSE)-VLOOKUP(A184,'Audit Dimensions'!$A:$N,13,FALSE)</f>
        <v>0</v>
      </c>
      <c r="N184" s="140">
        <f>VLOOKUP(A184,'Billing Dimensions'!$A:$N,14,FALSE)-VLOOKUP(A184,'Audit Dimensions'!$A:$N,14,FALSE)</f>
        <v>0</v>
      </c>
      <c r="O184" s="147">
        <f>VLOOKUP(A184,'Billing Dimensions'!A:Q,16,FALSE)-VLOOKUP('Audit VAR'!A184,'Audit Dimensions'!A:P,16,FALSE)</f>
        <v>17600</v>
      </c>
      <c r="P184" s="148">
        <f t="shared" si="6"/>
        <v>17.600000000000001</v>
      </c>
      <c r="Q184" s="151">
        <f t="shared" si="7"/>
        <v>1.3449856</v>
      </c>
      <c r="R184" s="80">
        <f t="shared" si="8"/>
        <v>13.085641957802375</v>
      </c>
    </row>
    <row r="185" spans="1:18" ht="14.45" hidden="1" customHeight="1">
      <c r="A185" s="132" t="s">
        <v>269</v>
      </c>
      <c r="B185" s="52" t="str">
        <f>VLOOKUP(A185,'Billing Dimensions'!A:B,2,FALSE)</f>
        <v>SB</v>
      </c>
      <c r="C185" s="136">
        <f>VLOOKUP(A185,'Billing Dimensions'!$A:$N,3,FALSE)-VLOOKUP(A185,'Audit Dimensions'!$A:$N,3,FALSE)</f>
        <v>-11</v>
      </c>
      <c r="D185" s="136">
        <f>VLOOKUP(A185,'Billing Dimensions'!$A:$N,4,FALSE)-VLOOKUP(A185,'Audit Dimensions'!$A:$N,4,FALSE)</f>
        <v>4</v>
      </c>
      <c r="E185" s="136">
        <f>VLOOKUP(A185,'Billing Dimensions'!$A:$N,5,FALSE)-VLOOKUP(A185,'Audit Dimensions'!$A:$N,5,FALSE)</f>
        <v>1</v>
      </c>
      <c r="F185" s="137">
        <f>VLOOKUP(A185,'Billing Dimensions'!$A:$N,6,FALSE)-VLOOKUP(A185,'Audit Dimensions'!$A:$N,6,FALSE)</f>
        <v>-900</v>
      </c>
      <c r="G185" s="138">
        <f>VLOOKUP(A185,'Billing Dimensions'!$A:$N,7,FALSE)-VLOOKUP(A185,'Audit Dimensions'!$A:$N,7,FALSE)</f>
        <v>0</v>
      </c>
      <c r="H185" s="138">
        <f>VLOOKUP(A185,'Billing Dimensions'!$A:$N,8,FALSE)-VLOOKUP(A185,'Audit Dimensions'!$A:$N,8,FALSE)</f>
        <v>0</v>
      </c>
      <c r="I185" s="138">
        <f>VLOOKUP(A185,'Billing Dimensions'!$A:$N,9,FALSE)-VLOOKUP(A185,'Audit Dimensions'!$A:$N,9,FALSE)</f>
        <v>0</v>
      </c>
      <c r="J185" s="139">
        <f>VLOOKUP(A185,'Billing Dimensions'!$A:$N,10,FALSE)-VLOOKUP(A185,'Audit Dimensions'!$A:$N,10,FALSE)</f>
        <v>0</v>
      </c>
      <c r="K185" s="140">
        <f>VLOOKUP(A185,'Billing Dimensions'!$A:$N,11,FALSE)-VLOOKUP(A185,'Audit Dimensions'!$A:$N,11,FALSE)</f>
        <v>0</v>
      </c>
      <c r="L185" s="140">
        <f>VLOOKUP(A185,'Billing Dimensions'!$A:$N,12,FALSE)-VLOOKUP(A185,'Audit Dimensions'!$A:$N,12,FALSE)</f>
        <v>0</v>
      </c>
      <c r="M185" s="140">
        <f>VLOOKUP(A185,'Billing Dimensions'!$A:$N,13,FALSE)-VLOOKUP(A185,'Audit Dimensions'!$A:$N,13,FALSE)</f>
        <v>0</v>
      </c>
      <c r="N185" s="140">
        <f>VLOOKUP(A185,'Billing Dimensions'!$A:$N,14,FALSE)-VLOOKUP(A185,'Audit Dimensions'!$A:$N,14,FALSE)</f>
        <v>0</v>
      </c>
      <c r="O185" s="147">
        <f>VLOOKUP(A185,'Billing Dimensions'!A:Q,16,FALSE)-VLOOKUP('Audit VAR'!A185,'Audit Dimensions'!A:P,16,FALSE)</f>
        <v>-900</v>
      </c>
      <c r="P185" s="148">
        <f t="shared" si="6"/>
        <v>-0.9</v>
      </c>
      <c r="Q185" s="151">
        <f t="shared" si="7"/>
        <v>-1.55408E-3</v>
      </c>
      <c r="R185" s="80">
        <f t="shared" si="8"/>
        <v>579.12076598373312</v>
      </c>
    </row>
    <row r="186" spans="1:18" hidden="1">
      <c r="A186" s="132" t="s">
        <v>270</v>
      </c>
      <c r="B186" s="52" t="str">
        <f>VLOOKUP(A186,'Billing Dimensions'!A:B,2,FALSE)</f>
        <v>SB</v>
      </c>
      <c r="C186" s="136">
        <f>VLOOKUP(A186,'Billing Dimensions'!$A:$N,3,FALSE)-VLOOKUP(A186,'Audit Dimensions'!$A:$N,3,FALSE)</f>
        <v>-2</v>
      </c>
      <c r="D186" s="136">
        <f>VLOOKUP(A186,'Billing Dimensions'!$A:$N,4,FALSE)-VLOOKUP(A186,'Audit Dimensions'!$A:$N,4,FALSE)</f>
        <v>6</v>
      </c>
      <c r="E186" s="136">
        <f>VLOOKUP(A186,'Billing Dimensions'!$A:$N,5,FALSE)-VLOOKUP(A186,'Audit Dimensions'!$A:$N,5,FALSE)</f>
        <v>1</v>
      </c>
      <c r="F186" s="137">
        <f>VLOOKUP(A186,'Billing Dimensions'!$A:$N,6,FALSE)-VLOOKUP(A186,'Audit Dimensions'!$A:$N,6,FALSE)</f>
        <v>-25</v>
      </c>
      <c r="G186" s="138">
        <f>VLOOKUP(A186,'Billing Dimensions'!$A:$N,7,FALSE)-VLOOKUP(A186,'Audit Dimensions'!$A:$N,7,FALSE)</f>
        <v>0</v>
      </c>
      <c r="H186" s="138">
        <f>VLOOKUP(A186,'Billing Dimensions'!$A:$N,8,FALSE)-VLOOKUP(A186,'Audit Dimensions'!$A:$N,8,FALSE)</f>
        <v>0</v>
      </c>
      <c r="I186" s="138">
        <f>VLOOKUP(A186,'Billing Dimensions'!$A:$N,9,FALSE)-VLOOKUP(A186,'Audit Dimensions'!$A:$N,9,FALSE)</f>
        <v>0</v>
      </c>
      <c r="J186" s="139">
        <f>VLOOKUP(A186,'Billing Dimensions'!$A:$N,10,FALSE)-VLOOKUP(A186,'Audit Dimensions'!$A:$N,10,FALSE)</f>
        <v>0</v>
      </c>
      <c r="K186" s="140">
        <f>VLOOKUP(A186,'Billing Dimensions'!$A:$N,11,FALSE)-VLOOKUP(A186,'Audit Dimensions'!$A:$N,11,FALSE)</f>
        <v>0</v>
      </c>
      <c r="L186" s="140">
        <f>VLOOKUP(A186,'Billing Dimensions'!$A:$N,12,FALSE)-VLOOKUP(A186,'Audit Dimensions'!$A:$N,12,FALSE)</f>
        <v>0</v>
      </c>
      <c r="M186" s="140">
        <f>VLOOKUP(A186,'Billing Dimensions'!$A:$N,13,FALSE)-VLOOKUP(A186,'Audit Dimensions'!$A:$N,13,FALSE)</f>
        <v>0</v>
      </c>
      <c r="N186" s="140">
        <f>VLOOKUP(A186,'Billing Dimensions'!$A:$N,14,FALSE)-VLOOKUP(A186,'Audit Dimensions'!$A:$N,14,FALSE)</f>
        <v>0</v>
      </c>
      <c r="O186" s="147">
        <f>VLOOKUP(A186,'Billing Dimensions'!A:Q,16,FALSE)-VLOOKUP('Audit VAR'!A186,'Audit Dimensions'!A:P,16,FALSE)</f>
        <v>-25</v>
      </c>
      <c r="P186" s="148">
        <f t="shared" si="6"/>
        <v>-2.5000000000000001E-2</v>
      </c>
      <c r="Q186" s="151">
        <f t="shared" si="7"/>
        <v>-4.2384000000000003E-4</v>
      </c>
      <c r="R186" s="80">
        <f t="shared" si="8"/>
        <v>58.984522461306149</v>
      </c>
    </row>
    <row r="187" spans="1:18" ht="14.45" hidden="1" customHeight="1">
      <c r="A187" s="132" t="s">
        <v>271</v>
      </c>
      <c r="B187" s="52" t="str">
        <f>VLOOKUP(A187,'Billing Dimensions'!A:B,2,FALSE)</f>
        <v>SB</v>
      </c>
      <c r="C187" s="136">
        <f>VLOOKUP(A187,'Billing Dimensions'!$A:$N,3,FALSE)-VLOOKUP(A187,'Audit Dimensions'!$A:$N,3,FALSE)</f>
        <v>-1</v>
      </c>
      <c r="D187" s="136">
        <f>VLOOKUP(A187,'Billing Dimensions'!$A:$N,4,FALSE)-VLOOKUP(A187,'Audit Dimensions'!$A:$N,4,FALSE)</f>
        <v>3</v>
      </c>
      <c r="E187" s="136">
        <f>VLOOKUP(A187,'Billing Dimensions'!$A:$N,5,FALSE)-VLOOKUP(A187,'Audit Dimensions'!$A:$N,5,FALSE)</f>
        <v>-1</v>
      </c>
      <c r="F187" s="137">
        <f>VLOOKUP(A187,'Billing Dimensions'!$A:$N,6,FALSE)-VLOOKUP(A187,'Audit Dimensions'!$A:$N,6,FALSE)</f>
        <v>-1300</v>
      </c>
      <c r="G187" s="138">
        <f>VLOOKUP(A187,'Billing Dimensions'!$A:$N,7,FALSE)-VLOOKUP(A187,'Audit Dimensions'!$A:$N,7,FALSE)</f>
        <v>0</v>
      </c>
      <c r="H187" s="138">
        <f>VLOOKUP(A187,'Billing Dimensions'!$A:$N,8,FALSE)-VLOOKUP(A187,'Audit Dimensions'!$A:$N,8,FALSE)</f>
        <v>0</v>
      </c>
      <c r="I187" s="138">
        <f>VLOOKUP(A187,'Billing Dimensions'!$A:$N,9,FALSE)-VLOOKUP(A187,'Audit Dimensions'!$A:$N,9,FALSE)</f>
        <v>0</v>
      </c>
      <c r="J187" s="139">
        <f>VLOOKUP(A187,'Billing Dimensions'!$A:$N,10,FALSE)-VLOOKUP(A187,'Audit Dimensions'!$A:$N,10,FALSE)</f>
        <v>0</v>
      </c>
      <c r="K187" s="140">
        <f>VLOOKUP(A187,'Billing Dimensions'!$A:$N,11,FALSE)-VLOOKUP(A187,'Audit Dimensions'!$A:$N,11,FALSE)</f>
        <v>0</v>
      </c>
      <c r="L187" s="140">
        <f>VLOOKUP(A187,'Billing Dimensions'!$A:$N,12,FALSE)-VLOOKUP(A187,'Audit Dimensions'!$A:$N,12,FALSE)</f>
        <v>0</v>
      </c>
      <c r="M187" s="140">
        <f>VLOOKUP(A187,'Billing Dimensions'!$A:$N,13,FALSE)-VLOOKUP(A187,'Audit Dimensions'!$A:$N,13,FALSE)</f>
        <v>0</v>
      </c>
      <c r="N187" s="140">
        <f>VLOOKUP(A187,'Billing Dimensions'!$A:$N,14,FALSE)-VLOOKUP(A187,'Audit Dimensions'!$A:$N,14,FALSE)</f>
        <v>0</v>
      </c>
      <c r="O187" s="147">
        <f>VLOOKUP(A187,'Billing Dimensions'!A:Q,16,FALSE)-VLOOKUP('Audit VAR'!A187,'Audit Dimensions'!A:P,16,FALSE)</f>
        <v>-1300</v>
      </c>
      <c r="P187" s="148">
        <f t="shared" si="6"/>
        <v>-1.3</v>
      </c>
      <c r="Q187" s="151">
        <f t="shared" si="7"/>
        <v>1.0596000000000001E-4</v>
      </c>
      <c r="R187" s="80">
        <f t="shared" si="8"/>
        <v>-12268.780671951679</v>
      </c>
    </row>
    <row r="188" spans="1:18" ht="14.45" hidden="1" customHeight="1">
      <c r="A188" s="132" t="s">
        <v>272</v>
      </c>
      <c r="B188" s="52" t="str">
        <f>VLOOKUP(A188,'Billing Dimensions'!A:B,2,FALSE)</f>
        <v>SB</v>
      </c>
      <c r="C188" s="136">
        <f>VLOOKUP(A188,'Billing Dimensions'!$A:$N,3,FALSE)-VLOOKUP(A188,'Audit Dimensions'!$A:$N,3,FALSE)</f>
        <v>-1</v>
      </c>
      <c r="D188" s="136">
        <f>VLOOKUP(A188,'Billing Dimensions'!$A:$N,4,FALSE)-VLOOKUP(A188,'Audit Dimensions'!$A:$N,4,FALSE)</f>
        <v>-1</v>
      </c>
      <c r="E188" s="136">
        <f>VLOOKUP(A188,'Billing Dimensions'!$A:$N,5,FALSE)-VLOOKUP(A188,'Audit Dimensions'!$A:$N,5,FALSE)</f>
        <v>0</v>
      </c>
      <c r="F188" s="137">
        <f>VLOOKUP(A188,'Billing Dimensions'!$A:$N,6,FALSE)-VLOOKUP(A188,'Audit Dimensions'!$A:$N,6,FALSE)</f>
        <v>-660</v>
      </c>
      <c r="G188" s="138">
        <f>VLOOKUP(A188,'Billing Dimensions'!$A:$N,7,FALSE)-VLOOKUP(A188,'Audit Dimensions'!$A:$N,7,FALSE)</f>
        <v>0</v>
      </c>
      <c r="H188" s="138">
        <f>VLOOKUP(A188,'Billing Dimensions'!$A:$N,8,FALSE)-VLOOKUP(A188,'Audit Dimensions'!$A:$N,8,FALSE)</f>
        <v>0</v>
      </c>
      <c r="I188" s="138">
        <f>VLOOKUP(A188,'Billing Dimensions'!$A:$N,9,FALSE)-VLOOKUP(A188,'Audit Dimensions'!$A:$N,9,FALSE)</f>
        <v>0</v>
      </c>
      <c r="J188" s="139">
        <f>VLOOKUP(A188,'Billing Dimensions'!$A:$N,10,FALSE)-VLOOKUP(A188,'Audit Dimensions'!$A:$N,10,FALSE)</f>
        <v>0</v>
      </c>
      <c r="K188" s="140">
        <f>VLOOKUP(A188,'Billing Dimensions'!$A:$N,11,FALSE)-VLOOKUP(A188,'Audit Dimensions'!$A:$N,11,FALSE)</f>
        <v>0</v>
      </c>
      <c r="L188" s="140">
        <f>VLOOKUP(A188,'Billing Dimensions'!$A:$N,12,FALSE)-VLOOKUP(A188,'Audit Dimensions'!$A:$N,12,FALSE)</f>
        <v>0</v>
      </c>
      <c r="M188" s="140">
        <f>VLOOKUP(A188,'Billing Dimensions'!$A:$N,13,FALSE)-VLOOKUP(A188,'Audit Dimensions'!$A:$N,13,FALSE)</f>
        <v>0</v>
      </c>
      <c r="N188" s="140">
        <f>VLOOKUP(A188,'Billing Dimensions'!$A:$N,14,FALSE)-VLOOKUP(A188,'Audit Dimensions'!$A:$N,14,FALSE)</f>
        <v>0</v>
      </c>
      <c r="O188" s="147">
        <f>VLOOKUP(A188,'Billing Dimensions'!A:Q,16,FALSE)-VLOOKUP('Audit VAR'!A188,'Audit Dimensions'!A:P,16,FALSE)</f>
        <v>-660</v>
      </c>
      <c r="P188" s="148">
        <f t="shared" si="6"/>
        <v>-0.66</v>
      </c>
      <c r="Q188" s="151">
        <f t="shared" si="7"/>
        <v>0</v>
      </c>
      <c r="R188" s="80" t="e">
        <f t="shared" si="8"/>
        <v>#DIV/0!</v>
      </c>
    </row>
    <row r="189" spans="1:18" ht="14.45" hidden="1" customHeight="1">
      <c r="A189" s="132" t="s">
        <v>274</v>
      </c>
      <c r="B189" s="52" t="str">
        <f>VLOOKUP(A189,'Billing Dimensions'!A:B,2,FALSE)</f>
        <v>SB</v>
      </c>
      <c r="C189" s="136">
        <f>VLOOKUP(A189,'Billing Dimensions'!$A:$N,3,FALSE)-VLOOKUP(A189,'Audit Dimensions'!$A:$N,3,FALSE)</f>
        <v>-2</v>
      </c>
      <c r="D189" s="136">
        <f>VLOOKUP(A189,'Billing Dimensions'!$A:$N,4,FALSE)-VLOOKUP(A189,'Audit Dimensions'!$A:$N,4,FALSE)</f>
        <v>-1</v>
      </c>
      <c r="E189" s="136">
        <f>VLOOKUP(A189,'Billing Dimensions'!$A:$N,5,FALSE)-VLOOKUP(A189,'Audit Dimensions'!$A:$N,5,FALSE)</f>
        <v>1</v>
      </c>
      <c r="F189" s="137">
        <f>VLOOKUP(A189,'Billing Dimensions'!$A:$N,6,FALSE)-VLOOKUP(A189,'Audit Dimensions'!$A:$N,6,FALSE)</f>
        <v>-1250</v>
      </c>
      <c r="G189" s="138">
        <f>VLOOKUP(A189,'Billing Dimensions'!$A:$N,7,FALSE)-VLOOKUP(A189,'Audit Dimensions'!$A:$N,7,FALSE)</f>
        <v>0</v>
      </c>
      <c r="H189" s="138">
        <f>VLOOKUP(A189,'Billing Dimensions'!$A:$N,8,FALSE)-VLOOKUP(A189,'Audit Dimensions'!$A:$N,8,FALSE)</f>
        <v>0</v>
      </c>
      <c r="I189" s="138">
        <f>VLOOKUP(A189,'Billing Dimensions'!$A:$N,9,FALSE)-VLOOKUP(A189,'Audit Dimensions'!$A:$N,9,FALSE)</f>
        <v>0</v>
      </c>
      <c r="J189" s="139">
        <f>VLOOKUP(A189,'Billing Dimensions'!$A:$N,10,FALSE)-VLOOKUP(A189,'Audit Dimensions'!$A:$N,10,FALSE)</f>
        <v>0</v>
      </c>
      <c r="K189" s="140">
        <f>VLOOKUP(A189,'Billing Dimensions'!$A:$N,11,FALSE)-VLOOKUP(A189,'Audit Dimensions'!$A:$N,11,FALSE)</f>
        <v>0</v>
      </c>
      <c r="L189" s="140">
        <f>VLOOKUP(A189,'Billing Dimensions'!$A:$N,12,FALSE)-VLOOKUP(A189,'Audit Dimensions'!$A:$N,12,FALSE)</f>
        <v>0</v>
      </c>
      <c r="M189" s="140">
        <f>VLOOKUP(A189,'Billing Dimensions'!$A:$N,13,FALSE)-VLOOKUP(A189,'Audit Dimensions'!$A:$N,13,FALSE)</f>
        <v>0</v>
      </c>
      <c r="N189" s="140">
        <f>VLOOKUP(A189,'Billing Dimensions'!$A:$N,14,FALSE)-VLOOKUP(A189,'Audit Dimensions'!$A:$N,14,FALSE)</f>
        <v>0</v>
      </c>
      <c r="O189" s="147">
        <f>VLOOKUP(A189,'Billing Dimensions'!A:Q,16,FALSE)-VLOOKUP('Audit VAR'!A189,'Audit Dimensions'!A:P,16,FALSE)</f>
        <v>-1250</v>
      </c>
      <c r="P189" s="148">
        <f t="shared" si="6"/>
        <v>-1.25</v>
      </c>
      <c r="Q189" s="151">
        <f t="shared" si="7"/>
        <v>7.0640000000000001E-5</v>
      </c>
      <c r="R189" s="80">
        <f t="shared" si="8"/>
        <v>-17695.356738391845</v>
      </c>
    </row>
    <row r="190" spans="1:18" ht="14.45" hidden="1" customHeight="1">
      <c r="A190" s="132" t="s">
        <v>275</v>
      </c>
      <c r="B190" s="52" t="str">
        <f>VLOOKUP(A190,'Billing Dimensions'!A:B,2,FALSE)</f>
        <v>SB</v>
      </c>
      <c r="C190" s="136" t="e">
        <f>VLOOKUP(A190,'Billing Dimensions'!$A:$N,3,FALSE)-VLOOKUP(A190,'Audit Dimensions'!$A:$N,3,FALSE)</f>
        <v>#N/A</v>
      </c>
      <c r="D190" s="136" t="e">
        <f>VLOOKUP(A190,'Billing Dimensions'!$A:$N,4,FALSE)-VLOOKUP(A190,'Audit Dimensions'!$A:$N,4,FALSE)</f>
        <v>#N/A</v>
      </c>
      <c r="E190" s="136" t="e">
        <f>VLOOKUP(A190,'Billing Dimensions'!$A:$N,5,FALSE)-VLOOKUP(A190,'Audit Dimensions'!$A:$N,5,FALSE)</f>
        <v>#N/A</v>
      </c>
      <c r="F190" s="137" t="e">
        <f>VLOOKUP(A190,'Billing Dimensions'!$A:$N,6,FALSE)-VLOOKUP(A190,'Audit Dimensions'!$A:$N,6,FALSE)</f>
        <v>#N/A</v>
      </c>
      <c r="G190" s="138" t="e">
        <f>VLOOKUP(A190,'Billing Dimensions'!$A:$N,7,FALSE)-VLOOKUP(A190,'Audit Dimensions'!$A:$N,7,FALSE)</f>
        <v>#N/A</v>
      </c>
      <c r="H190" s="138" t="e">
        <f>VLOOKUP(A190,'Billing Dimensions'!$A:$N,8,FALSE)-VLOOKUP(A190,'Audit Dimensions'!$A:$N,8,FALSE)</f>
        <v>#N/A</v>
      </c>
      <c r="I190" s="138" t="e">
        <f>VLOOKUP(A190,'Billing Dimensions'!$A:$N,9,FALSE)-VLOOKUP(A190,'Audit Dimensions'!$A:$N,9,FALSE)</f>
        <v>#N/A</v>
      </c>
      <c r="J190" s="139" t="e">
        <f>VLOOKUP(A190,'Billing Dimensions'!$A:$N,10,FALSE)-VLOOKUP(A190,'Audit Dimensions'!$A:$N,10,FALSE)</f>
        <v>#N/A</v>
      </c>
      <c r="K190" s="140" t="e">
        <f>VLOOKUP(A190,'Billing Dimensions'!$A:$N,11,FALSE)-VLOOKUP(A190,'Audit Dimensions'!$A:$N,11,FALSE)</f>
        <v>#N/A</v>
      </c>
      <c r="L190" s="140" t="e">
        <f>VLOOKUP(A190,'Billing Dimensions'!$A:$N,12,FALSE)-VLOOKUP(A190,'Audit Dimensions'!$A:$N,12,FALSE)</f>
        <v>#N/A</v>
      </c>
      <c r="M190" s="140" t="e">
        <f>VLOOKUP(A190,'Billing Dimensions'!$A:$N,13,FALSE)-VLOOKUP(A190,'Audit Dimensions'!$A:$N,13,FALSE)</f>
        <v>#N/A</v>
      </c>
      <c r="N190" s="140" t="e">
        <f>VLOOKUP(A190,'Billing Dimensions'!$A:$N,14,FALSE)-VLOOKUP(A190,'Audit Dimensions'!$A:$N,14,FALSE)</f>
        <v>#N/A</v>
      </c>
      <c r="O190" s="147" t="e">
        <f>VLOOKUP(A190,'Billing Dimensions'!A:Q,16,FALSE)-VLOOKUP('Audit VAR'!A190,'Audit Dimensions'!A:P,16,FALSE)</f>
        <v>#N/A</v>
      </c>
      <c r="P190" s="148" t="e">
        <f t="shared" si="6"/>
        <v>#N/A</v>
      </c>
      <c r="Q190" s="151" t="e">
        <f t="shared" si="7"/>
        <v>#N/A</v>
      </c>
      <c r="R190" s="80" t="e">
        <f t="shared" si="8"/>
        <v>#N/A</v>
      </c>
    </row>
    <row r="191" spans="1:18" hidden="1">
      <c r="A191" s="132" t="s">
        <v>276</v>
      </c>
      <c r="B191" s="52" t="str">
        <f>VLOOKUP(A191,'Billing Dimensions'!A:B,2,FALSE)</f>
        <v>MB</v>
      </c>
      <c r="C191" s="136">
        <f>VLOOKUP(A191,'Billing Dimensions'!$A:$N,3,FALSE)-VLOOKUP(A191,'Audit Dimensions'!$A:$N,3,FALSE)</f>
        <v>0</v>
      </c>
      <c r="D191" s="136">
        <f>VLOOKUP(A191,'Billing Dimensions'!$A:$N,4,FALSE)-VLOOKUP(A191,'Audit Dimensions'!$A:$N,4,FALSE)</f>
        <v>0</v>
      </c>
      <c r="E191" s="136">
        <f>VLOOKUP(A191,'Billing Dimensions'!$A:$N,5,FALSE)-VLOOKUP(A191,'Audit Dimensions'!$A:$N,5,FALSE)</f>
        <v>0</v>
      </c>
      <c r="F191" s="137">
        <f>VLOOKUP(A191,'Billing Dimensions'!$A:$N,6,FALSE)-VLOOKUP(A191,'Audit Dimensions'!$A:$N,6,FALSE)</f>
        <v>-10550</v>
      </c>
      <c r="G191" s="138">
        <f>VLOOKUP(A191,'Billing Dimensions'!$A:$N,7,FALSE)-VLOOKUP(A191,'Audit Dimensions'!$A:$N,7,FALSE)</f>
        <v>0</v>
      </c>
      <c r="H191" s="138">
        <f>VLOOKUP(A191,'Billing Dimensions'!$A:$N,8,FALSE)-VLOOKUP(A191,'Audit Dimensions'!$A:$N,8,FALSE)</f>
        <v>1</v>
      </c>
      <c r="I191" s="138">
        <f>VLOOKUP(A191,'Billing Dimensions'!$A:$N,9,FALSE)-VLOOKUP(A191,'Audit Dimensions'!$A:$N,9,FALSE)</f>
        <v>-1</v>
      </c>
      <c r="J191" s="139">
        <f>VLOOKUP(A191,'Billing Dimensions'!$A:$N,10,FALSE)-VLOOKUP(A191,'Audit Dimensions'!$A:$N,10,FALSE)</f>
        <v>-300</v>
      </c>
      <c r="K191" s="140">
        <f>VLOOKUP(A191,'Billing Dimensions'!$A:$N,11,FALSE)-VLOOKUP(A191,'Audit Dimensions'!$A:$N,11,FALSE)</f>
        <v>0</v>
      </c>
      <c r="L191" s="140">
        <f>VLOOKUP(A191,'Billing Dimensions'!$A:$N,12,FALSE)-VLOOKUP(A191,'Audit Dimensions'!$A:$N,12,FALSE)</f>
        <v>0</v>
      </c>
      <c r="M191" s="140">
        <f>VLOOKUP(A191,'Billing Dimensions'!$A:$N,13,FALSE)-VLOOKUP(A191,'Audit Dimensions'!$A:$N,13,FALSE)</f>
        <v>0</v>
      </c>
      <c r="N191" s="140">
        <f>VLOOKUP(A191,'Billing Dimensions'!$A:$N,14,FALSE)-VLOOKUP(A191,'Audit Dimensions'!$A:$N,14,FALSE)</f>
        <v>0</v>
      </c>
      <c r="O191" s="147">
        <f>VLOOKUP(A191,'Billing Dimensions'!A:Q,16,FALSE)-VLOOKUP('Audit VAR'!A191,'Audit Dimensions'!A:P,16,FALSE)</f>
        <v>-10850</v>
      </c>
      <c r="P191" s="148">
        <f t="shared" si="6"/>
        <v>-10.85</v>
      </c>
      <c r="Q191" s="151">
        <f t="shared" si="7"/>
        <v>0</v>
      </c>
      <c r="R191" s="80" t="e">
        <f t="shared" si="8"/>
        <v>#DIV/0!</v>
      </c>
    </row>
    <row r="192" spans="1:18" ht="14.45" hidden="1" customHeight="1">
      <c r="A192" s="132" t="s">
        <v>277</v>
      </c>
      <c r="B192" s="52" t="str">
        <f>VLOOKUP(A192,'Billing Dimensions'!A:B,2,FALSE)</f>
        <v>SB</v>
      </c>
      <c r="C192" s="136">
        <f>VLOOKUP(A192,'Billing Dimensions'!$A:$N,3,FALSE)-VLOOKUP(A192,'Audit Dimensions'!$A:$N,3,FALSE)</f>
        <v>4</v>
      </c>
      <c r="D192" s="136">
        <f>VLOOKUP(A192,'Billing Dimensions'!$A:$N,4,FALSE)-VLOOKUP(A192,'Audit Dimensions'!$A:$N,4,FALSE)</f>
        <v>0</v>
      </c>
      <c r="E192" s="136">
        <f>VLOOKUP(A192,'Billing Dimensions'!$A:$N,5,FALSE)-VLOOKUP(A192,'Audit Dimensions'!$A:$N,5,FALSE)</f>
        <v>0</v>
      </c>
      <c r="F192" s="137">
        <f>VLOOKUP(A192,'Billing Dimensions'!$A:$N,6,FALSE)-VLOOKUP(A192,'Audit Dimensions'!$A:$N,6,FALSE)</f>
        <v>-900</v>
      </c>
      <c r="G192" s="138">
        <f>VLOOKUP(A192,'Billing Dimensions'!$A:$N,7,FALSE)-VLOOKUP(A192,'Audit Dimensions'!$A:$N,7,FALSE)</f>
        <v>0</v>
      </c>
      <c r="H192" s="138">
        <f>VLOOKUP(A192,'Billing Dimensions'!$A:$N,8,FALSE)-VLOOKUP(A192,'Audit Dimensions'!$A:$N,8,FALSE)</f>
        <v>0</v>
      </c>
      <c r="I192" s="138">
        <f>VLOOKUP(A192,'Billing Dimensions'!$A:$N,9,FALSE)-VLOOKUP(A192,'Audit Dimensions'!$A:$N,9,FALSE)</f>
        <v>0</v>
      </c>
      <c r="J192" s="139">
        <f>VLOOKUP(A192,'Billing Dimensions'!$A:$N,10,FALSE)-VLOOKUP(A192,'Audit Dimensions'!$A:$N,10,FALSE)</f>
        <v>0</v>
      </c>
      <c r="K192" s="140">
        <f>VLOOKUP(A192,'Billing Dimensions'!$A:$N,11,FALSE)-VLOOKUP(A192,'Audit Dimensions'!$A:$N,11,FALSE)</f>
        <v>0</v>
      </c>
      <c r="L192" s="140">
        <f>VLOOKUP(A192,'Billing Dimensions'!$A:$N,12,FALSE)-VLOOKUP(A192,'Audit Dimensions'!$A:$N,12,FALSE)</f>
        <v>0</v>
      </c>
      <c r="M192" s="140">
        <f>VLOOKUP(A192,'Billing Dimensions'!$A:$N,13,FALSE)-VLOOKUP(A192,'Audit Dimensions'!$A:$N,13,FALSE)</f>
        <v>0</v>
      </c>
      <c r="N192" s="140">
        <f>VLOOKUP(A192,'Billing Dimensions'!$A:$N,14,FALSE)-VLOOKUP(A192,'Audit Dimensions'!$A:$N,14,FALSE)</f>
        <v>0</v>
      </c>
      <c r="O192" s="147">
        <f>VLOOKUP(A192,'Billing Dimensions'!A:Q,16,FALSE)-VLOOKUP('Audit VAR'!A192,'Audit Dimensions'!A:P,16,FALSE)</f>
        <v>-900</v>
      </c>
      <c r="P192" s="148">
        <f t="shared" si="6"/>
        <v>-0.9</v>
      </c>
      <c r="Q192" s="151">
        <f t="shared" si="7"/>
        <v>0</v>
      </c>
      <c r="R192" s="80" t="e">
        <f t="shared" si="8"/>
        <v>#DIV/0!</v>
      </c>
    </row>
    <row r="193" spans="1:18" ht="14.45" hidden="1" customHeight="1">
      <c r="A193" s="132" t="s">
        <v>278</v>
      </c>
      <c r="B193" s="52" t="str">
        <f>VLOOKUP(A193,'Billing Dimensions'!A:B,2,FALSE)</f>
        <v>SB</v>
      </c>
      <c r="C193" s="136">
        <f>VLOOKUP(A193,'Billing Dimensions'!$A:$N,3,FALSE)-VLOOKUP(A193,'Audit Dimensions'!$A:$N,3,FALSE)</f>
        <v>9</v>
      </c>
      <c r="D193" s="136">
        <f>VLOOKUP(A193,'Billing Dimensions'!$A:$N,4,FALSE)-VLOOKUP(A193,'Audit Dimensions'!$A:$N,4,FALSE)</f>
        <v>3</v>
      </c>
      <c r="E193" s="136">
        <f>VLOOKUP(A193,'Billing Dimensions'!$A:$N,5,FALSE)-VLOOKUP(A193,'Audit Dimensions'!$A:$N,5,FALSE)</f>
        <v>-2</v>
      </c>
      <c r="F193" s="137">
        <f>VLOOKUP(A193,'Billing Dimensions'!$A:$N,6,FALSE)-VLOOKUP(A193,'Audit Dimensions'!$A:$N,6,FALSE)</f>
        <v>260</v>
      </c>
      <c r="G193" s="138">
        <f>VLOOKUP(A193,'Billing Dimensions'!$A:$N,7,FALSE)-VLOOKUP(A193,'Audit Dimensions'!$A:$N,7,FALSE)</f>
        <v>0</v>
      </c>
      <c r="H193" s="138">
        <f>VLOOKUP(A193,'Billing Dimensions'!$A:$N,8,FALSE)-VLOOKUP(A193,'Audit Dimensions'!$A:$N,8,FALSE)</f>
        <v>0</v>
      </c>
      <c r="I193" s="138">
        <f>VLOOKUP(A193,'Billing Dimensions'!$A:$N,9,FALSE)-VLOOKUP(A193,'Audit Dimensions'!$A:$N,9,FALSE)</f>
        <v>0</v>
      </c>
      <c r="J193" s="139">
        <f>VLOOKUP(A193,'Billing Dimensions'!$A:$N,10,FALSE)-VLOOKUP(A193,'Audit Dimensions'!$A:$N,10,FALSE)</f>
        <v>0</v>
      </c>
      <c r="K193" s="140">
        <f>VLOOKUP(A193,'Billing Dimensions'!$A:$N,11,FALSE)-VLOOKUP(A193,'Audit Dimensions'!$A:$N,11,FALSE)</f>
        <v>0</v>
      </c>
      <c r="L193" s="140">
        <f>VLOOKUP(A193,'Billing Dimensions'!$A:$N,12,FALSE)-VLOOKUP(A193,'Audit Dimensions'!$A:$N,12,FALSE)</f>
        <v>0</v>
      </c>
      <c r="M193" s="140">
        <f>VLOOKUP(A193,'Billing Dimensions'!$A:$N,13,FALSE)-VLOOKUP(A193,'Audit Dimensions'!$A:$N,13,FALSE)</f>
        <v>0</v>
      </c>
      <c r="N193" s="140">
        <f>VLOOKUP(A193,'Billing Dimensions'!$A:$N,14,FALSE)-VLOOKUP(A193,'Audit Dimensions'!$A:$N,14,FALSE)</f>
        <v>0</v>
      </c>
      <c r="O193" s="147">
        <f>VLOOKUP(A193,'Billing Dimensions'!A:Q,16,FALSE)-VLOOKUP('Audit VAR'!A193,'Audit Dimensions'!A:P,16,FALSE)</f>
        <v>260</v>
      </c>
      <c r="P193" s="148">
        <f t="shared" si="6"/>
        <v>0.26</v>
      </c>
      <c r="Q193" s="151">
        <f t="shared" si="7"/>
        <v>-1.9072799999999999E-3</v>
      </c>
      <c r="R193" s="80">
        <f t="shared" si="8"/>
        <v>-136.31978524390757</v>
      </c>
    </row>
    <row r="194" spans="1:18" ht="14.45" hidden="1" customHeight="1">
      <c r="A194" s="132" t="s">
        <v>279</v>
      </c>
      <c r="B194" s="52" t="str">
        <f>VLOOKUP(A194,'Billing Dimensions'!A:B,2,FALSE)</f>
        <v>SB</v>
      </c>
      <c r="C194" s="136">
        <f>VLOOKUP(A194,'Billing Dimensions'!$A:$N,3,FALSE)-VLOOKUP(A194,'Audit Dimensions'!$A:$N,3,FALSE)</f>
        <v>-1</v>
      </c>
      <c r="D194" s="136">
        <f>VLOOKUP(A194,'Billing Dimensions'!$A:$N,4,FALSE)-VLOOKUP(A194,'Audit Dimensions'!$A:$N,4,FALSE)</f>
        <v>0</v>
      </c>
      <c r="E194" s="136">
        <f>VLOOKUP(A194,'Billing Dimensions'!$A:$N,5,FALSE)-VLOOKUP(A194,'Audit Dimensions'!$A:$N,5,FALSE)</f>
        <v>0</v>
      </c>
      <c r="F194" s="137">
        <f>VLOOKUP(A194,'Billing Dimensions'!$A:$N,6,FALSE)-VLOOKUP(A194,'Audit Dimensions'!$A:$N,6,FALSE)</f>
        <v>-2155</v>
      </c>
      <c r="G194" s="138">
        <f>VLOOKUP(A194,'Billing Dimensions'!$A:$N,7,FALSE)-VLOOKUP(A194,'Audit Dimensions'!$A:$N,7,FALSE)</f>
        <v>0</v>
      </c>
      <c r="H194" s="138">
        <f>VLOOKUP(A194,'Billing Dimensions'!$A:$N,8,FALSE)-VLOOKUP(A194,'Audit Dimensions'!$A:$N,8,FALSE)</f>
        <v>0</v>
      </c>
      <c r="I194" s="138">
        <f>VLOOKUP(A194,'Billing Dimensions'!$A:$N,9,FALSE)-VLOOKUP(A194,'Audit Dimensions'!$A:$N,9,FALSE)</f>
        <v>0</v>
      </c>
      <c r="J194" s="139">
        <f>VLOOKUP(A194,'Billing Dimensions'!$A:$N,10,FALSE)-VLOOKUP(A194,'Audit Dimensions'!$A:$N,10,FALSE)</f>
        <v>0</v>
      </c>
      <c r="K194" s="140">
        <f>VLOOKUP(A194,'Billing Dimensions'!$A:$N,11,FALSE)-VLOOKUP(A194,'Audit Dimensions'!$A:$N,11,FALSE)</f>
        <v>0</v>
      </c>
      <c r="L194" s="140">
        <f>VLOOKUP(A194,'Billing Dimensions'!$A:$N,12,FALSE)-VLOOKUP(A194,'Audit Dimensions'!$A:$N,12,FALSE)</f>
        <v>0</v>
      </c>
      <c r="M194" s="140">
        <f>VLOOKUP(A194,'Billing Dimensions'!$A:$N,13,FALSE)-VLOOKUP(A194,'Audit Dimensions'!$A:$N,13,FALSE)</f>
        <v>0</v>
      </c>
      <c r="N194" s="140">
        <f>VLOOKUP(A194,'Billing Dimensions'!$A:$N,14,FALSE)-VLOOKUP(A194,'Audit Dimensions'!$A:$N,14,FALSE)</f>
        <v>0</v>
      </c>
      <c r="O194" s="147">
        <f>VLOOKUP(A194,'Billing Dimensions'!A:Q,16,FALSE)-VLOOKUP('Audit VAR'!A194,'Audit Dimensions'!A:P,16,FALSE)</f>
        <v>-2155</v>
      </c>
      <c r="P194" s="148">
        <f t="shared" si="6"/>
        <v>-2.1549999999999998</v>
      </c>
      <c r="Q194" s="151">
        <f t="shared" si="7"/>
        <v>0</v>
      </c>
      <c r="R194" s="80" t="e">
        <f t="shared" si="8"/>
        <v>#DIV/0!</v>
      </c>
    </row>
    <row r="195" spans="1:18" ht="14.45" hidden="1" customHeight="1">
      <c r="A195" s="157" t="s">
        <v>280</v>
      </c>
      <c r="B195" s="52" t="str">
        <f>VLOOKUP(A195,'Billing Dimensions'!A:B,2,FALSE)</f>
        <v>SB</v>
      </c>
      <c r="C195" s="136">
        <f>VLOOKUP(A195,'Billing Dimensions'!$A:$N,3,FALSE)-VLOOKUP(A195,'Audit Dimensions'!$A:$N,3,FALSE)</f>
        <v>0</v>
      </c>
      <c r="D195" s="136">
        <f>VLOOKUP(A195,'Billing Dimensions'!$A:$N,4,FALSE)-VLOOKUP(A195,'Audit Dimensions'!$A:$N,4,FALSE)</f>
        <v>0</v>
      </c>
      <c r="E195" s="136">
        <f>VLOOKUP(A195,'Billing Dimensions'!$A:$N,5,FALSE)-VLOOKUP(A195,'Audit Dimensions'!$A:$N,5,FALSE)</f>
        <v>0</v>
      </c>
      <c r="F195" s="137">
        <f>VLOOKUP(A195,'Billing Dimensions'!$A:$N,6,FALSE)-VLOOKUP(A195,'Audit Dimensions'!$A:$N,6,FALSE)</f>
        <v>-2570</v>
      </c>
      <c r="G195" s="138">
        <f>VLOOKUP(A195,'Billing Dimensions'!$A:$N,7,FALSE)-VLOOKUP(A195,'Audit Dimensions'!$A:$N,7,FALSE)</f>
        <v>0</v>
      </c>
      <c r="H195" s="138">
        <f>VLOOKUP(A195,'Billing Dimensions'!$A:$N,8,FALSE)-VLOOKUP(A195,'Audit Dimensions'!$A:$N,8,FALSE)</f>
        <v>0</v>
      </c>
      <c r="I195" s="138">
        <f>VLOOKUP(A195,'Billing Dimensions'!$A:$N,9,FALSE)-VLOOKUP(A195,'Audit Dimensions'!$A:$N,9,FALSE)</f>
        <v>0</v>
      </c>
      <c r="J195" s="139">
        <f>VLOOKUP(A195,'Billing Dimensions'!$A:$N,10,FALSE)-VLOOKUP(A195,'Audit Dimensions'!$A:$N,10,FALSE)</f>
        <v>0</v>
      </c>
      <c r="K195" s="140">
        <f>VLOOKUP(A195,'Billing Dimensions'!$A:$N,11,FALSE)-VLOOKUP(A195,'Audit Dimensions'!$A:$N,11,FALSE)</f>
        <v>0</v>
      </c>
      <c r="L195" s="140">
        <f>VLOOKUP(A195,'Billing Dimensions'!$A:$N,12,FALSE)-VLOOKUP(A195,'Audit Dimensions'!$A:$N,12,FALSE)</f>
        <v>0</v>
      </c>
      <c r="M195" s="140">
        <f>VLOOKUP(A195,'Billing Dimensions'!$A:$N,13,FALSE)-VLOOKUP(A195,'Audit Dimensions'!$A:$N,13,FALSE)</f>
        <v>0</v>
      </c>
      <c r="N195" s="140">
        <f>VLOOKUP(A195,'Billing Dimensions'!$A:$N,14,FALSE)-VLOOKUP(A195,'Audit Dimensions'!$A:$N,14,FALSE)</f>
        <v>0</v>
      </c>
      <c r="O195" s="147">
        <f>VLOOKUP(A195,'Billing Dimensions'!A:Q,16,FALSE)-VLOOKUP('Audit VAR'!A195,'Audit Dimensions'!A:P,16,FALSE)</f>
        <v>-2570</v>
      </c>
      <c r="P195" s="148">
        <f t="shared" si="6"/>
        <v>-2.57</v>
      </c>
      <c r="Q195" s="151">
        <f t="shared" si="7"/>
        <v>0</v>
      </c>
      <c r="R195" s="80" t="e">
        <f t="shared" si="8"/>
        <v>#DIV/0!</v>
      </c>
    </row>
    <row r="196" spans="1:18" ht="14.45" hidden="1" customHeight="1">
      <c r="A196" s="162" t="s">
        <v>282</v>
      </c>
      <c r="B196" s="52" t="str">
        <f>VLOOKUP(A196,'Billing Dimensions'!A:B,2,FALSE)</f>
        <v>SB</v>
      </c>
      <c r="C196" s="136">
        <f>VLOOKUP(A196,'Billing Dimensions'!$A:$N,3,FALSE)-VLOOKUP(A196,'Audit Dimensions'!$A:$N,3,FALSE)</f>
        <v>4</v>
      </c>
      <c r="D196" s="136">
        <f>VLOOKUP(A196,'Billing Dimensions'!$A:$N,4,FALSE)-VLOOKUP(A196,'Audit Dimensions'!$A:$N,4,FALSE)</f>
        <v>1</v>
      </c>
      <c r="E196" s="136">
        <f>VLOOKUP(A196,'Billing Dimensions'!$A:$N,5,FALSE)-VLOOKUP(A196,'Audit Dimensions'!$A:$N,5,FALSE)</f>
        <v>1</v>
      </c>
      <c r="F196" s="137">
        <f>VLOOKUP(A196,'Billing Dimensions'!$A:$N,6,FALSE)-VLOOKUP(A196,'Audit Dimensions'!$A:$N,6,FALSE)</f>
        <v>-350</v>
      </c>
      <c r="G196" s="138">
        <f>VLOOKUP(A196,'Billing Dimensions'!$A:$N,7,FALSE)-VLOOKUP(A196,'Audit Dimensions'!$A:$N,7,FALSE)</f>
        <v>0</v>
      </c>
      <c r="H196" s="138">
        <f>VLOOKUP(A196,'Billing Dimensions'!$A:$N,8,FALSE)-VLOOKUP(A196,'Audit Dimensions'!$A:$N,8,FALSE)</f>
        <v>0</v>
      </c>
      <c r="I196" s="138">
        <f>VLOOKUP(A196,'Billing Dimensions'!$A:$N,9,FALSE)-VLOOKUP(A196,'Audit Dimensions'!$A:$N,9,FALSE)</f>
        <v>0</v>
      </c>
      <c r="J196" s="139">
        <f>VLOOKUP(A196,'Billing Dimensions'!$A:$N,10,FALSE)-VLOOKUP(A196,'Audit Dimensions'!$A:$N,10,FALSE)</f>
        <v>0</v>
      </c>
      <c r="K196" s="140">
        <f>VLOOKUP(A196,'Billing Dimensions'!$A:$N,11,FALSE)-VLOOKUP(A196,'Audit Dimensions'!$A:$N,11,FALSE)</f>
        <v>0</v>
      </c>
      <c r="L196" s="140">
        <f>VLOOKUP(A196,'Billing Dimensions'!$A:$N,12,FALSE)-VLOOKUP(A196,'Audit Dimensions'!$A:$N,12,FALSE)</f>
        <v>0</v>
      </c>
      <c r="M196" s="140">
        <f>VLOOKUP(A196,'Billing Dimensions'!$A:$N,13,FALSE)-VLOOKUP(A196,'Audit Dimensions'!$A:$N,13,FALSE)</f>
        <v>0</v>
      </c>
      <c r="N196" s="140">
        <f>VLOOKUP(A196,'Billing Dimensions'!$A:$N,14,FALSE)-VLOOKUP(A196,'Audit Dimensions'!$A:$N,14,FALSE)</f>
        <v>0</v>
      </c>
      <c r="O196" s="147">
        <f>VLOOKUP(A196,'Billing Dimensions'!A:Q,16,FALSE)-VLOOKUP('Audit VAR'!A196,'Audit Dimensions'!A:P,16,FALSE)</f>
        <v>-350</v>
      </c>
      <c r="P196" s="148">
        <f t="shared" ref="P196:P252" si="9">O196/1000</f>
        <v>-0.35</v>
      </c>
      <c r="Q196" s="151">
        <f t="shared" ref="Q196:Q252" si="10">(((C196*D196*E196)+(G196*H196*I196)+(K196*L196*M196))/1000000)*35.32</f>
        <v>1.4128E-4</v>
      </c>
      <c r="R196" s="80">
        <f t="shared" ref="R196:R252" si="11">P196/Q196</f>
        <v>-2477.3499433748584</v>
      </c>
    </row>
    <row r="197" spans="1:18" ht="14.45" hidden="1" customHeight="1">
      <c r="A197" s="132" t="s">
        <v>283</v>
      </c>
      <c r="B197" s="52" t="str">
        <f>VLOOKUP(A197,'Billing Dimensions'!A:B,2,FALSE)</f>
        <v>SB</v>
      </c>
      <c r="C197" s="136">
        <f>VLOOKUP(A197,'Billing Dimensions'!$A:$N,3,FALSE)-VLOOKUP(A197,'Audit Dimensions'!$A:$N,3,FALSE)</f>
        <v>1</v>
      </c>
      <c r="D197" s="136">
        <f>VLOOKUP(A197,'Billing Dimensions'!$A:$N,4,FALSE)-VLOOKUP(A197,'Audit Dimensions'!$A:$N,4,FALSE)</f>
        <v>1</v>
      </c>
      <c r="E197" s="136">
        <f>VLOOKUP(A197,'Billing Dimensions'!$A:$N,5,FALSE)-VLOOKUP(A197,'Audit Dimensions'!$A:$N,5,FALSE)</f>
        <v>0</v>
      </c>
      <c r="F197" s="137">
        <f>VLOOKUP(A197,'Billing Dimensions'!$A:$N,6,FALSE)-VLOOKUP(A197,'Audit Dimensions'!$A:$N,6,FALSE)</f>
        <v>-50</v>
      </c>
      <c r="G197" s="138">
        <f>VLOOKUP(A197,'Billing Dimensions'!$A:$N,7,FALSE)-VLOOKUP(A197,'Audit Dimensions'!$A:$N,7,FALSE)</f>
        <v>0</v>
      </c>
      <c r="H197" s="138">
        <f>VLOOKUP(A197,'Billing Dimensions'!$A:$N,8,FALSE)-VLOOKUP(A197,'Audit Dimensions'!$A:$N,8,FALSE)</f>
        <v>0</v>
      </c>
      <c r="I197" s="138">
        <f>VLOOKUP(A197,'Billing Dimensions'!$A:$N,9,FALSE)-VLOOKUP(A197,'Audit Dimensions'!$A:$N,9,FALSE)</f>
        <v>0</v>
      </c>
      <c r="J197" s="139">
        <f>VLOOKUP(A197,'Billing Dimensions'!$A:$N,10,FALSE)-VLOOKUP(A197,'Audit Dimensions'!$A:$N,10,FALSE)</f>
        <v>0</v>
      </c>
      <c r="K197" s="140">
        <f>VLOOKUP(A197,'Billing Dimensions'!$A:$N,11,FALSE)-VLOOKUP(A197,'Audit Dimensions'!$A:$N,11,FALSE)</f>
        <v>0</v>
      </c>
      <c r="L197" s="140">
        <f>VLOOKUP(A197,'Billing Dimensions'!$A:$N,12,FALSE)-VLOOKUP(A197,'Audit Dimensions'!$A:$N,12,FALSE)</f>
        <v>0</v>
      </c>
      <c r="M197" s="140">
        <f>VLOOKUP(A197,'Billing Dimensions'!$A:$N,13,FALSE)-VLOOKUP(A197,'Audit Dimensions'!$A:$N,13,FALSE)</f>
        <v>0</v>
      </c>
      <c r="N197" s="140">
        <f>VLOOKUP(A197,'Billing Dimensions'!$A:$N,14,FALSE)-VLOOKUP(A197,'Audit Dimensions'!$A:$N,14,FALSE)</f>
        <v>0</v>
      </c>
      <c r="O197" s="147">
        <f>VLOOKUP(A197,'Billing Dimensions'!A:Q,16,FALSE)-VLOOKUP('Audit VAR'!A197,'Audit Dimensions'!A:P,16,FALSE)</f>
        <v>-50</v>
      </c>
      <c r="P197" s="148">
        <f t="shared" si="9"/>
        <v>-0.05</v>
      </c>
      <c r="Q197" s="151">
        <f t="shared" si="10"/>
        <v>0</v>
      </c>
      <c r="R197" s="80" t="e">
        <f t="shared" si="11"/>
        <v>#DIV/0!</v>
      </c>
    </row>
    <row r="198" spans="1:18" ht="14.45" hidden="1" customHeight="1">
      <c r="A198" s="132" t="s">
        <v>284</v>
      </c>
      <c r="B198" s="52" t="str">
        <f>VLOOKUP(A198,'Billing Dimensions'!A:B,2,FALSE)</f>
        <v>SB</v>
      </c>
      <c r="C198" s="136">
        <f>VLOOKUP(A198,'Billing Dimensions'!$A:$N,3,FALSE)-VLOOKUP(A198,'Audit Dimensions'!$A:$N,3,FALSE)</f>
        <v>0</v>
      </c>
      <c r="D198" s="136">
        <f>VLOOKUP(A198,'Billing Dimensions'!$A:$N,4,FALSE)-VLOOKUP(A198,'Audit Dimensions'!$A:$N,4,FALSE)</f>
        <v>0</v>
      </c>
      <c r="E198" s="136">
        <f>VLOOKUP(A198,'Billing Dimensions'!$A:$N,5,FALSE)-VLOOKUP(A198,'Audit Dimensions'!$A:$N,5,FALSE)</f>
        <v>0</v>
      </c>
      <c r="F198" s="137">
        <f>VLOOKUP(A198,'Billing Dimensions'!$A:$N,6,FALSE)-VLOOKUP(A198,'Audit Dimensions'!$A:$N,6,FALSE)</f>
        <v>0</v>
      </c>
      <c r="G198" s="138">
        <f>VLOOKUP(A198,'Billing Dimensions'!$A:$N,7,FALSE)-VLOOKUP(A198,'Audit Dimensions'!$A:$N,7,FALSE)</f>
        <v>0</v>
      </c>
      <c r="H198" s="138">
        <f>VLOOKUP(A198,'Billing Dimensions'!$A:$N,8,FALSE)-VLOOKUP(A198,'Audit Dimensions'!$A:$N,8,FALSE)</f>
        <v>0</v>
      </c>
      <c r="I198" s="138">
        <f>VLOOKUP(A198,'Billing Dimensions'!$A:$N,9,FALSE)-VLOOKUP(A198,'Audit Dimensions'!$A:$N,9,FALSE)</f>
        <v>0</v>
      </c>
      <c r="J198" s="139">
        <f>VLOOKUP(A198,'Billing Dimensions'!$A:$N,10,FALSE)-VLOOKUP(A198,'Audit Dimensions'!$A:$N,10,FALSE)</f>
        <v>0</v>
      </c>
      <c r="K198" s="140">
        <f>VLOOKUP(A198,'Billing Dimensions'!$A:$N,11,FALSE)-VLOOKUP(A198,'Audit Dimensions'!$A:$N,11,FALSE)</f>
        <v>0</v>
      </c>
      <c r="L198" s="140">
        <f>VLOOKUP(A198,'Billing Dimensions'!$A:$N,12,FALSE)-VLOOKUP(A198,'Audit Dimensions'!$A:$N,12,FALSE)</f>
        <v>0</v>
      </c>
      <c r="M198" s="140">
        <f>VLOOKUP(A198,'Billing Dimensions'!$A:$N,13,FALSE)-VLOOKUP(A198,'Audit Dimensions'!$A:$N,13,FALSE)</f>
        <v>0</v>
      </c>
      <c r="N198" s="140">
        <f>VLOOKUP(A198,'Billing Dimensions'!$A:$N,14,FALSE)-VLOOKUP(A198,'Audit Dimensions'!$A:$N,14,FALSE)</f>
        <v>0</v>
      </c>
      <c r="O198" s="147">
        <f>VLOOKUP(A198,'Billing Dimensions'!A:Q,16,FALSE)-VLOOKUP('Audit VAR'!A198,'Audit Dimensions'!A:P,16,FALSE)</f>
        <v>0</v>
      </c>
      <c r="P198" s="148">
        <f t="shared" si="9"/>
        <v>0</v>
      </c>
      <c r="Q198" s="151">
        <f t="shared" si="10"/>
        <v>0</v>
      </c>
      <c r="R198" s="80" t="e">
        <f t="shared" si="11"/>
        <v>#DIV/0!</v>
      </c>
    </row>
    <row r="199" spans="1:18" ht="14.45" hidden="1" customHeight="1">
      <c r="A199" s="132" t="s">
        <v>285</v>
      </c>
      <c r="B199" s="52" t="str">
        <f>VLOOKUP(A199,'Billing Dimensions'!A:B,2,FALSE)</f>
        <v>SB</v>
      </c>
      <c r="C199" s="136">
        <f>VLOOKUP(A199,'Billing Dimensions'!$A:$N,3,FALSE)-VLOOKUP(A199,'Audit Dimensions'!$A:$N,3,FALSE)</f>
        <v>0</v>
      </c>
      <c r="D199" s="136">
        <f>VLOOKUP(A199,'Billing Dimensions'!$A:$N,4,FALSE)-VLOOKUP(A199,'Audit Dimensions'!$A:$N,4,FALSE)</f>
        <v>0</v>
      </c>
      <c r="E199" s="136">
        <f>VLOOKUP(A199,'Billing Dimensions'!$A:$N,5,FALSE)-VLOOKUP(A199,'Audit Dimensions'!$A:$N,5,FALSE)</f>
        <v>0</v>
      </c>
      <c r="F199" s="137">
        <f>VLOOKUP(A199,'Billing Dimensions'!$A:$N,6,FALSE)-VLOOKUP(A199,'Audit Dimensions'!$A:$N,6,FALSE)</f>
        <v>0</v>
      </c>
      <c r="G199" s="138">
        <f>VLOOKUP(A199,'Billing Dimensions'!$A:$N,7,FALSE)-VLOOKUP(A199,'Audit Dimensions'!$A:$N,7,FALSE)</f>
        <v>0</v>
      </c>
      <c r="H199" s="138">
        <f>VLOOKUP(A199,'Billing Dimensions'!$A:$N,8,FALSE)-VLOOKUP(A199,'Audit Dimensions'!$A:$N,8,FALSE)</f>
        <v>0</v>
      </c>
      <c r="I199" s="138">
        <f>VLOOKUP(A199,'Billing Dimensions'!$A:$N,9,FALSE)-VLOOKUP(A199,'Audit Dimensions'!$A:$N,9,FALSE)</f>
        <v>0</v>
      </c>
      <c r="J199" s="139">
        <f>VLOOKUP(A199,'Billing Dimensions'!$A:$N,10,FALSE)-VLOOKUP(A199,'Audit Dimensions'!$A:$N,10,FALSE)</f>
        <v>0</v>
      </c>
      <c r="K199" s="140">
        <f>VLOOKUP(A199,'Billing Dimensions'!$A:$N,11,FALSE)-VLOOKUP(A199,'Audit Dimensions'!$A:$N,11,FALSE)</f>
        <v>0</v>
      </c>
      <c r="L199" s="140">
        <f>VLOOKUP(A199,'Billing Dimensions'!$A:$N,12,FALSE)-VLOOKUP(A199,'Audit Dimensions'!$A:$N,12,FALSE)</f>
        <v>0</v>
      </c>
      <c r="M199" s="140">
        <f>VLOOKUP(A199,'Billing Dimensions'!$A:$N,13,FALSE)-VLOOKUP(A199,'Audit Dimensions'!$A:$N,13,FALSE)</f>
        <v>0</v>
      </c>
      <c r="N199" s="140">
        <f>VLOOKUP(A199,'Billing Dimensions'!$A:$N,14,FALSE)-VLOOKUP(A199,'Audit Dimensions'!$A:$N,14,FALSE)</f>
        <v>0</v>
      </c>
      <c r="O199" s="147">
        <f>VLOOKUP(A199,'Billing Dimensions'!A:Q,16,FALSE)-VLOOKUP('Audit VAR'!A199,'Audit Dimensions'!A:P,16,FALSE)</f>
        <v>0</v>
      </c>
      <c r="P199" s="148">
        <f t="shared" si="9"/>
        <v>0</v>
      </c>
      <c r="Q199" s="151">
        <f t="shared" si="10"/>
        <v>0</v>
      </c>
      <c r="R199" s="80" t="e">
        <f t="shared" si="11"/>
        <v>#DIV/0!</v>
      </c>
    </row>
    <row r="200" spans="1:18" ht="14.45" hidden="1" customHeight="1">
      <c r="A200" s="132" t="s">
        <v>286</v>
      </c>
      <c r="B200" s="52" t="str">
        <f>VLOOKUP(A200,'Billing Dimensions'!A:B,2,FALSE)</f>
        <v>SB</v>
      </c>
      <c r="C200" s="136">
        <f>VLOOKUP(A200,'Billing Dimensions'!$A:$N,3,FALSE)-VLOOKUP(A200,'Audit Dimensions'!$A:$N,3,FALSE)</f>
        <v>0</v>
      </c>
      <c r="D200" s="136">
        <f>VLOOKUP(A200,'Billing Dimensions'!$A:$N,4,FALSE)-VLOOKUP(A200,'Audit Dimensions'!$A:$N,4,FALSE)</f>
        <v>0</v>
      </c>
      <c r="E200" s="136">
        <f>VLOOKUP(A200,'Billing Dimensions'!$A:$N,5,FALSE)-VLOOKUP(A200,'Audit Dimensions'!$A:$N,5,FALSE)</f>
        <v>0</v>
      </c>
      <c r="F200" s="137">
        <f>VLOOKUP(A200,'Billing Dimensions'!$A:$N,6,FALSE)-VLOOKUP(A200,'Audit Dimensions'!$A:$N,6,FALSE)</f>
        <v>0</v>
      </c>
      <c r="G200" s="138">
        <f>VLOOKUP(A200,'Billing Dimensions'!$A:$N,7,FALSE)-VLOOKUP(A200,'Audit Dimensions'!$A:$N,7,FALSE)</f>
        <v>0</v>
      </c>
      <c r="H200" s="138">
        <f>VLOOKUP(A200,'Billing Dimensions'!$A:$N,8,FALSE)-VLOOKUP(A200,'Audit Dimensions'!$A:$N,8,FALSE)</f>
        <v>0</v>
      </c>
      <c r="I200" s="138">
        <f>VLOOKUP(A200,'Billing Dimensions'!$A:$N,9,FALSE)-VLOOKUP(A200,'Audit Dimensions'!$A:$N,9,FALSE)</f>
        <v>0</v>
      </c>
      <c r="J200" s="139">
        <f>VLOOKUP(A200,'Billing Dimensions'!$A:$N,10,FALSE)-VLOOKUP(A200,'Audit Dimensions'!$A:$N,10,FALSE)</f>
        <v>0</v>
      </c>
      <c r="K200" s="140">
        <f>VLOOKUP(A200,'Billing Dimensions'!$A:$N,11,FALSE)-VLOOKUP(A200,'Audit Dimensions'!$A:$N,11,FALSE)</f>
        <v>0</v>
      </c>
      <c r="L200" s="140">
        <f>VLOOKUP(A200,'Billing Dimensions'!$A:$N,12,FALSE)-VLOOKUP(A200,'Audit Dimensions'!$A:$N,12,FALSE)</f>
        <v>0</v>
      </c>
      <c r="M200" s="140">
        <f>VLOOKUP(A200,'Billing Dimensions'!$A:$N,13,FALSE)-VLOOKUP(A200,'Audit Dimensions'!$A:$N,13,FALSE)</f>
        <v>0</v>
      </c>
      <c r="N200" s="140">
        <f>VLOOKUP(A200,'Billing Dimensions'!$A:$N,14,FALSE)-VLOOKUP(A200,'Audit Dimensions'!$A:$N,14,FALSE)</f>
        <v>0</v>
      </c>
      <c r="O200" s="147">
        <f>VLOOKUP(A200,'Billing Dimensions'!A:Q,16,FALSE)-VLOOKUP('Audit VAR'!A200,'Audit Dimensions'!A:P,16,FALSE)</f>
        <v>0</v>
      </c>
      <c r="P200" s="148">
        <f t="shared" si="9"/>
        <v>0</v>
      </c>
      <c r="Q200" s="151">
        <f t="shared" si="10"/>
        <v>0</v>
      </c>
      <c r="R200" s="80" t="e">
        <f t="shared" si="11"/>
        <v>#DIV/0!</v>
      </c>
    </row>
    <row r="201" spans="1:18" hidden="1">
      <c r="A201" s="132" t="s">
        <v>287</v>
      </c>
      <c r="B201" s="52" t="str">
        <f>VLOOKUP(A201,'Billing Dimensions'!A:B,2,FALSE)</f>
        <v>SB</v>
      </c>
      <c r="C201" s="136">
        <f>VLOOKUP(A201,'Billing Dimensions'!$A:$N,3,FALSE)-VLOOKUP(A201,'Audit Dimensions'!$A:$N,3,FALSE)</f>
        <v>-27</v>
      </c>
      <c r="D201" s="136">
        <f>VLOOKUP(A201,'Billing Dimensions'!$A:$N,4,FALSE)-VLOOKUP(A201,'Audit Dimensions'!$A:$N,4,FALSE)</f>
        <v>-11</v>
      </c>
      <c r="E201" s="136">
        <f>VLOOKUP(A201,'Billing Dimensions'!$A:$N,5,FALSE)-VLOOKUP(A201,'Audit Dimensions'!$A:$N,5,FALSE)</f>
        <v>0</v>
      </c>
      <c r="F201" s="137">
        <f>VLOOKUP(A201,'Billing Dimensions'!$A:$N,6,FALSE)-VLOOKUP(A201,'Audit Dimensions'!$A:$N,6,FALSE)</f>
        <v>-3700</v>
      </c>
      <c r="G201" s="138">
        <f>VLOOKUP(A201,'Billing Dimensions'!$A:$N,7,FALSE)-VLOOKUP(A201,'Audit Dimensions'!$A:$N,7,FALSE)</f>
        <v>0</v>
      </c>
      <c r="H201" s="138">
        <f>VLOOKUP(A201,'Billing Dimensions'!$A:$N,8,FALSE)-VLOOKUP(A201,'Audit Dimensions'!$A:$N,8,FALSE)</f>
        <v>0</v>
      </c>
      <c r="I201" s="138">
        <f>VLOOKUP(A201,'Billing Dimensions'!$A:$N,9,FALSE)-VLOOKUP(A201,'Audit Dimensions'!$A:$N,9,FALSE)</f>
        <v>0</v>
      </c>
      <c r="J201" s="139">
        <f>VLOOKUP(A201,'Billing Dimensions'!$A:$N,10,FALSE)-VLOOKUP(A201,'Audit Dimensions'!$A:$N,10,FALSE)</f>
        <v>0</v>
      </c>
      <c r="K201" s="140">
        <f>VLOOKUP(A201,'Billing Dimensions'!$A:$N,11,FALSE)-VLOOKUP(A201,'Audit Dimensions'!$A:$N,11,FALSE)</f>
        <v>0</v>
      </c>
      <c r="L201" s="140">
        <f>VLOOKUP(A201,'Billing Dimensions'!$A:$N,12,FALSE)-VLOOKUP(A201,'Audit Dimensions'!$A:$N,12,FALSE)</f>
        <v>0</v>
      </c>
      <c r="M201" s="140">
        <f>VLOOKUP(A201,'Billing Dimensions'!$A:$N,13,FALSE)-VLOOKUP(A201,'Audit Dimensions'!$A:$N,13,FALSE)</f>
        <v>0</v>
      </c>
      <c r="N201" s="140">
        <f>VLOOKUP(A201,'Billing Dimensions'!$A:$N,14,FALSE)-VLOOKUP(A201,'Audit Dimensions'!$A:$N,14,FALSE)</f>
        <v>0</v>
      </c>
      <c r="O201" s="147">
        <f>VLOOKUP(A201,'Billing Dimensions'!A:Q,16,FALSE)-VLOOKUP('Audit VAR'!A201,'Audit Dimensions'!A:P,16,FALSE)</f>
        <v>-3700</v>
      </c>
      <c r="P201" s="148">
        <f t="shared" si="9"/>
        <v>-3.7</v>
      </c>
      <c r="Q201" s="151">
        <f t="shared" si="10"/>
        <v>0</v>
      </c>
      <c r="R201" s="80" t="e">
        <f t="shared" si="11"/>
        <v>#DIV/0!</v>
      </c>
    </row>
    <row r="202" spans="1:18" ht="14.45" hidden="1" customHeight="1">
      <c r="A202" s="132" t="s">
        <v>289</v>
      </c>
      <c r="B202" s="52" t="str">
        <f>VLOOKUP(A202,'Billing Dimensions'!A:B,2,FALSE)</f>
        <v> </v>
      </c>
      <c r="C202" s="136">
        <f>VLOOKUP(A202,'Billing Dimensions'!$A:$N,3,FALSE)-VLOOKUP(A202,'Audit Dimensions'!$A:$N,3,FALSE)</f>
        <v>0</v>
      </c>
      <c r="D202" s="136">
        <f>VLOOKUP(A202,'Billing Dimensions'!$A:$N,4,FALSE)-VLOOKUP(A202,'Audit Dimensions'!$A:$N,4,FALSE)</f>
        <v>0</v>
      </c>
      <c r="E202" s="136">
        <f>VLOOKUP(A202,'Billing Dimensions'!$A:$N,5,FALSE)-VLOOKUP(A202,'Audit Dimensions'!$A:$N,5,FALSE)</f>
        <v>0</v>
      </c>
      <c r="F202" s="137">
        <f>VLOOKUP(A202,'Billing Dimensions'!$A:$N,6,FALSE)-VLOOKUP(A202,'Audit Dimensions'!$A:$N,6,FALSE)</f>
        <v>0</v>
      </c>
      <c r="G202" s="138">
        <f>VLOOKUP(A202,'Billing Dimensions'!$A:$N,7,FALSE)-VLOOKUP(A202,'Audit Dimensions'!$A:$N,7,FALSE)</f>
        <v>0</v>
      </c>
      <c r="H202" s="138">
        <f>VLOOKUP(A202,'Billing Dimensions'!$A:$N,8,FALSE)-VLOOKUP(A202,'Audit Dimensions'!$A:$N,8,FALSE)</f>
        <v>0</v>
      </c>
      <c r="I202" s="138">
        <f>VLOOKUP(A202,'Billing Dimensions'!$A:$N,9,FALSE)-VLOOKUP(A202,'Audit Dimensions'!$A:$N,9,FALSE)</f>
        <v>0</v>
      </c>
      <c r="J202" s="139">
        <f>VLOOKUP(A202,'Billing Dimensions'!$A:$N,10,FALSE)-VLOOKUP(A202,'Audit Dimensions'!$A:$N,10,FALSE)</f>
        <v>0</v>
      </c>
      <c r="K202" s="140">
        <f>VLOOKUP(A202,'Billing Dimensions'!$A:$N,11,FALSE)-VLOOKUP(A202,'Audit Dimensions'!$A:$N,11,FALSE)</f>
        <v>0</v>
      </c>
      <c r="L202" s="140">
        <f>VLOOKUP(A202,'Billing Dimensions'!$A:$N,12,FALSE)-VLOOKUP(A202,'Audit Dimensions'!$A:$N,12,FALSE)</f>
        <v>0</v>
      </c>
      <c r="M202" s="140">
        <f>VLOOKUP(A202,'Billing Dimensions'!$A:$N,13,FALSE)-VLOOKUP(A202,'Audit Dimensions'!$A:$N,13,FALSE)</f>
        <v>0</v>
      </c>
      <c r="N202" s="140">
        <f>VLOOKUP(A202,'Billing Dimensions'!$A:$N,14,FALSE)-VLOOKUP(A202,'Audit Dimensions'!$A:$N,14,FALSE)</f>
        <v>0</v>
      </c>
      <c r="O202" s="147">
        <f>VLOOKUP(A202,'Billing Dimensions'!A:Q,16,FALSE)-VLOOKUP('Audit VAR'!A202,'Audit Dimensions'!A:P,16,FALSE)</f>
        <v>0</v>
      </c>
      <c r="P202" s="148">
        <f t="shared" si="9"/>
        <v>0</v>
      </c>
      <c r="Q202" s="151">
        <f t="shared" si="10"/>
        <v>0</v>
      </c>
      <c r="R202" s="80" t="e">
        <f t="shared" si="11"/>
        <v>#DIV/0!</v>
      </c>
    </row>
    <row r="203" spans="1:18" hidden="1">
      <c r="A203" s="157" t="s">
        <v>292</v>
      </c>
      <c r="B203" s="52" t="str">
        <f>VLOOKUP(A203,'Billing Dimensions'!A:B,2,FALSE)</f>
        <v>SB</v>
      </c>
      <c r="C203" s="136">
        <f>VLOOKUP(A203,'Billing Dimensions'!$A:$N,3,FALSE)-VLOOKUP(A203,'Audit Dimensions'!$A:$N,3,FALSE)</f>
        <v>-1</v>
      </c>
      <c r="D203" s="136">
        <f>VLOOKUP(A203,'Billing Dimensions'!$A:$N,4,FALSE)-VLOOKUP(A203,'Audit Dimensions'!$A:$N,4,FALSE)</f>
        <v>-1</v>
      </c>
      <c r="E203" s="136">
        <f>VLOOKUP(A203,'Billing Dimensions'!$A:$N,5,FALSE)-VLOOKUP(A203,'Audit Dimensions'!$A:$N,5,FALSE)</f>
        <v>0</v>
      </c>
      <c r="F203" s="137">
        <f>VLOOKUP(A203,'Billing Dimensions'!$A:$N,6,FALSE)-VLOOKUP(A203,'Audit Dimensions'!$A:$N,6,FALSE)</f>
        <v>-450</v>
      </c>
      <c r="G203" s="138">
        <f>VLOOKUP(A203,'Billing Dimensions'!$A:$N,7,FALSE)-VLOOKUP(A203,'Audit Dimensions'!$A:$N,7,FALSE)</f>
        <v>0</v>
      </c>
      <c r="H203" s="138">
        <f>VLOOKUP(A203,'Billing Dimensions'!$A:$N,8,FALSE)-VLOOKUP(A203,'Audit Dimensions'!$A:$N,8,FALSE)</f>
        <v>0</v>
      </c>
      <c r="I203" s="138">
        <f>VLOOKUP(A203,'Billing Dimensions'!$A:$N,9,FALSE)-VLOOKUP(A203,'Audit Dimensions'!$A:$N,9,FALSE)</f>
        <v>0</v>
      </c>
      <c r="J203" s="139">
        <f>VLOOKUP(A203,'Billing Dimensions'!$A:$N,10,FALSE)-VLOOKUP(A203,'Audit Dimensions'!$A:$N,10,FALSE)</f>
        <v>0</v>
      </c>
      <c r="K203" s="140">
        <f>VLOOKUP(A203,'Billing Dimensions'!$A:$N,11,FALSE)-VLOOKUP(A203,'Audit Dimensions'!$A:$N,11,FALSE)</f>
        <v>0</v>
      </c>
      <c r="L203" s="140">
        <f>VLOOKUP(A203,'Billing Dimensions'!$A:$N,12,FALSE)-VLOOKUP(A203,'Audit Dimensions'!$A:$N,12,FALSE)</f>
        <v>0</v>
      </c>
      <c r="M203" s="140">
        <f>VLOOKUP(A203,'Billing Dimensions'!$A:$N,13,FALSE)-VLOOKUP(A203,'Audit Dimensions'!$A:$N,13,FALSE)</f>
        <v>0</v>
      </c>
      <c r="N203" s="140">
        <f>VLOOKUP(A203,'Billing Dimensions'!$A:$N,14,FALSE)-VLOOKUP(A203,'Audit Dimensions'!$A:$N,14,FALSE)</f>
        <v>0</v>
      </c>
      <c r="O203" s="147">
        <f>VLOOKUP(A203,'Billing Dimensions'!A:Q,16,FALSE)-VLOOKUP('Audit VAR'!A203,'Audit Dimensions'!A:P,16,FALSE)</f>
        <v>-450</v>
      </c>
      <c r="P203" s="148">
        <f t="shared" si="9"/>
        <v>-0.45</v>
      </c>
      <c r="Q203" s="151">
        <f t="shared" si="10"/>
        <v>0</v>
      </c>
      <c r="R203" s="80" t="e">
        <f t="shared" si="11"/>
        <v>#DIV/0!</v>
      </c>
    </row>
    <row r="204" spans="1:18" hidden="1">
      <c r="A204" s="157" t="s">
        <v>293</v>
      </c>
      <c r="B204" s="52" t="str">
        <f>VLOOKUP(A204,'Billing Dimensions'!A:B,2,FALSE)</f>
        <v>SB</v>
      </c>
      <c r="C204" s="136">
        <f>VLOOKUP(A204,'Billing Dimensions'!$A:$N,3,FALSE)-VLOOKUP(A204,'Audit Dimensions'!$A:$N,3,FALSE)</f>
        <v>-3</v>
      </c>
      <c r="D204" s="136">
        <f>VLOOKUP(A204,'Billing Dimensions'!$A:$N,4,FALSE)-VLOOKUP(A204,'Audit Dimensions'!$A:$N,4,FALSE)</f>
        <v>1</v>
      </c>
      <c r="E204" s="136">
        <f>VLOOKUP(A204,'Billing Dimensions'!$A:$N,5,FALSE)-VLOOKUP(A204,'Audit Dimensions'!$A:$N,5,FALSE)</f>
        <v>0</v>
      </c>
      <c r="F204" s="137">
        <f>VLOOKUP(A204,'Billing Dimensions'!$A:$N,6,FALSE)-VLOOKUP(A204,'Audit Dimensions'!$A:$N,6,FALSE)</f>
        <v>-2810</v>
      </c>
      <c r="G204" s="138">
        <f>VLOOKUP(A204,'Billing Dimensions'!$A:$N,7,FALSE)-VLOOKUP(A204,'Audit Dimensions'!$A:$N,7,FALSE)</f>
        <v>0</v>
      </c>
      <c r="H204" s="138">
        <f>VLOOKUP(A204,'Billing Dimensions'!$A:$N,8,FALSE)-VLOOKUP(A204,'Audit Dimensions'!$A:$N,8,FALSE)</f>
        <v>0</v>
      </c>
      <c r="I204" s="138">
        <f>VLOOKUP(A204,'Billing Dimensions'!$A:$N,9,FALSE)-VLOOKUP(A204,'Audit Dimensions'!$A:$N,9,FALSE)</f>
        <v>0</v>
      </c>
      <c r="J204" s="139">
        <f>VLOOKUP(A204,'Billing Dimensions'!$A:$N,10,FALSE)-VLOOKUP(A204,'Audit Dimensions'!$A:$N,10,FALSE)</f>
        <v>0</v>
      </c>
      <c r="K204" s="140">
        <f>VLOOKUP(A204,'Billing Dimensions'!$A:$N,11,FALSE)-VLOOKUP(A204,'Audit Dimensions'!$A:$N,11,FALSE)</f>
        <v>0</v>
      </c>
      <c r="L204" s="140">
        <f>VLOOKUP(A204,'Billing Dimensions'!$A:$N,12,FALSE)-VLOOKUP(A204,'Audit Dimensions'!$A:$N,12,FALSE)</f>
        <v>0</v>
      </c>
      <c r="M204" s="140">
        <f>VLOOKUP(A204,'Billing Dimensions'!$A:$N,13,FALSE)-VLOOKUP(A204,'Audit Dimensions'!$A:$N,13,FALSE)</f>
        <v>0</v>
      </c>
      <c r="N204" s="140">
        <f>VLOOKUP(A204,'Billing Dimensions'!$A:$N,14,FALSE)-VLOOKUP(A204,'Audit Dimensions'!$A:$N,14,FALSE)</f>
        <v>0</v>
      </c>
      <c r="O204" s="147">
        <f>VLOOKUP(A204,'Billing Dimensions'!A:Q,16,FALSE)-VLOOKUP('Audit VAR'!A204,'Audit Dimensions'!A:P,16,FALSE)</f>
        <v>-2810</v>
      </c>
      <c r="P204" s="148">
        <f t="shared" si="9"/>
        <v>-2.81</v>
      </c>
      <c r="Q204" s="151">
        <f t="shared" si="10"/>
        <v>0</v>
      </c>
      <c r="R204" s="80" t="e">
        <f t="shared" si="11"/>
        <v>#DIV/0!</v>
      </c>
    </row>
    <row r="205" spans="1:18" hidden="1">
      <c r="A205" s="157" t="s">
        <v>294</v>
      </c>
      <c r="B205" s="52" t="str">
        <f>VLOOKUP(A205,'Billing Dimensions'!A:B,2,FALSE)</f>
        <v>SB</v>
      </c>
      <c r="C205" s="136">
        <f>VLOOKUP(A205,'Billing Dimensions'!$A:$N,3,FALSE)-VLOOKUP(A205,'Audit Dimensions'!$A:$N,3,FALSE)</f>
        <v>0</v>
      </c>
      <c r="D205" s="136">
        <f>VLOOKUP(A205,'Billing Dimensions'!$A:$N,4,FALSE)-VLOOKUP(A205,'Audit Dimensions'!$A:$N,4,FALSE)</f>
        <v>-2</v>
      </c>
      <c r="E205" s="136">
        <f>VLOOKUP(A205,'Billing Dimensions'!$A:$N,5,FALSE)-VLOOKUP(A205,'Audit Dimensions'!$A:$N,5,FALSE)</f>
        <v>0</v>
      </c>
      <c r="F205" s="137">
        <f>VLOOKUP(A205,'Billing Dimensions'!$A:$N,6,FALSE)-VLOOKUP(A205,'Audit Dimensions'!$A:$N,6,FALSE)</f>
        <v>-3650</v>
      </c>
      <c r="G205" s="138">
        <f>VLOOKUP(A205,'Billing Dimensions'!$A:$N,7,FALSE)-VLOOKUP(A205,'Audit Dimensions'!$A:$N,7,FALSE)</f>
        <v>0</v>
      </c>
      <c r="H205" s="138">
        <f>VLOOKUP(A205,'Billing Dimensions'!$A:$N,8,FALSE)-VLOOKUP(A205,'Audit Dimensions'!$A:$N,8,FALSE)</f>
        <v>0</v>
      </c>
      <c r="I205" s="138">
        <f>VLOOKUP(A205,'Billing Dimensions'!$A:$N,9,FALSE)-VLOOKUP(A205,'Audit Dimensions'!$A:$N,9,FALSE)</f>
        <v>0</v>
      </c>
      <c r="J205" s="139">
        <f>VLOOKUP(A205,'Billing Dimensions'!$A:$N,10,FALSE)-VLOOKUP(A205,'Audit Dimensions'!$A:$N,10,FALSE)</f>
        <v>0</v>
      </c>
      <c r="K205" s="140">
        <f>VLOOKUP(A205,'Billing Dimensions'!$A:$N,11,FALSE)-VLOOKUP(A205,'Audit Dimensions'!$A:$N,11,FALSE)</f>
        <v>0</v>
      </c>
      <c r="L205" s="140">
        <f>VLOOKUP(A205,'Billing Dimensions'!$A:$N,12,FALSE)-VLOOKUP(A205,'Audit Dimensions'!$A:$N,12,FALSE)</f>
        <v>0</v>
      </c>
      <c r="M205" s="140">
        <f>VLOOKUP(A205,'Billing Dimensions'!$A:$N,13,FALSE)-VLOOKUP(A205,'Audit Dimensions'!$A:$N,13,FALSE)</f>
        <v>0</v>
      </c>
      <c r="N205" s="140">
        <f>VLOOKUP(A205,'Billing Dimensions'!$A:$N,14,FALSE)-VLOOKUP(A205,'Audit Dimensions'!$A:$N,14,FALSE)</f>
        <v>0</v>
      </c>
      <c r="O205" s="147">
        <f>VLOOKUP(A205,'Billing Dimensions'!A:Q,16,FALSE)-VLOOKUP('Audit VAR'!A205,'Audit Dimensions'!A:P,16,FALSE)</f>
        <v>-3650</v>
      </c>
      <c r="P205" s="148">
        <f t="shared" si="9"/>
        <v>-3.65</v>
      </c>
      <c r="Q205" s="151">
        <f t="shared" si="10"/>
        <v>0</v>
      </c>
      <c r="R205" s="80" t="e">
        <f t="shared" si="11"/>
        <v>#DIV/0!</v>
      </c>
    </row>
    <row r="206" spans="1:18" hidden="1">
      <c r="A206" s="132" t="s">
        <v>295</v>
      </c>
      <c r="B206" s="52" t="str">
        <f>VLOOKUP(A206,'Billing Dimensions'!A:B,2,FALSE)</f>
        <v>MB</v>
      </c>
      <c r="C206" s="136">
        <f>VLOOKUP(A206,'Billing Dimensions'!$A:$N,3,FALSE)-VLOOKUP(A206,'Audit Dimensions'!$A:$N,3,FALSE)</f>
        <v>-1</v>
      </c>
      <c r="D206" s="136">
        <f>VLOOKUP(A206,'Billing Dimensions'!$A:$N,4,FALSE)-VLOOKUP(A206,'Audit Dimensions'!$A:$N,4,FALSE)</f>
        <v>1</v>
      </c>
      <c r="E206" s="136">
        <f>VLOOKUP(A206,'Billing Dimensions'!$A:$N,5,FALSE)-VLOOKUP(A206,'Audit Dimensions'!$A:$N,5,FALSE)</f>
        <v>-1</v>
      </c>
      <c r="F206" s="137">
        <f>VLOOKUP(A206,'Billing Dimensions'!$A:$N,6,FALSE)-VLOOKUP(A206,'Audit Dimensions'!$A:$N,6,FALSE)</f>
        <v>400</v>
      </c>
      <c r="G206" s="138">
        <f>VLOOKUP(A206,'Billing Dimensions'!$A:$N,7,FALSE)-VLOOKUP(A206,'Audit Dimensions'!$A:$N,7,FALSE)</f>
        <v>-2</v>
      </c>
      <c r="H206" s="138">
        <f>VLOOKUP(A206,'Billing Dimensions'!$A:$N,8,FALSE)-VLOOKUP(A206,'Audit Dimensions'!$A:$N,8,FALSE)</f>
        <v>-2</v>
      </c>
      <c r="I206" s="138">
        <f>VLOOKUP(A206,'Billing Dimensions'!$A:$N,9,FALSE)-VLOOKUP(A206,'Audit Dimensions'!$A:$N,9,FALSE)</f>
        <v>0</v>
      </c>
      <c r="J206" s="139">
        <f>VLOOKUP(A206,'Billing Dimensions'!$A:$N,10,FALSE)-VLOOKUP(A206,'Audit Dimensions'!$A:$N,10,FALSE)</f>
        <v>-3100</v>
      </c>
      <c r="K206" s="140">
        <f>VLOOKUP(A206,'Billing Dimensions'!$A:$N,11,FALSE)-VLOOKUP(A206,'Audit Dimensions'!$A:$N,11,FALSE)</f>
        <v>0</v>
      </c>
      <c r="L206" s="140">
        <f>VLOOKUP(A206,'Billing Dimensions'!$A:$N,12,FALSE)-VLOOKUP(A206,'Audit Dimensions'!$A:$N,12,FALSE)</f>
        <v>0</v>
      </c>
      <c r="M206" s="140">
        <f>VLOOKUP(A206,'Billing Dimensions'!$A:$N,13,FALSE)-VLOOKUP(A206,'Audit Dimensions'!$A:$N,13,FALSE)</f>
        <v>0</v>
      </c>
      <c r="N206" s="140">
        <f>VLOOKUP(A206,'Billing Dimensions'!$A:$N,14,FALSE)-VLOOKUP(A206,'Audit Dimensions'!$A:$N,14,FALSE)</f>
        <v>0</v>
      </c>
      <c r="O206" s="147">
        <f>VLOOKUP(A206,'Billing Dimensions'!A:Q,16,FALSE)-VLOOKUP('Audit VAR'!A206,'Audit Dimensions'!A:P,16,FALSE)</f>
        <v>-2700</v>
      </c>
      <c r="P206" s="148">
        <f t="shared" si="9"/>
        <v>-2.7</v>
      </c>
      <c r="Q206" s="151">
        <f t="shared" si="10"/>
        <v>3.5320000000000001E-5</v>
      </c>
      <c r="R206" s="80">
        <f t="shared" si="11"/>
        <v>-76443.941109852778</v>
      </c>
    </row>
    <row r="207" spans="1:18" hidden="1">
      <c r="A207" s="132" t="s">
        <v>296</v>
      </c>
      <c r="B207" s="52" t="str">
        <f>VLOOKUP(A207,'Billing Dimensions'!A:B,2,FALSE)</f>
        <v>MB</v>
      </c>
      <c r="C207" s="136">
        <f>VLOOKUP(A207,'Billing Dimensions'!$A:$N,3,FALSE)-VLOOKUP(A207,'Audit Dimensions'!$A:$N,3,FALSE)</f>
        <v>-1</v>
      </c>
      <c r="D207" s="136">
        <f>VLOOKUP(A207,'Billing Dimensions'!$A:$N,4,FALSE)-VLOOKUP(A207,'Audit Dimensions'!$A:$N,4,FALSE)</f>
        <v>1</v>
      </c>
      <c r="E207" s="136">
        <f>VLOOKUP(A207,'Billing Dimensions'!$A:$N,5,FALSE)-VLOOKUP(A207,'Audit Dimensions'!$A:$N,5,FALSE)</f>
        <v>-1</v>
      </c>
      <c r="F207" s="137">
        <f>VLOOKUP(A207,'Billing Dimensions'!$A:$N,6,FALSE)-VLOOKUP(A207,'Audit Dimensions'!$A:$N,6,FALSE)</f>
        <v>401</v>
      </c>
      <c r="G207" s="138">
        <f>VLOOKUP(A207,'Billing Dimensions'!$A:$N,7,FALSE)-VLOOKUP(A207,'Audit Dimensions'!$A:$N,7,FALSE)</f>
        <v>0</v>
      </c>
      <c r="H207" s="138">
        <f>VLOOKUP(A207,'Billing Dimensions'!$A:$N,8,FALSE)-VLOOKUP(A207,'Audit Dimensions'!$A:$N,8,FALSE)</f>
        <v>-1</v>
      </c>
      <c r="I207" s="138">
        <f>VLOOKUP(A207,'Billing Dimensions'!$A:$N,9,FALSE)-VLOOKUP(A207,'Audit Dimensions'!$A:$N,9,FALSE)</f>
        <v>0</v>
      </c>
      <c r="J207" s="139">
        <f>VLOOKUP(A207,'Billing Dimensions'!$A:$N,10,FALSE)-VLOOKUP(A207,'Audit Dimensions'!$A:$N,10,FALSE)</f>
        <v>300</v>
      </c>
      <c r="K207" s="140">
        <f>VLOOKUP(A207,'Billing Dimensions'!$A:$N,11,FALSE)-VLOOKUP(A207,'Audit Dimensions'!$A:$N,11,FALSE)</f>
        <v>0</v>
      </c>
      <c r="L207" s="140">
        <f>VLOOKUP(A207,'Billing Dimensions'!$A:$N,12,FALSE)-VLOOKUP(A207,'Audit Dimensions'!$A:$N,12,FALSE)</f>
        <v>0</v>
      </c>
      <c r="M207" s="140">
        <f>VLOOKUP(A207,'Billing Dimensions'!$A:$N,13,FALSE)-VLOOKUP(A207,'Audit Dimensions'!$A:$N,13,FALSE)</f>
        <v>0</v>
      </c>
      <c r="N207" s="140">
        <f>VLOOKUP(A207,'Billing Dimensions'!$A:$N,14,FALSE)-VLOOKUP(A207,'Audit Dimensions'!$A:$N,14,FALSE)</f>
        <v>0</v>
      </c>
      <c r="O207" s="147">
        <f>VLOOKUP(A207,'Billing Dimensions'!A:Q,16,FALSE)-VLOOKUP('Audit VAR'!A207,'Audit Dimensions'!A:P,16,FALSE)</f>
        <v>701</v>
      </c>
      <c r="P207" s="148">
        <f t="shared" si="9"/>
        <v>0.70099999999999996</v>
      </c>
      <c r="Q207" s="151">
        <f t="shared" si="10"/>
        <v>3.5320000000000001E-5</v>
      </c>
      <c r="R207" s="80">
        <f t="shared" si="11"/>
        <v>19847.112117780292</v>
      </c>
    </row>
    <row r="208" spans="1:18" hidden="1">
      <c r="A208" s="132" t="s">
        <v>297</v>
      </c>
      <c r="B208" s="52" t="str">
        <f>VLOOKUP(A208,'Billing Dimensions'!A:B,2,FALSE)</f>
        <v>MB</v>
      </c>
      <c r="C208" s="136">
        <f>VLOOKUP(A208,'Billing Dimensions'!$A:$N,3,FALSE)-VLOOKUP(A208,'Audit Dimensions'!$A:$N,3,FALSE)</f>
        <v>4</v>
      </c>
      <c r="D208" s="136">
        <f>VLOOKUP(A208,'Billing Dimensions'!$A:$N,4,FALSE)-VLOOKUP(A208,'Audit Dimensions'!$A:$N,4,FALSE)</f>
        <v>0</v>
      </c>
      <c r="E208" s="136">
        <f>VLOOKUP(A208,'Billing Dimensions'!$A:$N,5,FALSE)-VLOOKUP(A208,'Audit Dimensions'!$A:$N,5,FALSE)</f>
        <v>0</v>
      </c>
      <c r="F208" s="137">
        <f>VLOOKUP(A208,'Billing Dimensions'!$A:$N,6,FALSE)-VLOOKUP(A208,'Audit Dimensions'!$A:$N,6,FALSE)</f>
        <v>-360</v>
      </c>
      <c r="G208" s="138">
        <f>VLOOKUP(A208,'Billing Dimensions'!$A:$N,7,FALSE)-VLOOKUP(A208,'Audit Dimensions'!$A:$N,7,FALSE)</f>
        <v>-3</v>
      </c>
      <c r="H208" s="138">
        <f>VLOOKUP(A208,'Billing Dimensions'!$A:$N,8,FALSE)-VLOOKUP(A208,'Audit Dimensions'!$A:$N,8,FALSE)</f>
        <v>-1</v>
      </c>
      <c r="I208" s="138">
        <f>VLOOKUP(A208,'Billing Dimensions'!$A:$N,9,FALSE)-VLOOKUP(A208,'Audit Dimensions'!$A:$N,9,FALSE)</f>
        <v>0</v>
      </c>
      <c r="J208" s="139">
        <f>VLOOKUP(A208,'Billing Dimensions'!$A:$N,10,FALSE)-VLOOKUP(A208,'Audit Dimensions'!$A:$N,10,FALSE)</f>
        <v>1080</v>
      </c>
      <c r="K208" s="140">
        <f>VLOOKUP(A208,'Billing Dimensions'!$A:$N,11,FALSE)-VLOOKUP(A208,'Audit Dimensions'!$A:$N,11,FALSE)</f>
        <v>-1</v>
      </c>
      <c r="L208" s="140">
        <f>VLOOKUP(A208,'Billing Dimensions'!$A:$N,12,FALSE)-VLOOKUP(A208,'Audit Dimensions'!$A:$N,12,FALSE)</f>
        <v>2</v>
      </c>
      <c r="M208" s="140">
        <f>VLOOKUP(A208,'Billing Dimensions'!$A:$N,13,FALSE)-VLOOKUP(A208,'Audit Dimensions'!$A:$N,13,FALSE)</f>
        <v>0</v>
      </c>
      <c r="N208" s="140">
        <f>VLOOKUP(A208,'Billing Dimensions'!$A:$N,14,FALSE)-VLOOKUP(A208,'Audit Dimensions'!$A:$N,14,FALSE)</f>
        <v>-450</v>
      </c>
      <c r="O208" s="147">
        <f>VLOOKUP(A208,'Billing Dimensions'!A:Q,16,FALSE)-VLOOKUP('Audit VAR'!A208,'Audit Dimensions'!A:P,16,FALSE)</f>
        <v>270</v>
      </c>
      <c r="P208" s="148">
        <f t="shared" si="9"/>
        <v>0.27</v>
      </c>
      <c r="Q208" s="151">
        <f t="shared" si="10"/>
        <v>0</v>
      </c>
      <c r="R208" s="80" t="e">
        <f t="shared" si="11"/>
        <v>#DIV/0!</v>
      </c>
    </row>
    <row r="209" spans="1:18" hidden="1">
      <c r="A209" s="132" t="s">
        <v>298</v>
      </c>
      <c r="B209" s="52" t="str">
        <f>VLOOKUP(A209,'Billing Dimensions'!A:B,2,FALSE)</f>
        <v>MB</v>
      </c>
      <c r="C209" s="136">
        <f>VLOOKUP(A209,'Billing Dimensions'!$A:$N,3,FALSE)-VLOOKUP(A209,'Audit Dimensions'!$A:$N,3,FALSE)</f>
        <v>4</v>
      </c>
      <c r="D209" s="136">
        <f>VLOOKUP(A209,'Billing Dimensions'!$A:$N,4,FALSE)-VLOOKUP(A209,'Audit Dimensions'!$A:$N,4,FALSE)</f>
        <v>0</v>
      </c>
      <c r="E209" s="136">
        <f>VLOOKUP(A209,'Billing Dimensions'!$A:$N,5,FALSE)-VLOOKUP(A209,'Audit Dimensions'!$A:$N,5,FALSE)</f>
        <v>0</v>
      </c>
      <c r="F209" s="137">
        <f>VLOOKUP(A209,'Billing Dimensions'!$A:$N,6,FALSE)-VLOOKUP(A209,'Audit Dimensions'!$A:$N,6,FALSE)</f>
        <v>-360</v>
      </c>
      <c r="G209" s="138">
        <f>VLOOKUP(A209,'Billing Dimensions'!$A:$N,7,FALSE)-VLOOKUP(A209,'Audit Dimensions'!$A:$N,7,FALSE)</f>
        <v>0</v>
      </c>
      <c r="H209" s="138">
        <f>VLOOKUP(A209,'Billing Dimensions'!$A:$N,8,FALSE)-VLOOKUP(A209,'Audit Dimensions'!$A:$N,8,FALSE)</f>
        <v>-1</v>
      </c>
      <c r="I209" s="138">
        <f>VLOOKUP(A209,'Billing Dimensions'!$A:$N,9,FALSE)-VLOOKUP(A209,'Audit Dimensions'!$A:$N,9,FALSE)</f>
        <v>0</v>
      </c>
      <c r="J209" s="139">
        <f>VLOOKUP(A209,'Billing Dimensions'!$A:$N,10,FALSE)-VLOOKUP(A209,'Audit Dimensions'!$A:$N,10,FALSE)</f>
        <v>2750</v>
      </c>
      <c r="K209" s="140">
        <f>VLOOKUP(A209,'Billing Dimensions'!$A:$N,11,FALSE)-VLOOKUP(A209,'Audit Dimensions'!$A:$N,11,FALSE)</f>
        <v>-1</v>
      </c>
      <c r="L209" s="140">
        <f>VLOOKUP(A209,'Billing Dimensions'!$A:$N,12,FALSE)-VLOOKUP(A209,'Audit Dimensions'!$A:$N,12,FALSE)</f>
        <v>2</v>
      </c>
      <c r="M209" s="140">
        <f>VLOOKUP(A209,'Billing Dimensions'!$A:$N,13,FALSE)-VLOOKUP(A209,'Audit Dimensions'!$A:$N,13,FALSE)</f>
        <v>0</v>
      </c>
      <c r="N209" s="140">
        <f>VLOOKUP(A209,'Billing Dimensions'!$A:$N,14,FALSE)-VLOOKUP(A209,'Audit Dimensions'!$A:$N,14,FALSE)</f>
        <v>-450</v>
      </c>
      <c r="O209" s="147">
        <f>VLOOKUP(A209,'Billing Dimensions'!A:Q,16,FALSE)-VLOOKUP('Audit VAR'!A209,'Audit Dimensions'!A:P,16,FALSE)</f>
        <v>1940</v>
      </c>
      <c r="P209" s="148">
        <f t="shared" si="9"/>
        <v>1.94</v>
      </c>
      <c r="Q209" s="151">
        <f t="shared" si="10"/>
        <v>0</v>
      </c>
      <c r="R209" s="80" t="e">
        <f t="shared" si="11"/>
        <v>#DIV/0!</v>
      </c>
    </row>
    <row r="210" spans="1:18" hidden="1">
      <c r="A210" s="132" t="s">
        <v>299</v>
      </c>
      <c r="B210" s="52" t="str">
        <f>VLOOKUP(A210,'Billing Dimensions'!A:B,2,FALSE)</f>
        <v>MB</v>
      </c>
      <c r="C210" s="136">
        <f>VLOOKUP(A210,'Billing Dimensions'!$A:$N,3,FALSE)-VLOOKUP(A210,'Audit Dimensions'!$A:$N,3,FALSE)</f>
        <v>2</v>
      </c>
      <c r="D210" s="136">
        <f>VLOOKUP(A210,'Billing Dimensions'!$A:$N,4,FALSE)-VLOOKUP(A210,'Audit Dimensions'!$A:$N,4,FALSE)</f>
        <v>2</v>
      </c>
      <c r="E210" s="136">
        <f>VLOOKUP(A210,'Billing Dimensions'!$A:$N,5,FALSE)-VLOOKUP(A210,'Audit Dimensions'!$A:$N,5,FALSE)</f>
        <v>-1</v>
      </c>
      <c r="F210" s="137">
        <f>VLOOKUP(A210,'Billing Dimensions'!$A:$N,6,FALSE)-VLOOKUP(A210,'Audit Dimensions'!$A:$N,6,FALSE)</f>
        <v>-1110</v>
      </c>
      <c r="G210" s="138">
        <f>VLOOKUP(A210,'Billing Dimensions'!$A:$N,7,FALSE)-VLOOKUP(A210,'Audit Dimensions'!$A:$N,7,FALSE)</f>
        <v>2</v>
      </c>
      <c r="H210" s="138">
        <f>VLOOKUP(A210,'Billing Dimensions'!$A:$N,8,FALSE)-VLOOKUP(A210,'Audit Dimensions'!$A:$N,8,FALSE)</f>
        <v>-1</v>
      </c>
      <c r="I210" s="138">
        <f>VLOOKUP(A210,'Billing Dimensions'!$A:$N,9,FALSE)-VLOOKUP(A210,'Audit Dimensions'!$A:$N,9,FALSE)</f>
        <v>-2</v>
      </c>
      <c r="J210" s="139">
        <f>VLOOKUP(A210,'Billing Dimensions'!$A:$N,10,FALSE)-VLOOKUP(A210,'Audit Dimensions'!$A:$N,10,FALSE)</f>
        <v>-2230</v>
      </c>
      <c r="K210" s="140">
        <f>VLOOKUP(A210,'Billing Dimensions'!$A:$N,11,FALSE)-VLOOKUP(A210,'Audit Dimensions'!$A:$N,11,FALSE)</f>
        <v>-3</v>
      </c>
      <c r="L210" s="140">
        <f>VLOOKUP(A210,'Billing Dimensions'!$A:$N,12,FALSE)-VLOOKUP(A210,'Audit Dimensions'!$A:$N,12,FALSE)</f>
        <v>0</v>
      </c>
      <c r="M210" s="140">
        <f>VLOOKUP(A210,'Billing Dimensions'!$A:$N,13,FALSE)-VLOOKUP(A210,'Audit Dimensions'!$A:$N,13,FALSE)</f>
        <v>0</v>
      </c>
      <c r="N210" s="140">
        <f>VLOOKUP(A210,'Billing Dimensions'!$A:$N,14,FALSE)-VLOOKUP(A210,'Audit Dimensions'!$A:$N,14,FALSE)</f>
        <v>-1200</v>
      </c>
      <c r="O210" s="147">
        <f>VLOOKUP(A210,'Billing Dimensions'!A:Q,16,FALSE)-VLOOKUP('Audit VAR'!A210,'Audit Dimensions'!A:P,16,FALSE)</f>
        <v>-4540</v>
      </c>
      <c r="P210" s="148">
        <f t="shared" si="9"/>
        <v>-4.54</v>
      </c>
      <c r="Q210" s="151">
        <f t="shared" si="10"/>
        <v>0</v>
      </c>
      <c r="R210" s="80" t="e">
        <f t="shared" si="11"/>
        <v>#DIV/0!</v>
      </c>
    </row>
    <row r="211" spans="1:18" hidden="1">
      <c r="A211" s="132" t="s">
        <v>300</v>
      </c>
      <c r="B211" s="52" t="str">
        <f>VLOOKUP(A211,'Billing Dimensions'!A:B,2,FALSE)</f>
        <v>MB</v>
      </c>
      <c r="C211" s="136">
        <f>VLOOKUP(A211,'Billing Dimensions'!$A:$N,3,FALSE)-VLOOKUP(A211,'Audit Dimensions'!$A:$N,3,FALSE)</f>
        <v>2</v>
      </c>
      <c r="D211" s="136">
        <f>VLOOKUP(A211,'Billing Dimensions'!$A:$N,4,FALSE)-VLOOKUP(A211,'Audit Dimensions'!$A:$N,4,FALSE)</f>
        <v>2</v>
      </c>
      <c r="E211" s="136">
        <f>VLOOKUP(A211,'Billing Dimensions'!$A:$N,5,FALSE)-VLOOKUP(A211,'Audit Dimensions'!$A:$N,5,FALSE)</f>
        <v>-1</v>
      </c>
      <c r="F211" s="137">
        <f>VLOOKUP(A211,'Billing Dimensions'!$A:$N,6,FALSE)-VLOOKUP(A211,'Audit Dimensions'!$A:$N,6,FALSE)</f>
        <v>-1110</v>
      </c>
      <c r="G211" s="138">
        <f>VLOOKUP(A211,'Billing Dimensions'!$A:$N,7,FALSE)-VLOOKUP(A211,'Audit Dimensions'!$A:$N,7,FALSE)</f>
        <v>1</v>
      </c>
      <c r="H211" s="138">
        <f>VLOOKUP(A211,'Billing Dimensions'!$A:$N,8,FALSE)-VLOOKUP(A211,'Audit Dimensions'!$A:$N,8,FALSE)</f>
        <v>0</v>
      </c>
      <c r="I211" s="138">
        <f>VLOOKUP(A211,'Billing Dimensions'!$A:$N,9,FALSE)-VLOOKUP(A211,'Audit Dimensions'!$A:$N,9,FALSE)</f>
        <v>-2</v>
      </c>
      <c r="J211" s="139">
        <f>VLOOKUP(A211,'Billing Dimensions'!$A:$N,10,FALSE)-VLOOKUP(A211,'Audit Dimensions'!$A:$N,10,FALSE)</f>
        <v>-2450</v>
      </c>
      <c r="K211" s="140">
        <f>VLOOKUP(A211,'Billing Dimensions'!$A:$N,11,FALSE)-VLOOKUP(A211,'Audit Dimensions'!$A:$N,11,FALSE)</f>
        <v>-2</v>
      </c>
      <c r="L211" s="140">
        <f>VLOOKUP(A211,'Billing Dimensions'!$A:$N,12,FALSE)-VLOOKUP(A211,'Audit Dimensions'!$A:$N,12,FALSE)</f>
        <v>0</v>
      </c>
      <c r="M211" s="140">
        <f>VLOOKUP(A211,'Billing Dimensions'!$A:$N,13,FALSE)-VLOOKUP(A211,'Audit Dimensions'!$A:$N,13,FALSE)</f>
        <v>1</v>
      </c>
      <c r="N211" s="140">
        <f>VLOOKUP(A211,'Billing Dimensions'!$A:$N,14,FALSE)-VLOOKUP(A211,'Audit Dimensions'!$A:$N,14,FALSE)</f>
        <v>-3100</v>
      </c>
      <c r="O211" s="147">
        <f>VLOOKUP(A211,'Billing Dimensions'!A:Q,16,FALSE)-VLOOKUP('Audit VAR'!A211,'Audit Dimensions'!A:P,16,FALSE)</f>
        <v>-6660</v>
      </c>
      <c r="P211" s="148">
        <f t="shared" si="9"/>
        <v>-6.66</v>
      </c>
      <c r="Q211" s="151">
        <f t="shared" si="10"/>
        <v>-1.4128E-4</v>
      </c>
      <c r="R211" s="80">
        <f t="shared" si="11"/>
        <v>47140.430351075876</v>
      </c>
    </row>
    <row r="212" spans="1:18" hidden="1">
      <c r="A212" s="132" t="s">
        <v>301</v>
      </c>
      <c r="B212" s="52" t="str">
        <f>VLOOKUP(A212,'Billing Dimensions'!A:B,2,FALSE)</f>
        <v>MB</v>
      </c>
      <c r="C212" s="136">
        <f>VLOOKUP(A212,'Billing Dimensions'!$A:$N,3,FALSE)-VLOOKUP(A212,'Audit Dimensions'!$A:$N,3,FALSE)</f>
        <v>184</v>
      </c>
      <c r="D212" s="136">
        <f>VLOOKUP(A212,'Billing Dimensions'!$A:$N,4,FALSE)-VLOOKUP(A212,'Audit Dimensions'!$A:$N,4,FALSE)</f>
        <v>48</v>
      </c>
      <c r="E212" s="136">
        <f>VLOOKUP(A212,'Billing Dimensions'!$A:$N,5,FALSE)-VLOOKUP(A212,'Audit Dimensions'!$A:$N,5,FALSE)</f>
        <v>12</v>
      </c>
      <c r="F212" s="137">
        <f>VLOOKUP(A212,'Billing Dimensions'!$A:$N,6,FALSE)-VLOOKUP(A212,'Audit Dimensions'!$A:$N,6,FALSE)</f>
        <v>4900</v>
      </c>
      <c r="G212" s="138">
        <f>VLOOKUP(A212,'Billing Dimensions'!$A:$N,7,FALSE)-VLOOKUP(A212,'Audit Dimensions'!$A:$N,7,FALSE)</f>
        <v>0</v>
      </c>
      <c r="H212" s="138">
        <f>VLOOKUP(A212,'Billing Dimensions'!$A:$N,8,FALSE)-VLOOKUP(A212,'Audit Dimensions'!$A:$N,8,FALSE)</f>
        <v>0</v>
      </c>
      <c r="I212" s="138">
        <f>VLOOKUP(A212,'Billing Dimensions'!$A:$N,9,FALSE)-VLOOKUP(A212,'Audit Dimensions'!$A:$N,9,FALSE)</f>
        <v>0</v>
      </c>
      <c r="J212" s="139">
        <f>VLOOKUP(A212,'Billing Dimensions'!$A:$N,10,FALSE)-VLOOKUP(A212,'Audit Dimensions'!$A:$N,10,FALSE)</f>
        <v>0</v>
      </c>
      <c r="K212" s="140">
        <f>VLOOKUP(A212,'Billing Dimensions'!$A:$N,11,FALSE)-VLOOKUP(A212,'Audit Dimensions'!$A:$N,11,FALSE)</f>
        <v>0</v>
      </c>
      <c r="L212" s="140">
        <f>VLOOKUP(A212,'Billing Dimensions'!$A:$N,12,FALSE)-VLOOKUP(A212,'Audit Dimensions'!$A:$N,12,FALSE)</f>
        <v>0</v>
      </c>
      <c r="M212" s="140">
        <f>VLOOKUP(A212,'Billing Dimensions'!$A:$N,13,FALSE)-VLOOKUP(A212,'Audit Dimensions'!$A:$N,13,FALSE)</f>
        <v>0</v>
      </c>
      <c r="N212" s="140">
        <f>VLOOKUP(A212,'Billing Dimensions'!$A:$N,14,FALSE)-VLOOKUP(A212,'Audit Dimensions'!$A:$N,14,FALSE)</f>
        <v>0</v>
      </c>
      <c r="O212" s="147">
        <f>VLOOKUP(A212,'Billing Dimensions'!A:Q,16,FALSE)-VLOOKUP('Audit VAR'!A212,'Audit Dimensions'!A:P,16,FALSE)</f>
        <v>4900</v>
      </c>
      <c r="P212" s="148">
        <f t="shared" si="9"/>
        <v>4.9000000000000004</v>
      </c>
      <c r="Q212" s="151">
        <f t="shared" si="10"/>
        <v>3.7433548800000001</v>
      </c>
      <c r="R212" s="80">
        <f t="shared" si="11"/>
        <v>1.3089862321576096</v>
      </c>
    </row>
    <row r="213" spans="1:18" hidden="1">
      <c r="A213" s="132" t="s">
        <v>302</v>
      </c>
      <c r="B213" s="52" t="str">
        <f>VLOOKUP(A213,'Billing Dimensions'!A:B,2,FALSE)</f>
        <v>MB</v>
      </c>
      <c r="C213" s="136">
        <f>VLOOKUP(A213,'Billing Dimensions'!$A:$N,3,FALSE)-VLOOKUP(A213,'Audit Dimensions'!$A:$N,3,FALSE)</f>
        <v>191</v>
      </c>
      <c r="D213" s="136">
        <f>VLOOKUP(A213,'Billing Dimensions'!$A:$N,4,FALSE)-VLOOKUP(A213,'Audit Dimensions'!$A:$N,4,FALSE)</f>
        <v>45</v>
      </c>
      <c r="E213" s="136">
        <f>VLOOKUP(A213,'Billing Dimensions'!$A:$N,5,FALSE)-VLOOKUP(A213,'Audit Dimensions'!$A:$N,5,FALSE)</f>
        <v>11</v>
      </c>
      <c r="F213" s="137">
        <f>VLOOKUP(A213,'Billing Dimensions'!$A:$N,6,FALSE)-VLOOKUP(A213,'Audit Dimensions'!$A:$N,6,FALSE)</f>
        <v>-16450</v>
      </c>
      <c r="G213" s="138">
        <f>VLOOKUP(A213,'Billing Dimensions'!$A:$N,7,FALSE)-VLOOKUP(A213,'Audit Dimensions'!$A:$N,7,FALSE)</f>
        <v>178</v>
      </c>
      <c r="H213" s="138">
        <f>VLOOKUP(A213,'Billing Dimensions'!$A:$N,8,FALSE)-VLOOKUP(A213,'Audit Dimensions'!$A:$N,8,FALSE)</f>
        <v>40</v>
      </c>
      <c r="I213" s="138">
        <f>VLOOKUP(A213,'Billing Dimensions'!$A:$N,9,FALSE)-VLOOKUP(A213,'Audit Dimensions'!$A:$N,9,FALSE)</f>
        <v>8</v>
      </c>
      <c r="J213" s="139">
        <f>VLOOKUP(A213,'Billing Dimensions'!$A:$N,10,FALSE)-VLOOKUP(A213,'Audit Dimensions'!$A:$N,10,FALSE)</f>
        <v>28500</v>
      </c>
      <c r="K213" s="140">
        <f>VLOOKUP(A213,'Billing Dimensions'!$A:$N,11,FALSE)-VLOOKUP(A213,'Audit Dimensions'!$A:$N,11,FALSE)</f>
        <v>0</v>
      </c>
      <c r="L213" s="140">
        <f>VLOOKUP(A213,'Billing Dimensions'!$A:$N,12,FALSE)-VLOOKUP(A213,'Audit Dimensions'!$A:$N,12,FALSE)</f>
        <v>0</v>
      </c>
      <c r="M213" s="140">
        <f>VLOOKUP(A213,'Billing Dimensions'!$A:$N,13,FALSE)-VLOOKUP(A213,'Audit Dimensions'!$A:$N,13,FALSE)</f>
        <v>0</v>
      </c>
      <c r="N213" s="140">
        <f>VLOOKUP(A213,'Billing Dimensions'!$A:$N,14,FALSE)-VLOOKUP(A213,'Audit Dimensions'!$A:$N,14,FALSE)</f>
        <v>0</v>
      </c>
      <c r="O213" s="147">
        <f>VLOOKUP(A213,'Billing Dimensions'!A:Q,16,FALSE)-VLOOKUP('Audit VAR'!A213,'Audit Dimensions'!A:P,16,FALSE)</f>
        <v>12050</v>
      </c>
      <c r="P213" s="148">
        <f t="shared" si="9"/>
        <v>12.05</v>
      </c>
      <c r="Q213" s="151">
        <f t="shared" si="10"/>
        <v>5.3511566000000004</v>
      </c>
      <c r="R213" s="80">
        <f t="shared" si="11"/>
        <v>2.2518496281719731</v>
      </c>
    </row>
    <row r="214" spans="1:18" hidden="1">
      <c r="A214" s="132" t="s">
        <v>303</v>
      </c>
      <c r="B214" s="52" t="str">
        <f>VLOOKUP(A214,'Billing Dimensions'!A:B,2,FALSE)</f>
        <v>MB</v>
      </c>
      <c r="C214" s="136">
        <f>VLOOKUP(A214,'Billing Dimensions'!$A:$N,3,FALSE)-VLOOKUP(A214,'Audit Dimensions'!$A:$N,3,FALSE)</f>
        <v>156</v>
      </c>
      <c r="D214" s="136">
        <f>VLOOKUP(A214,'Billing Dimensions'!$A:$N,4,FALSE)-VLOOKUP(A214,'Audit Dimensions'!$A:$N,4,FALSE)</f>
        <v>46</v>
      </c>
      <c r="E214" s="136">
        <f>VLOOKUP(A214,'Billing Dimensions'!$A:$N,5,FALSE)-VLOOKUP(A214,'Audit Dimensions'!$A:$N,5,FALSE)</f>
        <v>8</v>
      </c>
      <c r="F214" s="137">
        <f>VLOOKUP(A214,'Billing Dimensions'!$A:$N,6,FALSE)-VLOOKUP(A214,'Audit Dimensions'!$A:$N,6,FALSE)</f>
        <v>-66500</v>
      </c>
      <c r="G214" s="138">
        <f>VLOOKUP(A214,'Billing Dimensions'!$A:$N,7,FALSE)-VLOOKUP(A214,'Audit Dimensions'!$A:$N,7,FALSE)</f>
        <v>179</v>
      </c>
      <c r="H214" s="138">
        <f>VLOOKUP(A214,'Billing Dimensions'!$A:$N,8,FALSE)-VLOOKUP(A214,'Audit Dimensions'!$A:$N,8,FALSE)</f>
        <v>41</v>
      </c>
      <c r="I214" s="138">
        <f>VLOOKUP(A214,'Billing Dimensions'!$A:$N,9,FALSE)-VLOOKUP(A214,'Audit Dimensions'!$A:$N,9,FALSE)</f>
        <v>10</v>
      </c>
      <c r="J214" s="139">
        <f>VLOOKUP(A214,'Billing Dimensions'!$A:$N,10,FALSE)-VLOOKUP(A214,'Audit Dimensions'!$A:$N,10,FALSE)</f>
        <v>39000</v>
      </c>
      <c r="K214" s="140">
        <f>VLOOKUP(A214,'Billing Dimensions'!$A:$N,11,FALSE)-VLOOKUP(A214,'Audit Dimensions'!$A:$N,11,FALSE)</f>
        <v>185</v>
      </c>
      <c r="L214" s="140">
        <f>VLOOKUP(A214,'Billing Dimensions'!$A:$N,12,FALSE)-VLOOKUP(A214,'Audit Dimensions'!$A:$N,12,FALSE)</f>
        <v>46</v>
      </c>
      <c r="M214" s="140">
        <f>VLOOKUP(A214,'Billing Dimensions'!$A:$N,13,FALSE)-VLOOKUP(A214,'Audit Dimensions'!$A:$N,13,FALSE)</f>
        <v>8</v>
      </c>
      <c r="N214" s="140">
        <f>VLOOKUP(A214,'Billing Dimensions'!$A:$N,14,FALSE)-VLOOKUP(A214,'Audit Dimensions'!$A:$N,14,FALSE)</f>
        <v>40000</v>
      </c>
      <c r="O214" s="147">
        <f>VLOOKUP(A214,'Billing Dimensions'!A:Q,16,FALSE)-VLOOKUP('Audit VAR'!A214,'Audit Dimensions'!A:P,16,FALSE)</f>
        <v>12500</v>
      </c>
      <c r="P214" s="148">
        <f t="shared" si="9"/>
        <v>12.5</v>
      </c>
      <c r="Q214" s="151">
        <f t="shared" si="10"/>
        <v>7.0243709599999997</v>
      </c>
      <c r="R214" s="80">
        <f t="shared" si="11"/>
        <v>1.7795187741622347</v>
      </c>
    </row>
    <row r="215" spans="1:18" hidden="1">
      <c r="A215" s="132" t="s">
        <v>188</v>
      </c>
      <c r="B215" s="52" t="str">
        <f>VLOOKUP(A215,'Billing Dimensions'!A:B,2,FALSE)</f>
        <v>SB</v>
      </c>
      <c r="C215" s="136">
        <f>VLOOKUP(A215,'Billing Dimensions'!$A:$N,3,FALSE)-VLOOKUP(A215,'Audit Dimensions'!$A:$N,3,FALSE)</f>
        <v>1</v>
      </c>
      <c r="D215" s="136">
        <f>VLOOKUP(A215,'Billing Dimensions'!$A:$N,4,FALSE)-VLOOKUP(A215,'Audit Dimensions'!$A:$N,4,FALSE)</f>
        <v>2</v>
      </c>
      <c r="E215" s="136">
        <f>VLOOKUP(A215,'Billing Dimensions'!$A:$N,5,FALSE)-VLOOKUP(A215,'Audit Dimensions'!$A:$N,5,FALSE)</f>
        <v>1</v>
      </c>
      <c r="F215" s="137">
        <f>VLOOKUP(A215,'Billing Dimensions'!$A:$N,6,FALSE)-VLOOKUP(A215,'Audit Dimensions'!$A:$N,6,FALSE)</f>
        <v>-70</v>
      </c>
      <c r="G215" s="138">
        <f>VLOOKUP(A215,'Billing Dimensions'!$A:$N,7,FALSE)-VLOOKUP(A215,'Audit Dimensions'!$A:$N,7,FALSE)</f>
        <v>0</v>
      </c>
      <c r="H215" s="138">
        <f>VLOOKUP(A215,'Billing Dimensions'!$A:$N,8,FALSE)-VLOOKUP(A215,'Audit Dimensions'!$A:$N,8,FALSE)</f>
        <v>0</v>
      </c>
      <c r="I215" s="138">
        <f>VLOOKUP(A215,'Billing Dimensions'!$A:$N,9,FALSE)-VLOOKUP(A215,'Audit Dimensions'!$A:$N,9,FALSE)</f>
        <v>0</v>
      </c>
      <c r="J215" s="139">
        <f>VLOOKUP(A215,'Billing Dimensions'!$A:$N,10,FALSE)-VLOOKUP(A215,'Audit Dimensions'!$A:$N,10,FALSE)</f>
        <v>0</v>
      </c>
      <c r="K215" s="140">
        <f>VLOOKUP(A215,'Billing Dimensions'!$A:$N,11,FALSE)-VLOOKUP(A215,'Audit Dimensions'!$A:$N,11,FALSE)</f>
        <v>0</v>
      </c>
      <c r="L215" s="140">
        <f>VLOOKUP(A215,'Billing Dimensions'!$A:$N,12,FALSE)-VLOOKUP(A215,'Audit Dimensions'!$A:$N,12,FALSE)</f>
        <v>0</v>
      </c>
      <c r="M215" s="140">
        <f>VLOOKUP(A215,'Billing Dimensions'!$A:$N,13,FALSE)-VLOOKUP(A215,'Audit Dimensions'!$A:$N,13,FALSE)</f>
        <v>0</v>
      </c>
      <c r="N215" s="140">
        <f>VLOOKUP(A215,'Billing Dimensions'!$A:$N,14,FALSE)-VLOOKUP(A215,'Audit Dimensions'!$A:$N,14,FALSE)</f>
        <v>0</v>
      </c>
      <c r="O215" s="147">
        <f>VLOOKUP(A215,'Billing Dimensions'!A:Q,16,FALSE)-VLOOKUP('Audit VAR'!A215,'Audit Dimensions'!A:P,16,FALSE)</f>
        <v>-70</v>
      </c>
      <c r="P215" s="148">
        <f t="shared" si="9"/>
        <v>-7.0000000000000007E-2</v>
      </c>
      <c r="Q215" s="151">
        <f t="shared" si="10"/>
        <v>7.0640000000000001E-5</v>
      </c>
      <c r="R215" s="80">
        <f t="shared" si="11"/>
        <v>-990.93997734994343</v>
      </c>
    </row>
    <row r="216" spans="1:18" hidden="1">
      <c r="A216" s="132" t="s">
        <v>304</v>
      </c>
      <c r="B216" s="52" t="str">
        <f>VLOOKUP(A216,'Billing Dimensions'!A:B,2,FALSE)</f>
        <v>SB</v>
      </c>
      <c r="C216" s="136" t="e">
        <f>VLOOKUP(A216,'Billing Dimensions'!$A:$N,3,FALSE)-VLOOKUP(A216,'Audit Dimensions'!$A:$N,3,FALSE)</f>
        <v>#N/A</v>
      </c>
      <c r="D216" s="136" t="e">
        <f>VLOOKUP(A216,'Billing Dimensions'!$A:$N,4,FALSE)-VLOOKUP(A216,'Audit Dimensions'!$A:$N,4,FALSE)</f>
        <v>#N/A</v>
      </c>
      <c r="E216" s="136" t="e">
        <f>VLOOKUP(A216,'Billing Dimensions'!$A:$N,5,FALSE)-VLOOKUP(A216,'Audit Dimensions'!$A:$N,5,FALSE)</f>
        <v>#N/A</v>
      </c>
      <c r="F216" s="137" t="e">
        <f>VLOOKUP(A216,'Billing Dimensions'!$A:$N,6,FALSE)-VLOOKUP(A216,'Audit Dimensions'!$A:$N,6,FALSE)</f>
        <v>#N/A</v>
      </c>
      <c r="G216" s="138" t="e">
        <f>VLOOKUP(A216,'Billing Dimensions'!$A:$N,7,FALSE)-VLOOKUP(A216,'Audit Dimensions'!$A:$N,7,FALSE)</f>
        <v>#N/A</v>
      </c>
      <c r="H216" s="138" t="e">
        <f>VLOOKUP(A216,'Billing Dimensions'!$A:$N,8,FALSE)-VLOOKUP(A216,'Audit Dimensions'!$A:$N,8,FALSE)</f>
        <v>#N/A</v>
      </c>
      <c r="I216" s="138" t="e">
        <f>VLOOKUP(A216,'Billing Dimensions'!$A:$N,9,FALSE)-VLOOKUP(A216,'Audit Dimensions'!$A:$N,9,FALSE)</f>
        <v>#N/A</v>
      </c>
      <c r="J216" s="139" t="e">
        <f>VLOOKUP(A216,'Billing Dimensions'!$A:$N,10,FALSE)-VLOOKUP(A216,'Audit Dimensions'!$A:$N,10,FALSE)</f>
        <v>#N/A</v>
      </c>
      <c r="K216" s="140" t="e">
        <f>VLOOKUP(A216,'Billing Dimensions'!$A:$N,11,FALSE)-VLOOKUP(A216,'Audit Dimensions'!$A:$N,11,FALSE)</f>
        <v>#N/A</v>
      </c>
      <c r="L216" s="140" t="e">
        <f>VLOOKUP(A216,'Billing Dimensions'!$A:$N,12,FALSE)-VLOOKUP(A216,'Audit Dimensions'!$A:$N,12,FALSE)</f>
        <v>#N/A</v>
      </c>
      <c r="M216" s="140" t="e">
        <f>VLOOKUP(A216,'Billing Dimensions'!$A:$N,13,FALSE)-VLOOKUP(A216,'Audit Dimensions'!$A:$N,13,FALSE)</f>
        <v>#N/A</v>
      </c>
      <c r="N216" s="140" t="e">
        <f>VLOOKUP(A216,'Billing Dimensions'!$A:$N,14,FALSE)-VLOOKUP(A216,'Audit Dimensions'!$A:$N,14,FALSE)</f>
        <v>#N/A</v>
      </c>
      <c r="O216" s="147" t="e">
        <f>VLOOKUP(A216,'Billing Dimensions'!A:Q,16,FALSE)-VLOOKUP('Audit VAR'!A216,'Audit Dimensions'!A:P,16,FALSE)</f>
        <v>#N/A</v>
      </c>
      <c r="P216" s="148" t="e">
        <f t="shared" si="9"/>
        <v>#N/A</v>
      </c>
      <c r="Q216" s="151" t="e">
        <f t="shared" si="10"/>
        <v>#N/A</v>
      </c>
      <c r="R216" s="80" t="e">
        <f t="shared" si="11"/>
        <v>#N/A</v>
      </c>
    </row>
    <row r="217" spans="1:18" hidden="1">
      <c r="A217" s="132" t="s">
        <v>90</v>
      </c>
      <c r="B217" s="52" t="str">
        <f>VLOOKUP(A217,'Billing Dimensions'!A:B,2,FALSE)</f>
        <v>SB</v>
      </c>
      <c r="C217" s="136">
        <f>VLOOKUP(A217,'Billing Dimensions'!$A:$N,3,FALSE)-VLOOKUP(A217,'Audit Dimensions'!$A:$N,3,FALSE)</f>
        <v>-2</v>
      </c>
      <c r="D217" s="136">
        <f>VLOOKUP(A217,'Billing Dimensions'!$A:$N,4,FALSE)-VLOOKUP(A217,'Audit Dimensions'!$A:$N,4,FALSE)</f>
        <v>4</v>
      </c>
      <c r="E217" s="136">
        <f>VLOOKUP(A217,'Billing Dimensions'!$A:$N,5,FALSE)-VLOOKUP(A217,'Audit Dimensions'!$A:$N,5,FALSE)</f>
        <v>4</v>
      </c>
      <c r="F217" s="137">
        <f>VLOOKUP(A217,'Billing Dimensions'!$A:$N,6,FALSE)-VLOOKUP(A217,'Audit Dimensions'!$A:$N,6,FALSE)</f>
        <v>-1510</v>
      </c>
      <c r="G217" s="138">
        <f>VLOOKUP(A217,'Billing Dimensions'!$A:$N,7,FALSE)-VLOOKUP(A217,'Audit Dimensions'!$A:$N,7,FALSE)</f>
        <v>0</v>
      </c>
      <c r="H217" s="138">
        <f>VLOOKUP(A217,'Billing Dimensions'!$A:$N,8,FALSE)-VLOOKUP(A217,'Audit Dimensions'!$A:$N,8,FALSE)</f>
        <v>0</v>
      </c>
      <c r="I217" s="138">
        <f>VLOOKUP(A217,'Billing Dimensions'!$A:$N,9,FALSE)-VLOOKUP(A217,'Audit Dimensions'!$A:$N,9,FALSE)</f>
        <v>0</v>
      </c>
      <c r="J217" s="139">
        <f>VLOOKUP(A217,'Billing Dimensions'!$A:$N,10,FALSE)-VLOOKUP(A217,'Audit Dimensions'!$A:$N,10,FALSE)</f>
        <v>0</v>
      </c>
      <c r="K217" s="140">
        <f>VLOOKUP(A217,'Billing Dimensions'!$A:$N,11,FALSE)-VLOOKUP(A217,'Audit Dimensions'!$A:$N,11,FALSE)</f>
        <v>0</v>
      </c>
      <c r="L217" s="140">
        <f>VLOOKUP(A217,'Billing Dimensions'!$A:$N,12,FALSE)-VLOOKUP(A217,'Audit Dimensions'!$A:$N,12,FALSE)</f>
        <v>0</v>
      </c>
      <c r="M217" s="140">
        <f>VLOOKUP(A217,'Billing Dimensions'!$A:$N,13,FALSE)-VLOOKUP(A217,'Audit Dimensions'!$A:$N,13,FALSE)</f>
        <v>0</v>
      </c>
      <c r="N217" s="140">
        <f>VLOOKUP(A217,'Billing Dimensions'!$A:$N,14,FALSE)-VLOOKUP(A217,'Audit Dimensions'!$A:$N,14,FALSE)</f>
        <v>0</v>
      </c>
      <c r="O217" s="147">
        <f>VLOOKUP(A217,'Billing Dimensions'!A:Q,16,FALSE)-VLOOKUP('Audit VAR'!A217,'Audit Dimensions'!A:P,16,FALSE)</f>
        <v>-1510</v>
      </c>
      <c r="P217" s="148">
        <f t="shared" si="9"/>
        <v>-1.51</v>
      </c>
      <c r="Q217" s="151">
        <f t="shared" si="10"/>
        <v>-1.13024E-3</v>
      </c>
      <c r="R217" s="80">
        <f t="shared" si="11"/>
        <v>1335.9994337485844</v>
      </c>
    </row>
    <row r="218" spans="1:18" hidden="1">
      <c r="A218" s="132" t="s">
        <v>92</v>
      </c>
      <c r="B218" s="52" t="str">
        <f>VLOOKUP(A218,'Billing Dimensions'!A:B,2,FALSE)</f>
        <v>SB</v>
      </c>
      <c r="C218" s="136">
        <f>VLOOKUP(A218,'Billing Dimensions'!$A:$N,3,FALSE)-VLOOKUP(A218,'Audit Dimensions'!$A:$N,3,FALSE)</f>
        <v>8</v>
      </c>
      <c r="D218" s="136">
        <f>VLOOKUP(A218,'Billing Dimensions'!$A:$N,4,FALSE)-VLOOKUP(A218,'Audit Dimensions'!$A:$N,4,FALSE)</f>
        <v>5</v>
      </c>
      <c r="E218" s="136">
        <f>VLOOKUP(A218,'Billing Dimensions'!$A:$N,5,FALSE)-VLOOKUP(A218,'Audit Dimensions'!$A:$N,5,FALSE)</f>
        <v>-1</v>
      </c>
      <c r="F218" s="137">
        <f>VLOOKUP(A218,'Billing Dimensions'!$A:$N,6,FALSE)-VLOOKUP(A218,'Audit Dimensions'!$A:$N,6,FALSE)</f>
        <v>1250</v>
      </c>
      <c r="G218" s="138">
        <f>VLOOKUP(A218,'Billing Dimensions'!$A:$N,7,FALSE)-VLOOKUP(A218,'Audit Dimensions'!$A:$N,7,FALSE)</f>
        <v>0</v>
      </c>
      <c r="H218" s="138">
        <f>VLOOKUP(A218,'Billing Dimensions'!$A:$N,8,FALSE)-VLOOKUP(A218,'Audit Dimensions'!$A:$N,8,FALSE)</f>
        <v>0</v>
      </c>
      <c r="I218" s="138">
        <f>VLOOKUP(A218,'Billing Dimensions'!$A:$N,9,FALSE)-VLOOKUP(A218,'Audit Dimensions'!$A:$N,9,FALSE)</f>
        <v>0</v>
      </c>
      <c r="J218" s="139">
        <f>VLOOKUP(A218,'Billing Dimensions'!$A:$N,10,FALSE)-VLOOKUP(A218,'Audit Dimensions'!$A:$N,10,FALSE)</f>
        <v>0</v>
      </c>
      <c r="K218" s="140">
        <f>VLOOKUP(A218,'Billing Dimensions'!$A:$N,11,FALSE)-VLOOKUP(A218,'Audit Dimensions'!$A:$N,11,FALSE)</f>
        <v>0</v>
      </c>
      <c r="L218" s="140">
        <f>VLOOKUP(A218,'Billing Dimensions'!$A:$N,12,FALSE)-VLOOKUP(A218,'Audit Dimensions'!$A:$N,12,FALSE)</f>
        <v>0</v>
      </c>
      <c r="M218" s="140">
        <f>VLOOKUP(A218,'Billing Dimensions'!$A:$N,13,FALSE)-VLOOKUP(A218,'Audit Dimensions'!$A:$N,13,FALSE)</f>
        <v>0</v>
      </c>
      <c r="N218" s="140">
        <f>VLOOKUP(A218,'Billing Dimensions'!$A:$N,14,FALSE)-VLOOKUP(A218,'Audit Dimensions'!$A:$N,14,FALSE)</f>
        <v>0</v>
      </c>
      <c r="O218" s="147">
        <f>VLOOKUP(A218,'Billing Dimensions'!A:Q,16,FALSE)-VLOOKUP('Audit VAR'!A218,'Audit Dimensions'!A:P,16,FALSE)</f>
        <v>1250</v>
      </c>
      <c r="P218" s="148">
        <f t="shared" si="9"/>
        <v>1.25</v>
      </c>
      <c r="Q218" s="151">
        <f t="shared" si="10"/>
        <v>-1.4128000000000001E-3</v>
      </c>
      <c r="R218" s="80">
        <f t="shared" si="11"/>
        <v>-884.76783691959224</v>
      </c>
    </row>
    <row r="219" spans="1:18" hidden="1">
      <c r="A219" s="178" t="s">
        <v>97</v>
      </c>
      <c r="B219" s="52" t="str">
        <f>VLOOKUP(A219,'Billing Dimensions'!A:B,2,FALSE)</f>
        <v>SB</v>
      </c>
      <c r="C219" s="136">
        <f>VLOOKUP(A219,'Billing Dimensions'!$A:$N,3,FALSE)-VLOOKUP(A219,'Audit Dimensions'!$A:$N,3,FALSE)</f>
        <v>-4</v>
      </c>
      <c r="D219" s="136">
        <f>VLOOKUP(A219,'Billing Dimensions'!$A:$N,4,FALSE)-VLOOKUP(A219,'Audit Dimensions'!$A:$N,4,FALSE)</f>
        <v>-1</v>
      </c>
      <c r="E219" s="136">
        <f>VLOOKUP(A219,'Billing Dimensions'!$A:$N,5,FALSE)-VLOOKUP(A219,'Audit Dimensions'!$A:$N,5,FALSE)</f>
        <v>-10</v>
      </c>
      <c r="F219" s="137">
        <f>VLOOKUP(A219,'Billing Dimensions'!$A:$N,6,FALSE)-VLOOKUP(A219,'Audit Dimensions'!$A:$N,6,FALSE)</f>
        <v>-3710</v>
      </c>
      <c r="G219" s="138">
        <f>VLOOKUP(A219,'Billing Dimensions'!$A:$N,7,FALSE)-VLOOKUP(A219,'Audit Dimensions'!$A:$N,7,FALSE)</f>
        <v>0</v>
      </c>
      <c r="H219" s="138">
        <f>VLOOKUP(A219,'Billing Dimensions'!$A:$N,8,FALSE)-VLOOKUP(A219,'Audit Dimensions'!$A:$N,8,FALSE)</f>
        <v>0</v>
      </c>
      <c r="I219" s="138">
        <f>VLOOKUP(A219,'Billing Dimensions'!$A:$N,9,FALSE)-VLOOKUP(A219,'Audit Dimensions'!$A:$N,9,FALSE)</f>
        <v>0</v>
      </c>
      <c r="J219" s="139">
        <f>VLOOKUP(A219,'Billing Dimensions'!$A:$N,10,FALSE)-VLOOKUP(A219,'Audit Dimensions'!$A:$N,10,FALSE)</f>
        <v>0</v>
      </c>
      <c r="K219" s="140">
        <f>VLOOKUP(A219,'Billing Dimensions'!$A:$N,11,FALSE)-VLOOKUP(A219,'Audit Dimensions'!$A:$N,11,FALSE)</f>
        <v>0</v>
      </c>
      <c r="L219" s="140">
        <f>VLOOKUP(A219,'Billing Dimensions'!$A:$N,12,FALSE)-VLOOKUP(A219,'Audit Dimensions'!$A:$N,12,FALSE)</f>
        <v>0</v>
      </c>
      <c r="M219" s="140">
        <f>VLOOKUP(A219,'Billing Dimensions'!$A:$N,13,FALSE)-VLOOKUP(A219,'Audit Dimensions'!$A:$N,13,FALSE)</f>
        <v>0</v>
      </c>
      <c r="N219" s="140">
        <f>VLOOKUP(A219,'Billing Dimensions'!$A:$N,14,FALSE)-VLOOKUP(A219,'Audit Dimensions'!$A:$N,14,FALSE)</f>
        <v>0</v>
      </c>
      <c r="O219" s="147">
        <f>VLOOKUP(A219,'Billing Dimensions'!A:Q,16,FALSE)-VLOOKUP('Audit VAR'!A219,'Audit Dimensions'!A:P,16,FALSE)</f>
        <v>-3710</v>
      </c>
      <c r="P219" s="148">
        <f t="shared" si="9"/>
        <v>-3.71</v>
      </c>
      <c r="Q219" s="151">
        <f t="shared" si="10"/>
        <v>-1.4128000000000001E-3</v>
      </c>
      <c r="R219" s="80">
        <f t="shared" si="11"/>
        <v>2625.9909399773496</v>
      </c>
    </row>
    <row r="220" spans="1:18" hidden="1">
      <c r="A220" s="178" t="s">
        <v>98</v>
      </c>
      <c r="B220" s="52" t="str">
        <f>VLOOKUP(A220,'Billing Dimensions'!A:B,2,FALSE)</f>
        <v>MB</v>
      </c>
      <c r="C220" s="136">
        <f>VLOOKUP(A220,'Billing Dimensions'!$A:$N,3,FALSE)-VLOOKUP(A220,'Audit Dimensions'!$A:$N,3,FALSE)</f>
        <v>1</v>
      </c>
      <c r="D220" s="136">
        <f>VLOOKUP(A220,'Billing Dimensions'!$A:$N,4,FALSE)-VLOOKUP(A220,'Audit Dimensions'!$A:$N,4,FALSE)</f>
        <v>-1</v>
      </c>
      <c r="E220" s="136">
        <f>VLOOKUP(A220,'Billing Dimensions'!$A:$N,5,FALSE)-VLOOKUP(A220,'Audit Dimensions'!$A:$N,5,FALSE)</f>
        <v>0</v>
      </c>
      <c r="F220" s="137">
        <f>VLOOKUP(A220,'Billing Dimensions'!$A:$N,6,FALSE)-VLOOKUP(A220,'Audit Dimensions'!$A:$N,6,FALSE)</f>
        <v>-1780</v>
      </c>
      <c r="G220" s="138">
        <f>VLOOKUP(A220,'Billing Dimensions'!$A:$N,7,FALSE)-VLOOKUP(A220,'Audit Dimensions'!$A:$N,7,FALSE)</f>
        <v>0</v>
      </c>
      <c r="H220" s="138">
        <f>VLOOKUP(A220,'Billing Dimensions'!$A:$N,8,FALSE)-VLOOKUP(A220,'Audit Dimensions'!$A:$N,8,FALSE)</f>
        <v>-1</v>
      </c>
      <c r="I220" s="138">
        <f>VLOOKUP(A220,'Billing Dimensions'!$A:$N,9,FALSE)-VLOOKUP(A220,'Audit Dimensions'!$A:$N,9,FALSE)</f>
        <v>0</v>
      </c>
      <c r="J220" s="139">
        <f>VLOOKUP(A220,'Billing Dimensions'!$A:$N,10,FALSE)-VLOOKUP(A220,'Audit Dimensions'!$A:$N,10,FALSE)</f>
        <v>-355</v>
      </c>
      <c r="K220" s="140">
        <f>VLOOKUP(A220,'Billing Dimensions'!$A:$N,11,FALSE)-VLOOKUP(A220,'Audit Dimensions'!$A:$N,11,FALSE)</f>
        <v>0</v>
      </c>
      <c r="L220" s="140">
        <f>VLOOKUP(A220,'Billing Dimensions'!$A:$N,12,FALSE)-VLOOKUP(A220,'Audit Dimensions'!$A:$N,12,FALSE)</f>
        <v>0</v>
      </c>
      <c r="M220" s="140">
        <f>VLOOKUP(A220,'Billing Dimensions'!$A:$N,13,FALSE)-VLOOKUP(A220,'Audit Dimensions'!$A:$N,13,FALSE)</f>
        <v>0</v>
      </c>
      <c r="N220" s="140">
        <f>VLOOKUP(A220,'Billing Dimensions'!$A:$N,14,FALSE)-VLOOKUP(A220,'Audit Dimensions'!$A:$N,14,FALSE)</f>
        <v>0</v>
      </c>
      <c r="O220" s="147">
        <f>VLOOKUP(A220,'Billing Dimensions'!A:Q,16,FALSE)-VLOOKUP('Audit VAR'!A220,'Audit Dimensions'!A:P,16,FALSE)</f>
        <v>-2135</v>
      </c>
      <c r="P220" s="148">
        <f t="shared" si="9"/>
        <v>-2.1349999999999998</v>
      </c>
      <c r="Q220" s="151">
        <f t="shared" si="10"/>
        <v>0</v>
      </c>
      <c r="R220" s="80" t="e">
        <f t="shared" si="11"/>
        <v>#DIV/0!</v>
      </c>
    </row>
    <row r="221" spans="1:18" hidden="1">
      <c r="A221" s="178" t="s">
        <v>99</v>
      </c>
      <c r="B221" s="52" t="str">
        <f>VLOOKUP(A221,'Billing Dimensions'!A:B,2,FALSE)</f>
        <v>SB</v>
      </c>
      <c r="C221" s="136">
        <f>VLOOKUP(A221,'Billing Dimensions'!$A:$N,3,FALSE)-VLOOKUP(A221,'Audit Dimensions'!$A:$N,3,FALSE)</f>
        <v>0</v>
      </c>
      <c r="D221" s="136">
        <f>VLOOKUP(A221,'Billing Dimensions'!$A:$N,4,FALSE)-VLOOKUP(A221,'Audit Dimensions'!$A:$N,4,FALSE)</f>
        <v>1</v>
      </c>
      <c r="E221" s="136">
        <f>VLOOKUP(A221,'Billing Dimensions'!$A:$N,5,FALSE)-VLOOKUP(A221,'Audit Dimensions'!$A:$N,5,FALSE)</f>
        <v>0</v>
      </c>
      <c r="F221" s="137">
        <f>VLOOKUP(A221,'Billing Dimensions'!$A:$N,6,FALSE)-VLOOKUP(A221,'Audit Dimensions'!$A:$N,6,FALSE)</f>
        <v>490</v>
      </c>
      <c r="G221" s="138">
        <f>VLOOKUP(A221,'Billing Dimensions'!$A:$N,7,FALSE)-VLOOKUP(A221,'Audit Dimensions'!$A:$N,7,FALSE)</f>
        <v>0</v>
      </c>
      <c r="H221" s="138">
        <f>VLOOKUP(A221,'Billing Dimensions'!$A:$N,8,FALSE)-VLOOKUP(A221,'Audit Dimensions'!$A:$N,8,FALSE)</f>
        <v>0</v>
      </c>
      <c r="I221" s="138">
        <f>VLOOKUP(A221,'Billing Dimensions'!$A:$N,9,FALSE)-VLOOKUP(A221,'Audit Dimensions'!$A:$N,9,FALSE)</f>
        <v>0</v>
      </c>
      <c r="J221" s="139">
        <f>VLOOKUP(A221,'Billing Dimensions'!$A:$N,10,FALSE)-VLOOKUP(A221,'Audit Dimensions'!$A:$N,10,FALSE)</f>
        <v>0</v>
      </c>
      <c r="K221" s="140">
        <f>VLOOKUP(A221,'Billing Dimensions'!$A:$N,11,FALSE)-VLOOKUP(A221,'Audit Dimensions'!$A:$N,11,FALSE)</f>
        <v>0</v>
      </c>
      <c r="L221" s="140">
        <f>VLOOKUP(A221,'Billing Dimensions'!$A:$N,12,FALSE)-VLOOKUP(A221,'Audit Dimensions'!$A:$N,12,FALSE)</f>
        <v>0</v>
      </c>
      <c r="M221" s="140">
        <f>VLOOKUP(A221,'Billing Dimensions'!$A:$N,13,FALSE)-VLOOKUP(A221,'Audit Dimensions'!$A:$N,13,FALSE)</f>
        <v>0</v>
      </c>
      <c r="N221" s="140">
        <f>VLOOKUP(A221,'Billing Dimensions'!$A:$N,14,FALSE)-VLOOKUP(A221,'Audit Dimensions'!$A:$N,14,FALSE)</f>
        <v>0</v>
      </c>
      <c r="O221" s="147">
        <f>VLOOKUP(A221,'Billing Dimensions'!A:Q,16,FALSE)-VLOOKUP('Audit VAR'!A221,'Audit Dimensions'!A:P,16,FALSE)</f>
        <v>490</v>
      </c>
      <c r="P221" s="148">
        <f t="shared" si="9"/>
        <v>0.49</v>
      </c>
      <c r="Q221" s="151">
        <f t="shared" si="10"/>
        <v>0</v>
      </c>
      <c r="R221" s="80" t="e">
        <f t="shared" si="11"/>
        <v>#DIV/0!</v>
      </c>
    </row>
    <row r="222" spans="1:18" hidden="1">
      <c r="A222" s="178" t="s">
        <v>369</v>
      </c>
      <c r="B222" s="52" t="e">
        <f>VLOOKUP(A222,'Billing Dimensions'!A:B,2,FALSE)</f>
        <v>#N/A</v>
      </c>
      <c r="C222" s="136" t="e">
        <f>VLOOKUP(A222,'Billing Dimensions'!$A:$N,3,FALSE)-VLOOKUP(A222,'Audit Dimensions'!$A:$N,3,FALSE)</f>
        <v>#N/A</v>
      </c>
      <c r="D222" s="136" t="e">
        <f>VLOOKUP(A222,'Billing Dimensions'!$A:$N,4,FALSE)-VLOOKUP(A222,'Audit Dimensions'!$A:$N,4,FALSE)</f>
        <v>#N/A</v>
      </c>
      <c r="E222" s="136" t="e">
        <f>VLOOKUP(A222,'Billing Dimensions'!$A:$N,5,FALSE)-VLOOKUP(A222,'Audit Dimensions'!$A:$N,5,FALSE)</f>
        <v>#N/A</v>
      </c>
      <c r="F222" s="137" t="e">
        <f>VLOOKUP(A222,'Billing Dimensions'!$A:$N,6,FALSE)-VLOOKUP(A222,'Audit Dimensions'!$A:$N,6,FALSE)</f>
        <v>#N/A</v>
      </c>
      <c r="G222" s="138" t="e">
        <f>VLOOKUP(A222,'Billing Dimensions'!$A:$N,7,FALSE)-VLOOKUP(A222,'Audit Dimensions'!$A:$N,7,FALSE)</f>
        <v>#N/A</v>
      </c>
      <c r="H222" s="138" t="e">
        <f>VLOOKUP(A222,'Billing Dimensions'!$A:$N,8,FALSE)-VLOOKUP(A222,'Audit Dimensions'!$A:$N,8,FALSE)</f>
        <v>#N/A</v>
      </c>
      <c r="I222" s="138" t="e">
        <f>VLOOKUP(A222,'Billing Dimensions'!$A:$N,9,FALSE)-VLOOKUP(A222,'Audit Dimensions'!$A:$N,9,FALSE)</f>
        <v>#N/A</v>
      </c>
      <c r="J222" s="139" t="e">
        <f>VLOOKUP(A222,'Billing Dimensions'!$A:$N,10,FALSE)-VLOOKUP(A222,'Audit Dimensions'!$A:$N,10,FALSE)</f>
        <v>#N/A</v>
      </c>
      <c r="K222" s="140" t="e">
        <f>VLOOKUP(A222,'Billing Dimensions'!$A:$N,11,FALSE)-VLOOKUP(A222,'Audit Dimensions'!$A:$N,11,FALSE)</f>
        <v>#N/A</v>
      </c>
      <c r="L222" s="140" t="e">
        <f>VLOOKUP(A222,'Billing Dimensions'!$A:$N,12,FALSE)-VLOOKUP(A222,'Audit Dimensions'!$A:$N,12,FALSE)</f>
        <v>#N/A</v>
      </c>
      <c r="M222" s="140" t="e">
        <f>VLOOKUP(A222,'Billing Dimensions'!$A:$N,13,FALSE)-VLOOKUP(A222,'Audit Dimensions'!$A:$N,13,FALSE)</f>
        <v>#N/A</v>
      </c>
      <c r="N222" s="140" t="e">
        <f>VLOOKUP(A222,'Billing Dimensions'!$A:$N,14,FALSE)-VLOOKUP(A222,'Audit Dimensions'!$A:$N,14,FALSE)</f>
        <v>#N/A</v>
      </c>
      <c r="O222" s="147" t="e">
        <f>VLOOKUP(A222,'Billing Dimensions'!A:Q,16,FALSE)-VLOOKUP('Audit VAR'!A222,'Audit Dimensions'!A:P,16,FALSE)</f>
        <v>#N/A</v>
      </c>
      <c r="P222" s="148" t="e">
        <f t="shared" si="9"/>
        <v>#N/A</v>
      </c>
      <c r="Q222" s="151" t="e">
        <f t="shared" si="10"/>
        <v>#N/A</v>
      </c>
      <c r="R222" s="80" t="e">
        <f t="shared" si="11"/>
        <v>#N/A</v>
      </c>
    </row>
    <row r="223" spans="1:18" hidden="1">
      <c r="A223" s="178" t="s">
        <v>108</v>
      </c>
      <c r="B223" s="52" t="str">
        <f>VLOOKUP(A223,'Billing Dimensions'!A:B,2,FALSE)</f>
        <v>SB</v>
      </c>
      <c r="C223" s="136">
        <f>VLOOKUP(A223,'Billing Dimensions'!$A:$N,3,FALSE)-VLOOKUP(A223,'Audit Dimensions'!$A:$N,3,FALSE)</f>
        <v>0</v>
      </c>
      <c r="D223" s="136">
        <f>VLOOKUP(A223,'Billing Dimensions'!$A:$N,4,FALSE)-VLOOKUP(A223,'Audit Dimensions'!$A:$N,4,FALSE)</f>
        <v>-1</v>
      </c>
      <c r="E223" s="136">
        <f>VLOOKUP(A223,'Billing Dimensions'!$A:$N,5,FALSE)-VLOOKUP(A223,'Audit Dimensions'!$A:$N,5,FALSE)</f>
        <v>0</v>
      </c>
      <c r="F223" s="137">
        <f>VLOOKUP(A223,'Billing Dimensions'!$A:$N,6,FALSE)-VLOOKUP(A223,'Audit Dimensions'!$A:$N,6,FALSE)</f>
        <v>-40</v>
      </c>
      <c r="G223" s="138">
        <f>VLOOKUP(A223,'Billing Dimensions'!$A:$N,7,FALSE)-VLOOKUP(A223,'Audit Dimensions'!$A:$N,7,FALSE)</f>
        <v>0</v>
      </c>
      <c r="H223" s="138">
        <f>VLOOKUP(A223,'Billing Dimensions'!$A:$N,8,FALSE)-VLOOKUP(A223,'Audit Dimensions'!$A:$N,8,FALSE)</f>
        <v>0</v>
      </c>
      <c r="I223" s="138">
        <f>VLOOKUP(A223,'Billing Dimensions'!$A:$N,9,FALSE)-VLOOKUP(A223,'Audit Dimensions'!$A:$N,9,FALSE)</f>
        <v>0</v>
      </c>
      <c r="J223" s="139">
        <f>VLOOKUP(A223,'Billing Dimensions'!$A:$N,10,FALSE)-VLOOKUP(A223,'Audit Dimensions'!$A:$N,10,FALSE)</f>
        <v>0</v>
      </c>
      <c r="K223" s="140">
        <f>VLOOKUP(A223,'Billing Dimensions'!$A:$N,11,FALSE)-VLOOKUP(A223,'Audit Dimensions'!$A:$N,11,FALSE)</f>
        <v>0</v>
      </c>
      <c r="L223" s="140">
        <f>VLOOKUP(A223,'Billing Dimensions'!$A:$N,12,FALSE)-VLOOKUP(A223,'Audit Dimensions'!$A:$N,12,FALSE)</f>
        <v>0</v>
      </c>
      <c r="M223" s="140">
        <f>VLOOKUP(A223,'Billing Dimensions'!$A:$N,13,FALSE)-VLOOKUP(A223,'Audit Dimensions'!$A:$N,13,FALSE)</f>
        <v>0</v>
      </c>
      <c r="N223" s="140">
        <f>VLOOKUP(A223,'Billing Dimensions'!$A:$N,14,FALSE)-VLOOKUP(A223,'Audit Dimensions'!$A:$N,14,FALSE)</f>
        <v>0</v>
      </c>
      <c r="O223" s="147">
        <f>VLOOKUP(A223,'Billing Dimensions'!A:Q,16,FALSE)-VLOOKUP('Audit VAR'!A223,'Audit Dimensions'!A:P,16,FALSE)</f>
        <v>-40</v>
      </c>
      <c r="P223" s="148">
        <f t="shared" si="9"/>
        <v>-0.04</v>
      </c>
      <c r="Q223" s="151">
        <f t="shared" si="10"/>
        <v>0</v>
      </c>
      <c r="R223" s="80" t="e">
        <f t="shared" si="11"/>
        <v>#DIV/0!</v>
      </c>
    </row>
    <row r="224" spans="1:18" hidden="1">
      <c r="A224" s="170" t="s">
        <v>370</v>
      </c>
      <c r="B224" s="52" t="e">
        <f>VLOOKUP(A224,'Billing Dimensions'!A:B,2,FALSE)</f>
        <v>#N/A</v>
      </c>
      <c r="C224" s="136" t="e">
        <f>VLOOKUP(A224,'Billing Dimensions'!$A:$N,3,FALSE)-VLOOKUP(A224,'Audit Dimensions'!$A:$N,3,FALSE)</f>
        <v>#N/A</v>
      </c>
      <c r="D224" s="136" t="e">
        <f>VLOOKUP(A224,'Billing Dimensions'!$A:$N,4,FALSE)-VLOOKUP(A224,'Audit Dimensions'!$A:$N,4,FALSE)</f>
        <v>#N/A</v>
      </c>
      <c r="E224" s="136" t="e">
        <f>VLOOKUP(A224,'Billing Dimensions'!$A:$N,5,FALSE)-VLOOKUP(A224,'Audit Dimensions'!$A:$N,5,FALSE)</f>
        <v>#N/A</v>
      </c>
      <c r="F224" s="137" t="e">
        <f>VLOOKUP(A224,'Billing Dimensions'!$A:$N,6,FALSE)-VLOOKUP(A224,'Audit Dimensions'!$A:$N,6,FALSE)</f>
        <v>#N/A</v>
      </c>
      <c r="G224" s="138" t="e">
        <f>VLOOKUP(A224,'Billing Dimensions'!$A:$N,7,FALSE)-VLOOKUP(A224,'Audit Dimensions'!$A:$N,7,FALSE)</f>
        <v>#N/A</v>
      </c>
      <c r="H224" s="138" t="e">
        <f>VLOOKUP(A224,'Billing Dimensions'!$A:$N,8,FALSE)-VLOOKUP(A224,'Audit Dimensions'!$A:$N,8,FALSE)</f>
        <v>#N/A</v>
      </c>
      <c r="I224" s="138" t="e">
        <f>VLOOKUP(A224,'Billing Dimensions'!$A:$N,9,FALSE)-VLOOKUP(A224,'Audit Dimensions'!$A:$N,9,FALSE)</f>
        <v>#N/A</v>
      </c>
      <c r="J224" s="139" t="e">
        <f>VLOOKUP(A224,'Billing Dimensions'!$A:$N,10,FALSE)-VLOOKUP(A224,'Audit Dimensions'!$A:$N,10,FALSE)</f>
        <v>#N/A</v>
      </c>
      <c r="K224" s="140" t="e">
        <f>VLOOKUP(A224,'Billing Dimensions'!$A:$N,11,FALSE)-VLOOKUP(A224,'Audit Dimensions'!$A:$N,11,FALSE)</f>
        <v>#N/A</v>
      </c>
      <c r="L224" s="140" t="e">
        <f>VLOOKUP(A224,'Billing Dimensions'!$A:$N,12,FALSE)-VLOOKUP(A224,'Audit Dimensions'!$A:$N,12,FALSE)</f>
        <v>#N/A</v>
      </c>
      <c r="M224" s="140" t="e">
        <f>VLOOKUP(A224,'Billing Dimensions'!$A:$N,13,FALSE)-VLOOKUP(A224,'Audit Dimensions'!$A:$N,13,FALSE)</f>
        <v>#N/A</v>
      </c>
      <c r="N224" s="140" t="e">
        <f>VLOOKUP(A224,'Billing Dimensions'!$A:$N,14,FALSE)-VLOOKUP(A224,'Audit Dimensions'!$A:$N,14,FALSE)</f>
        <v>#N/A</v>
      </c>
      <c r="O224" s="147" t="e">
        <f>VLOOKUP(A224,'Billing Dimensions'!A:Q,16,FALSE)-VLOOKUP('Audit VAR'!A224,'Audit Dimensions'!A:P,16,FALSE)</f>
        <v>#N/A</v>
      </c>
      <c r="P224" s="148" t="e">
        <f t="shared" si="9"/>
        <v>#N/A</v>
      </c>
      <c r="Q224" s="151" t="e">
        <f t="shared" si="10"/>
        <v>#N/A</v>
      </c>
      <c r="R224" s="80" t="e">
        <f t="shared" si="11"/>
        <v>#N/A</v>
      </c>
    </row>
    <row r="225" spans="1:18" hidden="1">
      <c r="A225" s="132" t="s">
        <v>151</v>
      </c>
      <c r="B225" s="52" t="str">
        <f>VLOOKUP(A225,'Billing Dimensions'!A:B,2,FALSE)</f>
        <v>SB</v>
      </c>
      <c r="C225" s="136">
        <f>VLOOKUP(A225,'Billing Dimensions'!$A:$N,3,FALSE)-VLOOKUP(A225,'Audit Dimensions'!$A:$N,3,FALSE)</f>
        <v>128</v>
      </c>
      <c r="D225" s="136">
        <f>VLOOKUP(A225,'Billing Dimensions'!$A:$N,4,FALSE)-VLOOKUP(A225,'Audit Dimensions'!$A:$N,4,FALSE)</f>
        <v>30</v>
      </c>
      <c r="E225" s="136">
        <f>VLOOKUP(A225,'Billing Dimensions'!$A:$N,5,FALSE)-VLOOKUP(A225,'Audit Dimensions'!$A:$N,5,FALSE)</f>
        <v>9</v>
      </c>
      <c r="F225" s="137">
        <f>VLOOKUP(A225,'Billing Dimensions'!$A:$N,6,FALSE)-VLOOKUP(A225,'Audit Dimensions'!$A:$N,6,FALSE)</f>
        <v>24000</v>
      </c>
      <c r="G225" s="138">
        <f>VLOOKUP(A225,'Billing Dimensions'!$A:$N,7,FALSE)-VLOOKUP(A225,'Audit Dimensions'!$A:$N,7,FALSE)</f>
        <v>0</v>
      </c>
      <c r="H225" s="138">
        <f>VLOOKUP(A225,'Billing Dimensions'!$A:$N,8,FALSE)-VLOOKUP(A225,'Audit Dimensions'!$A:$N,8,FALSE)</f>
        <v>0</v>
      </c>
      <c r="I225" s="138">
        <f>VLOOKUP(A225,'Billing Dimensions'!$A:$N,9,FALSE)-VLOOKUP(A225,'Audit Dimensions'!$A:$N,9,FALSE)</f>
        <v>0</v>
      </c>
      <c r="J225" s="139">
        <f>VLOOKUP(A225,'Billing Dimensions'!$A:$N,10,FALSE)-VLOOKUP(A225,'Audit Dimensions'!$A:$N,10,FALSE)</f>
        <v>0</v>
      </c>
      <c r="K225" s="140">
        <f>VLOOKUP(A225,'Billing Dimensions'!$A:$N,11,FALSE)-VLOOKUP(A225,'Audit Dimensions'!$A:$N,11,FALSE)</f>
        <v>0</v>
      </c>
      <c r="L225" s="140">
        <f>VLOOKUP(A225,'Billing Dimensions'!$A:$N,12,FALSE)-VLOOKUP(A225,'Audit Dimensions'!$A:$N,12,FALSE)</f>
        <v>0</v>
      </c>
      <c r="M225" s="140">
        <f>VLOOKUP(A225,'Billing Dimensions'!$A:$N,13,FALSE)-VLOOKUP(A225,'Audit Dimensions'!$A:$N,13,FALSE)</f>
        <v>0</v>
      </c>
      <c r="N225" s="140">
        <f>VLOOKUP(A225,'Billing Dimensions'!$A:$N,14,FALSE)-VLOOKUP(A225,'Audit Dimensions'!$A:$N,14,FALSE)</f>
        <v>0</v>
      </c>
      <c r="O225" s="147">
        <f>VLOOKUP(A225,'Billing Dimensions'!A:Q,16,FALSE)-VLOOKUP('Audit VAR'!A225,'Audit Dimensions'!A:P,16,FALSE)</f>
        <v>24000</v>
      </c>
      <c r="P225" s="148">
        <f t="shared" si="9"/>
        <v>24</v>
      </c>
      <c r="Q225" s="151">
        <f t="shared" si="10"/>
        <v>1.2206592000000001</v>
      </c>
      <c r="R225" s="80">
        <f t="shared" si="11"/>
        <v>19.66150748710205</v>
      </c>
    </row>
    <row r="226" spans="1:18" hidden="1">
      <c r="A226" s="178" t="s">
        <v>155</v>
      </c>
      <c r="B226" s="52" t="str">
        <f>VLOOKUP(A226,'Billing Dimensions'!A:B,2,FALSE)</f>
        <v>SB</v>
      </c>
      <c r="C226" s="136">
        <f>VLOOKUP(A226,'Billing Dimensions'!$A:$N,3,FALSE)-VLOOKUP(A226,'Audit Dimensions'!$A:$N,3,FALSE)</f>
        <v>0</v>
      </c>
      <c r="D226" s="136">
        <f>VLOOKUP(A226,'Billing Dimensions'!$A:$N,4,FALSE)-VLOOKUP(A226,'Audit Dimensions'!$A:$N,4,FALSE)</f>
        <v>2</v>
      </c>
      <c r="E226" s="136">
        <f>VLOOKUP(A226,'Billing Dimensions'!$A:$N,5,FALSE)-VLOOKUP(A226,'Audit Dimensions'!$A:$N,5,FALSE)</f>
        <v>-10</v>
      </c>
      <c r="F226" s="137">
        <f>VLOOKUP(A226,'Billing Dimensions'!$A:$N,6,FALSE)-VLOOKUP(A226,'Audit Dimensions'!$A:$N,6,FALSE)</f>
        <v>-2850</v>
      </c>
      <c r="G226" s="138">
        <f>VLOOKUP(A226,'Billing Dimensions'!$A:$N,7,FALSE)-VLOOKUP(A226,'Audit Dimensions'!$A:$N,7,FALSE)</f>
        <v>0</v>
      </c>
      <c r="H226" s="138">
        <f>VLOOKUP(A226,'Billing Dimensions'!$A:$N,8,FALSE)-VLOOKUP(A226,'Audit Dimensions'!$A:$N,8,FALSE)</f>
        <v>0</v>
      </c>
      <c r="I226" s="138">
        <f>VLOOKUP(A226,'Billing Dimensions'!$A:$N,9,FALSE)-VLOOKUP(A226,'Audit Dimensions'!$A:$N,9,FALSE)</f>
        <v>0</v>
      </c>
      <c r="J226" s="139">
        <f>VLOOKUP(A226,'Billing Dimensions'!$A:$N,10,FALSE)-VLOOKUP(A226,'Audit Dimensions'!$A:$N,10,FALSE)</f>
        <v>0</v>
      </c>
      <c r="K226" s="140">
        <f>VLOOKUP(A226,'Billing Dimensions'!$A:$N,11,FALSE)-VLOOKUP(A226,'Audit Dimensions'!$A:$N,11,FALSE)</f>
        <v>0</v>
      </c>
      <c r="L226" s="140">
        <f>VLOOKUP(A226,'Billing Dimensions'!$A:$N,12,FALSE)-VLOOKUP(A226,'Audit Dimensions'!$A:$N,12,FALSE)</f>
        <v>0</v>
      </c>
      <c r="M226" s="140">
        <f>VLOOKUP(A226,'Billing Dimensions'!$A:$N,13,FALSE)-VLOOKUP(A226,'Audit Dimensions'!$A:$N,13,FALSE)</f>
        <v>0</v>
      </c>
      <c r="N226" s="140">
        <f>VLOOKUP(A226,'Billing Dimensions'!$A:$N,14,FALSE)-VLOOKUP(A226,'Audit Dimensions'!$A:$N,14,FALSE)</f>
        <v>0</v>
      </c>
      <c r="O226" s="147">
        <f>VLOOKUP(A226,'Billing Dimensions'!A:Q,16,FALSE)-VLOOKUP('Audit VAR'!A226,'Audit Dimensions'!A:P,16,FALSE)</f>
        <v>-2850</v>
      </c>
      <c r="P226" s="148">
        <f t="shared" si="9"/>
        <v>-2.85</v>
      </c>
      <c r="Q226" s="151">
        <f t="shared" si="10"/>
        <v>0</v>
      </c>
      <c r="R226" s="80" t="e">
        <f t="shared" si="11"/>
        <v>#DIV/0!</v>
      </c>
    </row>
    <row r="227" spans="1:18" hidden="1">
      <c r="A227" s="178" t="s">
        <v>160</v>
      </c>
      <c r="B227" s="52" t="str">
        <f>VLOOKUP(A227,'Billing Dimensions'!A:B,2,FALSE)</f>
        <v>SB</v>
      </c>
      <c r="C227" s="136">
        <f>VLOOKUP(A227,'Billing Dimensions'!$A:$N,3,FALSE)-VLOOKUP(A227,'Audit Dimensions'!$A:$N,3,FALSE)</f>
        <v>0</v>
      </c>
      <c r="D227" s="136">
        <f>VLOOKUP(A227,'Billing Dimensions'!$A:$N,4,FALSE)-VLOOKUP(A227,'Audit Dimensions'!$A:$N,4,FALSE)</f>
        <v>0</v>
      </c>
      <c r="E227" s="136">
        <f>VLOOKUP(A227,'Billing Dimensions'!$A:$N,5,FALSE)-VLOOKUP(A227,'Audit Dimensions'!$A:$N,5,FALSE)</f>
        <v>0</v>
      </c>
      <c r="F227" s="137">
        <f>VLOOKUP(A227,'Billing Dimensions'!$A:$N,6,FALSE)-VLOOKUP(A227,'Audit Dimensions'!$A:$N,6,FALSE)</f>
        <v>-669</v>
      </c>
      <c r="G227" s="138">
        <f>VLOOKUP(A227,'Billing Dimensions'!$A:$N,7,FALSE)-VLOOKUP(A227,'Audit Dimensions'!$A:$N,7,FALSE)</f>
        <v>0</v>
      </c>
      <c r="H227" s="138">
        <f>VLOOKUP(A227,'Billing Dimensions'!$A:$N,8,FALSE)-VLOOKUP(A227,'Audit Dimensions'!$A:$N,8,FALSE)</f>
        <v>0</v>
      </c>
      <c r="I227" s="138">
        <f>VLOOKUP(A227,'Billing Dimensions'!$A:$N,9,FALSE)-VLOOKUP(A227,'Audit Dimensions'!$A:$N,9,FALSE)</f>
        <v>0</v>
      </c>
      <c r="J227" s="139">
        <f>VLOOKUP(A227,'Billing Dimensions'!$A:$N,10,FALSE)-VLOOKUP(A227,'Audit Dimensions'!$A:$N,10,FALSE)</f>
        <v>0</v>
      </c>
      <c r="K227" s="140">
        <f>VLOOKUP(A227,'Billing Dimensions'!$A:$N,11,FALSE)-VLOOKUP(A227,'Audit Dimensions'!$A:$N,11,FALSE)</f>
        <v>0</v>
      </c>
      <c r="L227" s="140">
        <f>VLOOKUP(A227,'Billing Dimensions'!$A:$N,12,FALSE)-VLOOKUP(A227,'Audit Dimensions'!$A:$N,12,FALSE)</f>
        <v>0</v>
      </c>
      <c r="M227" s="140">
        <f>VLOOKUP(A227,'Billing Dimensions'!$A:$N,13,FALSE)-VLOOKUP(A227,'Audit Dimensions'!$A:$N,13,FALSE)</f>
        <v>0</v>
      </c>
      <c r="N227" s="140">
        <f>VLOOKUP(A227,'Billing Dimensions'!$A:$N,14,FALSE)-VLOOKUP(A227,'Audit Dimensions'!$A:$N,14,FALSE)</f>
        <v>0</v>
      </c>
      <c r="O227" s="147">
        <f>VLOOKUP(A227,'Billing Dimensions'!A:Q,16,FALSE)-VLOOKUP('Audit VAR'!A227,'Audit Dimensions'!A:P,16,FALSE)</f>
        <v>-669</v>
      </c>
      <c r="P227" s="148">
        <f t="shared" si="9"/>
        <v>-0.66900000000000004</v>
      </c>
      <c r="Q227" s="151">
        <f t="shared" si="10"/>
        <v>0</v>
      </c>
      <c r="R227" s="80" t="e">
        <f t="shared" si="11"/>
        <v>#DIV/0!</v>
      </c>
    </row>
    <row r="228" spans="1:18" hidden="1">
      <c r="A228" s="178" t="s">
        <v>175</v>
      </c>
      <c r="B228" s="52" t="str">
        <f>VLOOKUP(A228,'Billing Dimensions'!A:B,2,FALSE)</f>
        <v>SB</v>
      </c>
      <c r="C228" s="136">
        <f>VLOOKUP(A228,'Billing Dimensions'!$A:$N,3,FALSE)-VLOOKUP(A228,'Audit Dimensions'!$A:$N,3,FALSE)</f>
        <v>0</v>
      </c>
      <c r="D228" s="136">
        <f>VLOOKUP(A228,'Billing Dimensions'!$A:$N,4,FALSE)-VLOOKUP(A228,'Audit Dimensions'!$A:$N,4,FALSE)</f>
        <v>0</v>
      </c>
      <c r="E228" s="136">
        <f>VLOOKUP(A228,'Billing Dimensions'!$A:$N,5,FALSE)-VLOOKUP(A228,'Audit Dimensions'!$A:$N,5,FALSE)</f>
        <v>-1</v>
      </c>
      <c r="F228" s="137">
        <f>VLOOKUP(A228,'Billing Dimensions'!$A:$N,6,FALSE)-VLOOKUP(A228,'Audit Dimensions'!$A:$N,6,FALSE)</f>
        <v>-510</v>
      </c>
      <c r="G228" s="138">
        <f>VLOOKUP(A228,'Billing Dimensions'!$A:$N,7,FALSE)-VLOOKUP(A228,'Audit Dimensions'!$A:$N,7,FALSE)</f>
        <v>0</v>
      </c>
      <c r="H228" s="138">
        <f>VLOOKUP(A228,'Billing Dimensions'!$A:$N,8,FALSE)-VLOOKUP(A228,'Audit Dimensions'!$A:$N,8,FALSE)</f>
        <v>0</v>
      </c>
      <c r="I228" s="138">
        <f>VLOOKUP(A228,'Billing Dimensions'!$A:$N,9,FALSE)-VLOOKUP(A228,'Audit Dimensions'!$A:$N,9,FALSE)</f>
        <v>0</v>
      </c>
      <c r="J228" s="139">
        <f>VLOOKUP(A228,'Billing Dimensions'!$A:$N,10,FALSE)-VLOOKUP(A228,'Audit Dimensions'!$A:$N,10,FALSE)</f>
        <v>0</v>
      </c>
      <c r="K228" s="140">
        <f>VLOOKUP(A228,'Billing Dimensions'!$A:$N,11,FALSE)-VLOOKUP(A228,'Audit Dimensions'!$A:$N,11,FALSE)</f>
        <v>0</v>
      </c>
      <c r="L228" s="140">
        <f>VLOOKUP(A228,'Billing Dimensions'!$A:$N,12,FALSE)-VLOOKUP(A228,'Audit Dimensions'!$A:$N,12,FALSE)</f>
        <v>0</v>
      </c>
      <c r="M228" s="140">
        <f>VLOOKUP(A228,'Billing Dimensions'!$A:$N,13,FALSE)-VLOOKUP(A228,'Audit Dimensions'!$A:$N,13,FALSE)</f>
        <v>0</v>
      </c>
      <c r="N228" s="140">
        <f>VLOOKUP(A228,'Billing Dimensions'!$A:$N,14,FALSE)-VLOOKUP(A228,'Audit Dimensions'!$A:$N,14,FALSE)</f>
        <v>0</v>
      </c>
      <c r="O228" s="147">
        <f>VLOOKUP(A228,'Billing Dimensions'!A:Q,16,FALSE)-VLOOKUP('Audit VAR'!A228,'Audit Dimensions'!A:P,16,FALSE)</f>
        <v>-510</v>
      </c>
      <c r="P228" s="148">
        <f t="shared" si="9"/>
        <v>-0.51</v>
      </c>
      <c r="Q228" s="151">
        <f t="shared" si="10"/>
        <v>0</v>
      </c>
      <c r="R228" s="80" t="e">
        <f t="shared" si="11"/>
        <v>#DIV/0!</v>
      </c>
    </row>
    <row r="229" spans="1:18" hidden="1">
      <c r="A229" s="178" t="s">
        <v>204</v>
      </c>
      <c r="B229" s="52" t="str">
        <f>VLOOKUP(A229,'Billing Dimensions'!A:B,2,FALSE)</f>
        <v>SB</v>
      </c>
      <c r="C229" s="136">
        <f>VLOOKUP(A229,'Billing Dimensions'!$A:$N,3,FALSE)-VLOOKUP(A229,'Audit Dimensions'!$A:$N,3,FALSE)</f>
        <v>-1</v>
      </c>
      <c r="D229" s="136">
        <f>VLOOKUP(A229,'Billing Dimensions'!$A:$N,4,FALSE)-VLOOKUP(A229,'Audit Dimensions'!$A:$N,4,FALSE)</f>
        <v>1</v>
      </c>
      <c r="E229" s="136">
        <f>VLOOKUP(A229,'Billing Dimensions'!$A:$N,5,FALSE)-VLOOKUP(A229,'Audit Dimensions'!$A:$N,5,FALSE)</f>
        <v>-1</v>
      </c>
      <c r="F229" s="137">
        <f>VLOOKUP(A229,'Billing Dimensions'!$A:$N,6,FALSE)-VLOOKUP(A229,'Audit Dimensions'!$A:$N,6,FALSE)</f>
        <v>-1410</v>
      </c>
      <c r="G229" s="138">
        <f>VLOOKUP(A229,'Billing Dimensions'!$A:$N,7,FALSE)-VLOOKUP(A229,'Audit Dimensions'!$A:$N,7,FALSE)</f>
        <v>0</v>
      </c>
      <c r="H229" s="138">
        <f>VLOOKUP(A229,'Billing Dimensions'!$A:$N,8,FALSE)-VLOOKUP(A229,'Audit Dimensions'!$A:$N,8,FALSE)</f>
        <v>0</v>
      </c>
      <c r="I229" s="138">
        <f>VLOOKUP(A229,'Billing Dimensions'!$A:$N,9,FALSE)-VLOOKUP(A229,'Audit Dimensions'!$A:$N,9,FALSE)</f>
        <v>0</v>
      </c>
      <c r="J229" s="139">
        <f>VLOOKUP(A229,'Billing Dimensions'!$A:$N,10,FALSE)-VLOOKUP(A229,'Audit Dimensions'!$A:$N,10,FALSE)</f>
        <v>0</v>
      </c>
      <c r="K229" s="140">
        <f>VLOOKUP(A229,'Billing Dimensions'!$A:$N,11,FALSE)-VLOOKUP(A229,'Audit Dimensions'!$A:$N,11,FALSE)</f>
        <v>0</v>
      </c>
      <c r="L229" s="140">
        <f>VLOOKUP(A229,'Billing Dimensions'!$A:$N,12,FALSE)-VLOOKUP(A229,'Audit Dimensions'!$A:$N,12,FALSE)</f>
        <v>0</v>
      </c>
      <c r="M229" s="140">
        <f>VLOOKUP(A229,'Billing Dimensions'!$A:$N,13,FALSE)-VLOOKUP(A229,'Audit Dimensions'!$A:$N,13,FALSE)</f>
        <v>0</v>
      </c>
      <c r="N229" s="140">
        <f>VLOOKUP(A229,'Billing Dimensions'!$A:$N,14,FALSE)-VLOOKUP(A229,'Audit Dimensions'!$A:$N,14,FALSE)</f>
        <v>0</v>
      </c>
      <c r="O229" s="147">
        <f>VLOOKUP(A229,'Billing Dimensions'!A:Q,16,FALSE)-VLOOKUP('Audit VAR'!A229,'Audit Dimensions'!A:P,16,FALSE)</f>
        <v>-1410</v>
      </c>
      <c r="P229" s="148">
        <f t="shared" si="9"/>
        <v>-1.41</v>
      </c>
      <c r="Q229" s="151">
        <f t="shared" si="10"/>
        <v>3.5320000000000001E-5</v>
      </c>
      <c r="R229" s="80">
        <f t="shared" si="11"/>
        <v>-39920.724801812001</v>
      </c>
    </row>
    <row r="230" spans="1:18" hidden="1">
      <c r="A230" s="178" t="s">
        <v>227</v>
      </c>
      <c r="B230" s="52" t="str">
        <f>VLOOKUP(A230,'Billing Dimensions'!A:B,2,FALSE)</f>
        <v>SB</v>
      </c>
      <c r="C230" s="136">
        <f>VLOOKUP(A230,'Billing Dimensions'!$A:$N,3,FALSE)-VLOOKUP(A230,'Audit Dimensions'!$A:$N,3,FALSE)</f>
        <v>10</v>
      </c>
      <c r="D230" s="136">
        <f>VLOOKUP(A230,'Billing Dimensions'!$A:$N,4,FALSE)-VLOOKUP(A230,'Audit Dimensions'!$A:$N,4,FALSE)</f>
        <v>7</v>
      </c>
      <c r="E230" s="136">
        <f>VLOOKUP(A230,'Billing Dimensions'!$A:$N,5,FALSE)-VLOOKUP(A230,'Audit Dimensions'!$A:$N,5,FALSE)</f>
        <v>-2</v>
      </c>
      <c r="F230" s="137">
        <f>VLOOKUP(A230,'Billing Dimensions'!$A:$N,6,FALSE)-VLOOKUP(A230,'Audit Dimensions'!$A:$N,6,FALSE)</f>
        <v>-1450</v>
      </c>
      <c r="G230" s="138">
        <f>VLOOKUP(A230,'Billing Dimensions'!$A:$N,7,FALSE)-VLOOKUP(A230,'Audit Dimensions'!$A:$N,7,FALSE)</f>
        <v>0</v>
      </c>
      <c r="H230" s="138">
        <f>VLOOKUP(A230,'Billing Dimensions'!$A:$N,8,FALSE)-VLOOKUP(A230,'Audit Dimensions'!$A:$N,8,FALSE)</f>
        <v>0</v>
      </c>
      <c r="I230" s="138">
        <f>VLOOKUP(A230,'Billing Dimensions'!$A:$N,9,FALSE)-VLOOKUP(A230,'Audit Dimensions'!$A:$N,9,FALSE)</f>
        <v>0</v>
      </c>
      <c r="J230" s="139">
        <f>VLOOKUP(A230,'Billing Dimensions'!$A:$N,10,FALSE)-VLOOKUP(A230,'Audit Dimensions'!$A:$N,10,FALSE)</f>
        <v>0</v>
      </c>
      <c r="K230" s="140">
        <f>VLOOKUP(A230,'Billing Dimensions'!$A:$N,11,FALSE)-VLOOKUP(A230,'Audit Dimensions'!$A:$N,11,FALSE)</f>
        <v>0</v>
      </c>
      <c r="L230" s="140">
        <f>VLOOKUP(A230,'Billing Dimensions'!$A:$N,12,FALSE)-VLOOKUP(A230,'Audit Dimensions'!$A:$N,12,FALSE)</f>
        <v>0</v>
      </c>
      <c r="M230" s="140">
        <f>VLOOKUP(A230,'Billing Dimensions'!$A:$N,13,FALSE)-VLOOKUP(A230,'Audit Dimensions'!$A:$N,13,FALSE)</f>
        <v>0</v>
      </c>
      <c r="N230" s="140">
        <f>VLOOKUP(A230,'Billing Dimensions'!$A:$N,14,FALSE)-VLOOKUP(A230,'Audit Dimensions'!$A:$N,14,FALSE)</f>
        <v>0</v>
      </c>
      <c r="O230" s="147">
        <f>VLOOKUP(A230,'Billing Dimensions'!A:Q,16,FALSE)-VLOOKUP('Audit VAR'!A230,'Audit Dimensions'!A:P,16,FALSE)</f>
        <v>-1450</v>
      </c>
      <c r="P230" s="148">
        <f t="shared" si="9"/>
        <v>-1.45</v>
      </c>
      <c r="Q230" s="151">
        <f t="shared" si="10"/>
        <v>-4.9447999999999992E-3</v>
      </c>
      <c r="R230" s="80">
        <f t="shared" si="11"/>
        <v>293.23734023620779</v>
      </c>
    </row>
    <row r="231" spans="1:18" hidden="1">
      <c r="A231" s="178" t="s">
        <v>244</v>
      </c>
      <c r="B231" s="52" t="str">
        <f>VLOOKUP(A231,'Billing Dimensions'!A:B,2,FALSE)</f>
        <v>SB</v>
      </c>
      <c r="C231" s="136">
        <f>VLOOKUP(A231,'Billing Dimensions'!$A:$N,3,FALSE)-VLOOKUP(A231,'Audit Dimensions'!$A:$N,3,FALSE)</f>
        <v>-2</v>
      </c>
      <c r="D231" s="136">
        <f>VLOOKUP(A231,'Billing Dimensions'!$A:$N,4,FALSE)-VLOOKUP(A231,'Audit Dimensions'!$A:$N,4,FALSE)</f>
        <v>9</v>
      </c>
      <c r="E231" s="136">
        <f>VLOOKUP(A231,'Billing Dimensions'!$A:$N,5,FALSE)-VLOOKUP(A231,'Audit Dimensions'!$A:$N,5,FALSE)</f>
        <v>0</v>
      </c>
      <c r="F231" s="137">
        <f>VLOOKUP(A231,'Billing Dimensions'!$A:$N,6,FALSE)-VLOOKUP(A231,'Audit Dimensions'!$A:$N,6,FALSE)</f>
        <v>-550</v>
      </c>
      <c r="G231" s="138">
        <f>VLOOKUP(A231,'Billing Dimensions'!$A:$N,7,FALSE)-VLOOKUP(A231,'Audit Dimensions'!$A:$N,7,FALSE)</f>
        <v>0</v>
      </c>
      <c r="H231" s="138">
        <f>VLOOKUP(A231,'Billing Dimensions'!$A:$N,8,FALSE)-VLOOKUP(A231,'Audit Dimensions'!$A:$N,8,FALSE)</f>
        <v>0</v>
      </c>
      <c r="I231" s="138">
        <f>VLOOKUP(A231,'Billing Dimensions'!$A:$N,9,FALSE)-VLOOKUP(A231,'Audit Dimensions'!$A:$N,9,FALSE)</f>
        <v>0</v>
      </c>
      <c r="J231" s="139">
        <f>VLOOKUP(A231,'Billing Dimensions'!$A:$N,10,FALSE)-VLOOKUP(A231,'Audit Dimensions'!$A:$N,10,FALSE)</f>
        <v>0</v>
      </c>
      <c r="K231" s="140">
        <f>VLOOKUP(A231,'Billing Dimensions'!$A:$N,11,FALSE)-VLOOKUP(A231,'Audit Dimensions'!$A:$N,11,FALSE)</f>
        <v>0</v>
      </c>
      <c r="L231" s="140">
        <f>VLOOKUP(A231,'Billing Dimensions'!$A:$N,12,FALSE)-VLOOKUP(A231,'Audit Dimensions'!$A:$N,12,FALSE)</f>
        <v>0</v>
      </c>
      <c r="M231" s="140">
        <f>VLOOKUP(A231,'Billing Dimensions'!$A:$N,13,FALSE)-VLOOKUP(A231,'Audit Dimensions'!$A:$N,13,FALSE)</f>
        <v>0</v>
      </c>
      <c r="N231" s="140">
        <f>VLOOKUP(A231,'Billing Dimensions'!$A:$N,14,FALSE)-VLOOKUP(A231,'Audit Dimensions'!$A:$N,14,FALSE)</f>
        <v>0</v>
      </c>
      <c r="O231" s="147">
        <f>VLOOKUP(A231,'Billing Dimensions'!A:Q,16,FALSE)-VLOOKUP('Audit VAR'!A231,'Audit Dimensions'!A:P,16,FALSE)</f>
        <v>-550</v>
      </c>
      <c r="P231" s="148">
        <f t="shared" si="9"/>
        <v>-0.55000000000000004</v>
      </c>
      <c r="Q231" s="151">
        <f t="shared" si="10"/>
        <v>0</v>
      </c>
      <c r="R231" s="80" t="e">
        <f t="shared" si="11"/>
        <v>#DIV/0!</v>
      </c>
    </row>
    <row r="232" spans="1:18" hidden="1">
      <c r="A232" s="132" t="s">
        <v>125</v>
      </c>
      <c r="B232" s="52" t="str">
        <f>VLOOKUP(A232,'Billing Dimensions'!A:B,2,FALSE)</f>
        <v>SB</v>
      </c>
      <c r="C232" s="136">
        <f>VLOOKUP(A232,'Billing Dimensions'!$A:$N,3,FALSE)-VLOOKUP(A232,'Audit Dimensions'!$A:$N,3,FALSE)</f>
        <v>-1</v>
      </c>
      <c r="D232" s="136">
        <f>VLOOKUP(A232,'Billing Dimensions'!$A:$N,4,FALSE)-VLOOKUP(A232,'Audit Dimensions'!$A:$N,4,FALSE)</f>
        <v>0</v>
      </c>
      <c r="E232" s="136">
        <f>VLOOKUP(A232,'Billing Dimensions'!$A:$N,5,FALSE)-VLOOKUP(A232,'Audit Dimensions'!$A:$N,5,FALSE)</f>
        <v>0</v>
      </c>
      <c r="F232" s="137">
        <f>VLOOKUP(A232,'Billing Dimensions'!$A:$N,6,FALSE)-VLOOKUP(A232,'Audit Dimensions'!$A:$N,6,FALSE)</f>
        <v>-665</v>
      </c>
      <c r="G232" s="138">
        <f>VLOOKUP(A232,'Billing Dimensions'!$A:$N,7,FALSE)-VLOOKUP(A232,'Audit Dimensions'!$A:$N,7,FALSE)</f>
        <v>0</v>
      </c>
      <c r="H232" s="138">
        <f>VLOOKUP(A232,'Billing Dimensions'!$A:$N,8,FALSE)-VLOOKUP(A232,'Audit Dimensions'!$A:$N,8,FALSE)</f>
        <v>0</v>
      </c>
      <c r="I232" s="138">
        <f>VLOOKUP(A232,'Billing Dimensions'!$A:$N,9,FALSE)-VLOOKUP(A232,'Audit Dimensions'!$A:$N,9,FALSE)</f>
        <v>0</v>
      </c>
      <c r="J232" s="139">
        <f>VLOOKUP(A232,'Billing Dimensions'!$A:$N,10,FALSE)-VLOOKUP(A232,'Audit Dimensions'!$A:$N,10,FALSE)</f>
        <v>0</v>
      </c>
      <c r="K232" s="140">
        <f>VLOOKUP(A232,'Billing Dimensions'!$A:$N,11,FALSE)-VLOOKUP(A232,'Audit Dimensions'!$A:$N,11,FALSE)</f>
        <v>0</v>
      </c>
      <c r="L232" s="140">
        <f>VLOOKUP(A232,'Billing Dimensions'!$A:$N,12,FALSE)-VLOOKUP(A232,'Audit Dimensions'!$A:$N,12,FALSE)</f>
        <v>0</v>
      </c>
      <c r="M232" s="140">
        <f>VLOOKUP(A232,'Billing Dimensions'!$A:$N,13,FALSE)-VLOOKUP(A232,'Audit Dimensions'!$A:$N,13,FALSE)</f>
        <v>0</v>
      </c>
      <c r="N232" s="140">
        <f>VLOOKUP(A232,'Billing Dimensions'!$A:$N,14,FALSE)-VLOOKUP(A232,'Audit Dimensions'!$A:$N,14,FALSE)</f>
        <v>0</v>
      </c>
      <c r="O232" s="147">
        <f>VLOOKUP(A232,'Billing Dimensions'!A:Q,16,FALSE)-VLOOKUP('Audit VAR'!A232,'Audit Dimensions'!A:P,16,FALSE)</f>
        <v>-665</v>
      </c>
      <c r="P232" s="148">
        <f t="shared" si="9"/>
        <v>-0.66500000000000004</v>
      </c>
      <c r="Q232" s="151">
        <f t="shared" si="10"/>
        <v>0</v>
      </c>
      <c r="R232" s="80" t="e">
        <f t="shared" si="11"/>
        <v>#DIV/0!</v>
      </c>
    </row>
    <row r="233" spans="1:18" hidden="1">
      <c r="A233" s="178" t="s">
        <v>260</v>
      </c>
      <c r="B233" s="52" t="str">
        <f>VLOOKUP(A233,'Billing Dimensions'!A:B,2,FALSE)</f>
        <v>SB</v>
      </c>
      <c r="C233" s="136">
        <f>VLOOKUP(A233,'Billing Dimensions'!$A:$N,3,FALSE)-VLOOKUP(A233,'Audit Dimensions'!$A:$N,3,FALSE)</f>
        <v>28</v>
      </c>
      <c r="D233" s="136">
        <f>VLOOKUP(A233,'Billing Dimensions'!$A:$N,4,FALSE)-VLOOKUP(A233,'Audit Dimensions'!$A:$N,4,FALSE)</f>
        <v>-1</v>
      </c>
      <c r="E233" s="136">
        <f>VLOOKUP(A233,'Billing Dimensions'!$A:$N,5,FALSE)-VLOOKUP(A233,'Audit Dimensions'!$A:$N,5,FALSE)</f>
        <v>-4</v>
      </c>
      <c r="F233" s="137">
        <f>VLOOKUP(A233,'Billing Dimensions'!$A:$N,6,FALSE)-VLOOKUP(A233,'Audit Dimensions'!$A:$N,6,FALSE)</f>
        <v>-17300</v>
      </c>
      <c r="G233" s="138">
        <f>VLOOKUP(A233,'Billing Dimensions'!$A:$N,7,FALSE)-VLOOKUP(A233,'Audit Dimensions'!$A:$N,7,FALSE)</f>
        <v>0</v>
      </c>
      <c r="H233" s="138">
        <f>VLOOKUP(A233,'Billing Dimensions'!$A:$N,8,FALSE)-VLOOKUP(A233,'Audit Dimensions'!$A:$N,8,FALSE)</f>
        <v>0</v>
      </c>
      <c r="I233" s="138">
        <f>VLOOKUP(A233,'Billing Dimensions'!$A:$N,9,FALSE)-VLOOKUP(A233,'Audit Dimensions'!$A:$N,9,FALSE)</f>
        <v>0</v>
      </c>
      <c r="J233" s="139">
        <f>VLOOKUP(A233,'Billing Dimensions'!$A:$N,10,FALSE)-VLOOKUP(A233,'Audit Dimensions'!$A:$N,10,FALSE)</f>
        <v>0</v>
      </c>
      <c r="K233" s="140">
        <f>VLOOKUP(A233,'Billing Dimensions'!$A:$N,11,FALSE)-VLOOKUP(A233,'Audit Dimensions'!$A:$N,11,FALSE)</f>
        <v>0</v>
      </c>
      <c r="L233" s="140">
        <f>VLOOKUP(A233,'Billing Dimensions'!$A:$N,12,FALSE)-VLOOKUP(A233,'Audit Dimensions'!$A:$N,12,FALSE)</f>
        <v>0</v>
      </c>
      <c r="M233" s="140">
        <f>VLOOKUP(A233,'Billing Dimensions'!$A:$N,13,FALSE)-VLOOKUP(A233,'Audit Dimensions'!$A:$N,13,FALSE)</f>
        <v>0</v>
      </c>
      <c r="N233" s="140">
        <f>VLOOKUP(A233,'Billing Dimensions'!$A:$N,14,FALSE)-VLOOKUP(A233,'Audit Dimensions'!$A:$N,14,FALSE)</f>
        <v>0</v>
      </c>
      <c r="O233" s="147">
        <f>VLOOKUP(A233,'Billing Dimensions'!A:Q,16,FALSE)-VLOOKUP('Audit VAR'!A233,'Audit Dimensions'!A:P,16,FALSE)</f>
        <v>-17300</v>
      </c>
      <c r="P233" s="148">
        <f t="shared" si="9"/>
        <v>-17.3</v>
      </c>
      <c r="Q233" s="151">
        <f t="shared" si="10"/>
        <v>3.9558400000000004E-3</v>
      </c>
      <c r="R233" s="80">
        <f t="shared" si="11"/>
        <v>-4373.2810224882705</v>
      </c>
    </row>
    <row r="234" spans="1:18" hidden="1">
      <c r="A234" s="178" t="s">
        <v>281</v>
      </c>
      <c r="B234" s="52" t="str">
        <f>VLOOKUP(A234,'Billing Dimensions'!A:B,2,FALSE)</f>
        <v>SB</v>
      </c>
      <c r="C234" s="136">
        <f>VLOOKUP(A234,'Billing Dimensions'!$A:$N,3,FALSE)-VLOOKUP(A234,'Audit Dimensions'!$A:$N,3,FALSE)</f>
        <v>-12</v>
      </c>
      <c r="D234" s="136">
        <f>VLOOKUP(A234,'Billing Dimensions'!$A:$N,4,FALSE)-VLOOKUP(A234,'Audit Dimensions'!$A:$N,4,FALSE)</f>
        <v>5</v>
      </c>
      <c r="E234" s="136">
        <f>VLOOKUP(A234,'Billing Dimensions'!$A:$N,5,FALSE)-VLOOKUP(A234,'Audit Dimensions'!$A:$N,5,FALSE)</f>
        <v>-3</v>
      </c>
      <c r="F234" s="137">
        <f>VLOOKUP(A234,'Billing Dimensions'!$A:$N,6,FALSE)-VLOOKUP(A234,'Audit Dimensions'!$A:$N,6,FALSE)</f>
        <v>-300</v>
      </c>
      <c r="G234" s="138">
        <f>VLOOKUP(A234,'Billing Dimensions'!$A:$N,7,FALSE)-VLOOKUP(A234,'Audit Dimensions'!$A:$N,7,FALSE)</f>
        <v>0</v>
      </c>
      <c r="H234" s="138">
        <f>VLOOKUP(A234,'Billing Dimensions'!$A:$N,8,FALSE)-VLOOKUP(A234,'Audit Dimensions'!$A:$N,8,FALSE)</f>
        <v>0</v>
      </c>
      <c r="I234" s="138">
        <f>VLOOKUP(A234,'Billing Dimensions'!$A:$N,9,FALSE)-VLOOKUP(A234,'Audit Dimensions'!$A:$N,9,FALSE)</f>
        <v>0</v>
      </c>
      <c r="J234" s="139">
        <f>VLOOKUP(A234,'Billing Dimensions'!$A:$N,10,FALSE)-VLOOKUP(A234,'Audit Dimensions'!$A:$N,10,FALSE)</f>
        <v>0</v>
      </c>
      <c r="K234" s="140">
        <f>VLOOKUP(A234,'Billing Dimensions'!$A:$N,11,FALSE)-VLOOKUP(A234,'Audit Dimensions'!$A:$N,11,FALSE)</f>
        <v>0</v>
      </c>
      <c r="L234" s="140">
        <f>VLOOKUP(A234,'Billing Dimensions'!$A:$N,12,FALSE)-VLOOKUP(A234,'Audit Dimensions'!$A:$N,12,FALSE)</f>
        <v>0</v>
      </c>
      <c r="M234" s="140">
        <f>VLOOKUP(A234,'Billing Dimensions'!$A:$N,13,FALSE)-VLOOKUP(A234,'Audit Dimensions'!$A:$N,13,FALSE)</f>
        <v>0</v>
      </c>
      <c r="N234" s="140">
        <f>VLOOKUP(A234,'Billing Dimensions'!$A:$N,14,FALSE)-VLOOKUP(A234,'Audit Dimensions'!$A:$N,14,FALSE)</f>
        <v>0</v>
      </c>
      <c r="O234" s="147">
        <f>VLOOKUP(A234,'Billing Dimensions'!A:Q,16,FALSE)-VLOOKUP('Audit VAR'!A234,'Audit Dimensions'!A:P,16,FALSE)</f>
        <v>-300</v>
      </c>
      <c r="P234" s="148">
        <f t="shared" si="9"/>
        <v>-0.3</v>
      </c>
      <c r="Q234" s="151">
        <f t="shared" si="10"/>
        <v>6.3576000000000006E-3</v>
      </c>
      <c r="R234" s="80">
        <f t="shared" si="11"/>
        <v>-47.187617969044915</v>
      </c>
    </row>
    <row r="235" spans="1:18" hidden="1">
      <c r="A235" s="178" t="s">
        <v>374</v>
      </c>
      <c r="B235" s="52" t="e">
        <f>VLOOKUP(A235,'Billing Dimensions'!A:B,2,FALSE)</f>
        <v>#N/A</v>
      </c>
      <c r="C235" s="136" t="e">
        <f>VLOOKUP(A235,'Billing Dimensions'!$A:$N,3,FALSE)-VLOOKUP(A235,'Audit Dimensions'!$A:$N,3,FALSE)</f>
        <v>#N/A</v>
      </c>
      <c r="D235" s="136" t="e">
        <f>VLOOKUP(A235,'Billing Dimensions'!$A:$N,4,FALSE)-VLOOKUP(A235,'Audit Dimensions'!$A:$N,4,FALSE)</f>
        <v>#N/A</v>
      </c>
      <c r="E235" s="136" t="e">
        <f>VLOOKUP(A235,'Billing Dimensions'!$A:$N,5,FALSE)-VLOOKUP(A235,'Audit Dimensions'!$A:$N,5,FALSE)</f>
        <v>#N/A</v>
      </c>
      <c r="F235" s="137" t="e">
        <f>VLOOKUP(A235,'Billing Dimensions'!$A:$N,6,FALSE)-VLOOKUP(A235,'Audit Dimensions'!$A:$N,6,FALSE)</f>
        <v>#N/A</v>
      </c>
      <c r="G235" s="138" t="e">
        <f>VLOOKUP(A235,'Billing Dimensions'!$A:$N,7,FALSE)-VLOOKUP(A235,'Audit Dimensions'!$A:$N,7,FALSE)</f>
        <v>#N/A</v>
      </c>
      <c r="H235" s="138" t="e">
        <f>VLOOKUP(A235,'Billing Dimensions'!$A:$N,8,FALSE)-VLOOKUP(A235,'Audit Dimensions'!$A:$N,8,FALSE)</f>
        <v>#N/A</v>
      </c>
      <c r="I235" s="138" t="e">
        <f>VLOOKUP(A235,'Billing Dimensions'!$A:$N,9,FALSE)-VLOOKUP(A235,'Audit Dimensions'!$A:$N,9,FALSE)</f>
        <v>#N/A</v>
      </c>
      <c r="J235" s="139" t="e">
        <f>VLOOKUP(A235,'Billing Dimensions'!$A:$N,10,FALSE)-VLOOKUP(A235,'Audit Dimensions'!$A:$N,10,FALSE)</f>
        <v>#N/A</v>
      </c>
      <c r="K235" s="140" t="e">
        <f>VLOOKUP(A235,'Billing Dimensions'!$A:$N,11,FALSE)-VLOOKUP(A235,'Audit Dimensions'!$A:$N,11,FALSE)</f>
        <v>#N/A</v>
      </c>
      <c r="L235" s="140" t="e">
        <f>VLOOKUP(A235,'Billing Dimensions'!$A:$N,12,FALSE)-VLOOKUP(A235,'Audit Dimensions'!$A:$N,12,FALSE)</f>
        <v>#N/A</v>
      </c>
      <c r="M235" s="140" t="e">
        <f>VLOOKUP(A235,'Billing Dimensions'!$A:$N,13,FALSE)-VLOOKUP(A235,'Audit Dimensions'!$A:$N,13,FALSE)</f>
        <v>#N/A</v>
      </c>
      <c r="N235" s="140" t="e">
        <f>VLOOKUP(A235,'Billing Dimensions'!$A:$N,14,FALSE)-VLOOKUP(A235,'Audit Dimensions'!$A:$N,14,FALSE)</f>
        <v>#N/A</v>
      </c>
      <c r="O235" s="147" t="e">
        <f>VLOOKUP(A235,'Billing Dimensions'!A:Q,16,FALSE)-VLOOKUP('Audit VAR'!A235,'Audit Dimensions'!A:P,16,FALSE)</f>
        <v>#N/A</v>
      </c>
      <c r="P235" s="148" t="e">
        <f t="shared" si="9"/>
        <v>#N/A</v>
      </c>
      <c r="Q235" s="151" t="e">
        <f t="shared" si="10"/>
        <v>#N/A</v>
      </c>
      <c r="R235" s="80" t="e">
        <f t="shared" si="11"/>
        <v>#N/A</v>
      </c>
    </row>
    <row r="236" spans="1:18" hidden="1">
      <c r="A236" s="178" t="s">
        <v>288</v>
      </c>
      <c r="B236" s="52" t="str">
        <f>VLOOKUP(A236,'Billing Dimensions'!A:B,2,FALSE)</f>
        <v>SB</v>
      </c>
      <c r="C236" s="136">
        <f>VLOOKUP(A236,'Billing Dimensions'!$A:$N,3,FALSE)-VLOOKUP(A236,'Audit Dimensions'!$A:$N,3,FALSE)</f>
        <v>1</v>
      </c>
      <c r="D236" s="136">
        <f>VLOOKUP(A236,'Billing Dimensions'!$A:$N,4,FALSE)-VLOOKUP(A236,'Audit Dimensions'!$A:$N,4,FALSE)</f>
        <v>-1</v>
      </c>
      <c r="E236" s="136">
        <f>VLOOKUP(A236,'Billing Dimensions'!$A:$N,5,FALSE)-VLOOKUP(A236,'Audit Dimensions'!$A:$N,5,FALSE)</f>
        <v>1</v>
      </c>
      <c r="F236" s="137">
        <f>VLOOKUP(A236,'Billing Dimensions'!$A:$N,6,FALSE)-VLOOKUP(A236,'Audit Dimensions'!$A:$N,6,FALSE)</f>
        <v>-1945</v>
      </c>
      <c r="G236" s="138">
        <f>VLOOKUP(A236,'Billing Dimensions'!$A:$N,7,FALSE)-VLOOKUP(A236,'Audit Dimensions'!$A:$N,7,FALSE)</f>
        <v>0</v>
      </c>
      <c r="H236" s="138">
        <f>VLOOKUP(A236,'Billing Dimensions'!$A:$N,8,FALSE)-VLOOKUP(A236,'Audit Dimensions'!$A:$N,8,FALSE)</f>
        <v>0</v>
      </c>
      <c r="I236" s="138">
        <f>VLOOKUP(A236,'Billing Dimensions'!$A:$N,9,FALSE)-VLOOKUP(A236,'Audit Dimensions'!$A:$N,9,FALSE)</f>
        <v>0</v>
      </c>
      <c r="J236" s="139">
        <f>VLOOKUP(A236,'Billing Dimensions'!$A:$N,10,FALSE)-VLOOKUP(A236,'Audit Dimensions'!$A:$N,10,FALSE)</f>
        <v>0</v>
      </c>
      <c r="K236" s="140">
        <f>VLOOKUP(A236,'Billing Dimensions'!$A:$N,11,FALSE)-VLOOKUP(A236,'Audit Dimensions'!$A:$N,11,FALSE)</f>
        <v>0</v>
      </c>
      <c r="L236" s="140">
        <f>VLOOKUP(A236,'Billing Dimensions'!$A:$N,12,FALSE)-VLOOKUP(A236,'Audit Dimensions'!$A:$N,12,FALSE)</f>
        <v>0</v>
      </c>
      <c r="M236" s="140">
        <f>VLOOKUP(A236,'Billing Dimensions'!$A:$N,13,FALSE)-VLOOKUP(A236,'Audit Dimensions'!$A:$N,13,FALSE)</f>
        <v>0</v>
      </c>
      <c r="N236" s="140">
        <f>VLOOKUP(A236,'Billing Dimensions'!$A:$N,14,FALSE)-VLOOKUP(A236,'Audit Dimensions'!$A:$N,14,FALSE)</f>
        <v>0</v>
      </c>
      <c r="O236" s="147">
        <f>VLOOKUP(A236,'Billing Dimensions'!A:Q,16,FALSE)-VLOOKUP('Audit VAR'!A236,'Audit Dimensions'!A:P,16,FALSE)</f>
        <v>-1945</v>
      </c>
      <c r="P236" s="148">
        <f t="shared" si="9"/>
        <v>-1.9450000000000001</v>
      </c>
      <c r="Q236" s="151">
        <f t="shared" si="10"/>
        <v>-3.5320000000000001E-5</v>
      </c>
      <c r="R236" s="80">
        <f t="shared" si="11"/>
        <v>55067.950169875425</v>
      </c>
    </row>
    <row r="237" spans="1:18" hidden="1">
      <c r="A237" s="132" t="s">
        <v>290</v>
      </c>
      <c r="B237" s="52" t="str">
        <f>VLOOKUP(A237,'Billing Dimensions'!A:B,2,FALSE)</f>
        <v>SB</v>
      </c>
      <c r="C237" s="136" t="e">
        <f>VLOOKUP(A237,'Billing Dimensions'!$A:$N,3,FALSE)-VLOOKUP(A237,'Audit Dimensions'!$A:$N,3,FALSE)</f>
        <v>#N/A</v>
      </c>
      <c r="D237" s="136" t="e">
        <f>VLOOKUP(A237,'Billing Dimensions'!$A:$N,4,FALSE)-VLOOKUP(A237,'Audit Dimensions'!$A:$N,4,FALSE)</f>
        <v>#N/A</v>
      </c>
      <c r="E237" s="136" t="e">
        <f>VLOOKUP(A237,'Billing Dimensions'!$A:$N,5,FALSE)-VLOOKUP(A237,'Audit Dimensions'!$A:$N,5,FALSE)</f>
        <v>#N/A</v>
      </c>
      <c r="F237" s="137" t="e">
        <f>VLOOKUP(A237,'Billing Dimensions'!$A:$N,6,FALSE)-VLOOKUP(A237,'Audit Dimensions'!$A:$N,6,FALSE)</f>
        <v>#N/A</v>
      </c>
      <c r="G237" s="138" t="e">
        <f>VLOOKUP(A237,'Billing Dimensions'!$A:$N,7,FALSE)-VLOOKUP(A237,'Audit Dimensions'!$A:$N,7,FALSE)</f>
        <v>#N/A</v>
      </c>
      <c r="H237" s="138" t="e">
        <f>VLOOKUP(A237,'Billing Dimensions'!$A:$N,8,FALSE)-VLOOKUP(A237,'Audit Dimensions'!$A:$N,8,FALSE)</f>
        <v>#N/A</v>
      </c>
      <c r="I237" s="138" t="e">
        <f>VLOOKUP(A237,'Billing Dimensions'!$A:$N,9,FALSE)-VLOOKUP(A237,'Audit Dimensions'!$A:$N,9,FALSE)</f>
        <v>#N/A</v>
      </c>
      <c r="J237" s="139" t="e">
        <f>VLOOKUP(A237,'Billing Dimensions'!$A:$N,10,FALSE)-VLOOKUP(A237,'Audit Dimensions'!$A:$N,10,FALSE)</f>
        <v>#N/A</v>
      </c>
      <c r="K237" s="140" t="e">
        <f>VLOOKUP(A237,'Billing Dimensions'!$A:$N,11,FALSE)-VLOOKUP(A237,'Audit Dimensions'!$A:$N,11,FALSE)</f>
        <v>#N/A</v>
      </c>
      <c r="L237" s="140" t="e">
        <f>VLOOKUP(A237,'Billing Dimensions'!$A:$N,12,FALSE)-VLOOKUP(A237,'Audit Dimensions'!$A:$N,12,FALSE)</f>
        <v>#N/A</v>
      </c>
      <c r="M237" s="140" t="e">
        <f>VLOOKUP(A237,'Billing Dimensions'!$A:$N,13,FALSE)-VLOOKUP(A237,'Audit Dimensions'!$A:$N,13,FALSE)</f>
        <v>#N/A</v>
      </c>
      <c r="N237" s="140" t="e">
        <f>VLOOKUP(A237,'Billing Dimensions'!$A:$N,14,FALSE)-VLOOKUP(A237,'Audit Dimensions'!$A:$N,14,FALSE)</f>
        <v>#N/A</v>
      </c>
      <c r="O237" s="147" t="e">
        <f>VLOOKUP(A237,'Billing Dimensions'!A:Q,16,FALSE)-VLOOKUP('Audit VAR'!A237,'Audit Dimensions'!A:P,16,FALSE)</f>
        <v>#N/A</v>
      </c>
      <c r="P237" s="148" t="e">
        <f t="shared" si="9"/>
        <v>#N/A</v>
      </c>
      <c r="Q237" s="151" t="e">
        <f t="shared" si="10"/>
        <v>#N/A</v>
      </c>
      <c r="R237" s="80" t="e">
        <f t="shared" si="11"/>
        <v>#N/A</v>
      </c>
    </row>
    <row r="238" spans="1:18" hidden="1">
      <c r="A238" s="132" t="s">
        <v>393</v>
      </c>
      <c r="B238" s="52" t="e">
        <f>VLOOKUP(A238,'Billing Dimensions'!A:B,2,FALSE)</f>
        <v>#N/A</v>
      </c>
      <c r="C238" s="136" t="e">
        <f>VLOOKUP(A238,'Billing Dimensions'!$A:$N,3,FALSE)-VLOOKUP(A238,'Audit Dimensions'!$A:$N,3,FALSE)</f>
        <v>#N/A</v>
      </c>
      <c r="D238" s="136" t="e">
        <f>VLOOKUP(A238,'Billing Dimensions'!$A:$N,4,FALSE)-VLOOKUP(A238,'Audit Dimensions'!$A:$N,4,FALSE)</f>
        <v>#N/A</v>
      </c>
      <c r="E238" s="136" t="e">
        <f>VLOOKUP(A238,'Billing Dimensions'!$A:$N,5,FALSE)-VLOOKUP(A238,'Audit Dimensions'!$A:$N,5,FALSE)</f>
        <v>#N/A</v>
      </c>
      <c r="F238" s="137" t="e">
        <f>VLOOKUP(A238,'Billing Dimensions'!$A:$N,6,FALSE)-VLOOKUP(A238,'Audit Dimensions'!$A:$N,6,FALSE)</f>
        <v>#N/A</v>
      </c>
      <c r="G238" s="138" t="e">
        <f>VLOOKUP(A238,'Billing Dimensions'!$A:$N,7,FALSE)-VLOOKUP(A238,'Audit Dimensions'!$A:$N,7,FALSE)</f>
        <v>#N/A</v>
      </c>
      <c r="H238" s="138" t="e">
        <f>VLOOKUP(A238,'Billing Dimensions'!$A:$N,8,FALSE)-VLOOKUP(A238,'Audit Dimensions'!$A:$N,8,FALSE)</f>
        <v>#N/A</v>
      </c>
      <c r="I238" s="138" t="e">
        <f>VLOOKUP(A238,'Billing Dimensions'!$A:$N,9,FALSE)-VLOOKUP(A238,'Audit Dimensions'!$A:$N,9,FALSE)</f>
        <v>#N/A</v>
      </c>
      <c r="J238" s="139" t="e">
        <f>VLOOKUP(A238,'Billing Dimensions'!$A:$N,10,FALSE)-VLOOKUP(A238,'Audit Dimensions'!$A:$N,10,FALSE)</f>
        <v>#N/A</v>
      </c>
      <c r="K238" s="140" t="e">
        <f>VLOOKUP(A238,'Billing Dimensions'!$A:$N,11,FALSE)-VLOOKUP(A238,'Audit Dimensions'!$A:$N,11,FALSE)</f>
        <v>#N/A</v>
      </c>
      <c r="L238" s="140" t="e">
        <f>VLOOKUP(A238,'Billing Dimensions'!$A:$N,12,FALSE)-VLOOKUP(A238,'Audit Dimensions'!$A:$N,12,FALSE)</f>
        <v>#N/A</v>
      </c>
      <c r="M238" s="140" t="e">
        <f>VLOOKUP(A238,'Billing Dimensions'!$A:$N,13,FALSE)-VLOOKUP(A238,'Audit Dimensions'!$A:$N,13,FALSE)</f>
        <v>#N/A</v>
      </c>
      <c r="N238" s="140" t="e">
        <f>VLOOKUP(A238,'Billing Dimensions'!$A:$N,14,FALSE)-VLOOKUP(A238,'Audit Dimensions'!$A:$N,14,FALSE)</f>
        <v>#N/A</v>
      </c>
      <c r="O238" s="147" t="e">
        <f>VLOOKUP(A238,'Billing Dimensions'!A:Q,16,FALSE)-VLOOKUP('Audit VAR'!A238,'Audit Dimensions'!A:P,16,FALSE)</f>
        <v>#N/A</v>
      </c>
      <c r="P238" s="148" t="e">
        <f t="shared" si="9"/>
        <v>#N/A</v>
      </c>
      <c r="Q238" s="151" t="e">
        <f t="shared" si="10"/>
        <v>#N/A</v>
      </c>
      <c r="R238" s="80" t="e">
        <f t="shared" si="11"/>
        <v>#N/A</v>
      </c>
    </row>
    <row r="239" spans="1:18" ht="15" hidden="1">
      <c r="A239" s="129" t="s">
        <v>190</v>
      </c>
      <c r="B239" s="52" t="str">
        <f>VLOOKUP(A239,'Billing Dimensions'!A:B,2,FALSE)</f>
        <v>SB</v>
      </c>
      <c r="C239" s="136">
        <f>VLOOKUP(A239,'Billing Dimensions'!$A:$N,3,FALSE)-VLOOKUP(A239,'Audit Dimensions'!$A:$N,3,FALSE)</f>
        <v>-1</v>
      </c>
      <c r="D239" s="136">
        <f>VLOOKUP(A239,'Billing Dimensions'!$A:$N,4,FALSE)-VLOOKUP(A239,'Audit Dimensions'!$A:$N,4,FALSE)</f>
        <v>2</v>
      </c>
      <c r="E239" s="136">
        <f>VLOOKUP(A239,'Billing Dimensions'!$A:$N,5,FALSE)-VLOOKUP(A239,'Audit Dimensions'!$A:$N,5,FALSE)</f>
        <v>0</v>
      </c>
      <c r="F239" s="137">
        <f>VLOOKUP(A239,'Billing Dimensions'!$A:$N,6,FALSE)-VLOOKUP(A239,'Audit Dimensions'!$A:$N,6,FALSE)</f>
        <v>-650</v>
      </c>
      <c r="G239" s="138">
        <f>VLOOKUP(A239,'Billing Dimensions'!$A:$N,7,FALSE)-VLOOKUP(A239,'Audit Dimensions'!$A:$N,7,FALSE)</f>
        <v>0</v>
      </c>
      <c r="H239" s="138">
        <f>VLOOKUP(A239,'Billing Dimensions'!$A:$N,8,FALSE)-VLOOKUP(A239,'Audit Dimensions'!$A:$N,8,FALSE)</f>
        <v>0</v>
      </c>
      <c r="I239" s="138">
        <f>VLOOKUP(A239,'Billing Dimensions'!$A:$N,9,FALSE)-VLOOKUP(A239,'Audit Dimensions'!$A:$N,9,FALSE)</f>
        <v>0</v>
      </c>
      <c r="J239" s="139">
        <f>VLOOKUP(A239,'Billing Dimensions'!$A:$N,10,FALSE)-VLOOKUP(A239,'Audit Dimensions'!$A:$N,10,FALSE)</f>
        <v>0</v>
      </c>
      <c r="K239" s="140">
        <f>VLOOKUP(A239,'Billing Dimensions'!$A:$N,11,FALSE)-VLOOKUP(A239,'Audit Dimensions'!$A:$N,11,FALSE)</f>
        <v>0</v>
      </c>
      <c r="L239" s="140">
        <f>VLOOKUP(A239,'Billing Dimensions'!$A:$N,12,FALSE)-VLOOKUP(A239,'Audit Dimensions'!$A:$N,12,FALSE)</f>
        <v>0</v>
      </c>
      <c r="M239" s="140">
        <f>VLOOKUP(A239,'Billing Dimensions'!$A:$N,13,FALSE)-VLOOKUP(A239,'Audit Dimensions'!$A:$N,13,FALSE)</f>
        <v>0</v>
      </c>
      <c r="N239" s="140">
        <f>VLOOKUP(A239,'Billing Dimensions'!$A:$N,14,FALSE)-VLOOKUP(A239,'Audit Dimensions'!$A:$N,14,FALSE)</f>
        <v>0</v>
      </c>
      <c r="O239" s="147">
        <f>VLOOKUP(A239,'Billing Dimensions'!A:Q,16,FALSE)-VLOOKUP('Audit VAR'!A239,'Audit Dimensions'!A:P,16,FALSE)</f>
        <v>-650</v>
      </c>
      <c r="P239" s="148">
        <f t="shared" si="9"/>
        <v>-0.65</v>
      </c>
      <c r="Q239" s="151">
        <f t="shared" si="10"/>
        <v>0</v>
      </c>
      <c r="R239" s="80" t="e">
        <f t="shared" si="11"/>
        <v>#DIV/0!</v>
      </c>
    </row>
    <row r="240" spans="1:18" ht="15" hidden="1">
      <c r="A240" s="129" t="s">
        <v>236</v>
      </c>
      <c r="B240" s="52" t="str">
        <f>VLOOKUP(A240,'Billing Dimensions'!A:B,2,FALSE)</f>
        <v>SB</v>
      </c>
      <c r="C240" s="136">
        <f>VLOOKUP(A240,'Billing Dimensions'!$A:$N,3,FALSE)-VLOOKUP(A240,'Audit Dimensions'!$A:$N,3,FALSE)</f>
        <v>1</v>
      </c>
      <c r="D240" s="136">
        <f>VLOOKUP(A240,'Billing Dimensions'!$A:$N,4,FALSE)-VLOOKUP(A240,'Audit Dimensions'!$A:$N,4,FALSE)</f>
        <v>-1</v>
      </c>
      <c r="E240" s="136">
        <f>VLOOKUP(A240,'Billing Dimensions'!$A:$N,5,FALSE)-VLOOKUP(A240,'Audit Dimensions'!$A:$N,5,FALSE)</f>
        <v>1</v>
      </c>
      <c r="F240" s="137">
        <f>VLOOKUP(A240,'Billing Dimensions'!$A:$N,6,FALSE)-VLOOKUP(A240,'Audit Dimensions'!$A:$N,6,FALSE)</f>
        <v>-500</v>
      </c>
      <c r="G240" s="138">
        <f>VLOOKUP(A240,'Billing Dimensions'!$A:$N,7,FALSE)-VLOOKUP(A240,'Audit Dimensions'!$A:$N,7,FALSE)</f>
        <v>0</v>
      </c>
      <c r="H240" s="138">
        <f>VLOOKUP(A240,'Billing Dimensions'!$A:$N,8,FALSE)-VLOOKUP(A240,'Audit Dimensions'!$A:$N,8,FALSE)</f>
        <v>0</v>
      </c>
      <c r="I240" s="138">
        <f>VLOOKUP(A240,'Billing Dimensions'!$A:$N,9,FALSE)-VLOOKUP(A240,'Audit Dimensions'!$A:$N,9,FALSE)</f>
        <v>0</v>
      </c>
      <c r="J240" s="139">
        <f>VLOOKUP(A240,'Billing Dimensions'!$A:$N,10,FALSE)-VLOOKUP(A240,'Audit Dimensions'!$A:$N,10,FALSE)</f>
        <v>0</v>
      </c>
      <c r="K240" s="140">
        <f>VLOOKUP(A240,'Billing Dimensions'!$A:$N,11,FALSE)-VLOOKUP(A240,'Audit Dimensions'!$A:$N,11,FALSE)</f>
        <v>0</v>
      </c>
      <c r="L240" s="140">
        <f>VLOOKUP(A240,'Billing Dimensions'!$A:$N,12,FALSE)-VLOOKUP(A240,'Audit Dimensions'!$A:$N,12,FALSE)</f>
        <v>0</v>
      </c>
      <c r="M240" s="140">
        <f>VLOOKUP(A240,'Billing Dimensions'!$A:$N,13,FALSE)-VLOOKUP(A240,'Audit Dimensions'!$A:$N,13,FALSE)</f>
        <v>0</v>
      </c>
      <c r="N240" s="140">
        <f>VLOOKUP(A240,'Billing Dimensions'!$A:$N,14,FALSE)-VLOOKUP(A240,'Audit Dimensions'!$A:$N,14,FALSE)</f>
        <v>0</v>
      </c>
      <c r="O240" s="147">
        <f>VLOOKUP(A240,'Billing Dimensions'!A:Q,16,FALSE)-VLOOKUP('Audit VAR'!A240,'Audit Dimensions'!A:P,16,FALSE)</f>
        <v>-500</v>
      </c>
      <c r="P240" s="148">
        <f t="shared" si="9"/>
        <v>-0.5</v>
      </c>
      <c r="Q240" s="151">
        <f t="shared" si="10"/>
        <v>-3.5320000000000001E-5</v>
      </c>
      <c r="R240" s="80">
        <f t="shared" si="11"/>
        <v>14156.285390713476</v>
      </c>
    </row>
    <row r="241" spans="1:18" ht="15" hidden="1">
      <c r="A241" s="129" t="s">
        <v>198</v>
      </c>
      <c r="B241" s="52" t="str">
        <f>VLOOKUP(A241,'Billing Dimensions'!A:B,2,FALSE)</f>
        <v>SB</v>
      </c>
      <c r="C241" s="136">
        <f>VLOOKUP(A241,'Billing Dimensions'!$A:$N,3,FALSE)-VLOOKUP(A241,'Audit Dimensions'!$A:$N,3,FALSE)</f>
        <v>-3</v>
      </c>
      <c r="D241" s="136">
        <f>VLOOKUP(A241,'Billing Dimensions'!$A:$N,4,FALSE)-VLOOKUP(A241,'Audit Dimensions'!$A:$N,4,FALSE)</f>
        <v>9</v>
      </c>
      <c r="E241" s="136">
        <f>VLOOKUP(A241,'Billing Dimensions'!$A:$N,5,FALSE)-VLOOKUP(A241,'Audit Dimensions'!$A:$N,5,FALSE)</f>
        <v>0</v>
      </c>
      <c r="F241" s="137">
        <f>VLOOKUP(A241,'Billing Dimensions'!$A:$N,6,FALSE)-VLOOKUP(A241,'Audit Dimensions'!$A:$N,6,FALSE)</f>
        <v>1920</v>
      </c>
      <c r="G241" s="138">
        <f>VLOOKUP(A241,'Billing Dimensions'!$A:$N,7,FALSE)-VLOOKUP(A241,'Audit Dimensions'!$A:$N,7,FALSE)</f>
        <v>0</v>
      </c>
      <c r="H241" s="138">
        <f>VLOOKUP(A241,'Billing Dimensions'!$A:$N,8,FALSE)-VLOOKUP(A241,'Audit Dimensions'!$A:$N,8,FALSE)</f>
        <v>0</v>
      </c>
      <c r="I241" s="138">
        <f>VLOOKUP(A241,'Billing Dimensions'!$A:$N,9,FALSE)-VLOOKUP(A241,'Audit Dimensions'!$A:$N,9,FALSE)</f>
        <v>0</v>
      </c>
      <c r="J241" s="139">
        <f>VLOOKUP(A241,'Billing Dimensions'!$A:$N,10,FALSE)-VLOOKUP(A241,'Audit Dimensions'!$A:$N,10,FALSE)</f>
        <v>0</v>
      </c>
      <c r="K241" s="140">
        <f>VLOOKUP(A241,'Billing Dimensions'!$A:$N,11,FALSE)-VLOOKUP(A241,'Audit Dimensions'!$A:$N,11,FALSE)</f>
        <v>0</v>
      </c>
      <c r="L241" s="140">
        <f>VLOOKUP(A241,'Billing Dimensions'!$A:$N,12,FALSE)-VLOOKUP(A241,'Audit Dimensions'!$A:$N,12,FALSE)</f>
        <v>0</v>
      </c>
      <c r="M241" s="140">
        <f>VLOOKUP(A241,'Billing Dimensions'!$A:$N,13,FALSE)-VLOOKUP(A241,'Audit Dimensions'!$A:$N,13,FALSE)</f>
        <v>0</v>
      </c>
      <c r="N241" s="140">
        <f>VLOOKUP(A241,'Billing Dimensions'!$A:$N,14,FALSE)-VLOOKUP(A241,'Audit Dimensions'!$A:$N,14,FALSE)</f>
        <v>0</v>
      </c>
      <c r="O241" s="147">
        <f>VLOOKUP(A241,'Billing Dimensions'!A:Q,16,FALSE)-VLOOKUP('Audit VAR'!A241,'Audit Dimensions'!A:P,16,FALSE)</f>
        <v>1920</v>
      </c>
      <c r="P241" s="148">
        <f t="shared" si="9"/>
        <v>1.92</v>
      </c>
      <c r="Q241" s="151">
        <f t="shared" si="10"/>
        <v>0</v>
      </c>
      <c r="R241" s="80" t="e">
        <f t="shared" si="11"/>
        <v>#DIV/0!</v>
      </c>
    </row>
    <row r="242" spans="1:18" ht="15" hidden="1">
      <c r="A242" s="129" t="s">
        <v>72</v>
      </c>
      <c r="B242" s="52" t="str">
        <f>VLOOKUP(A242,'Billing Dimensions'!A:B,2,FALSE)</f>
        <v>SB</v>
      </c>
      <c r="C242" s="136">
        <f>VLOOKUP(A242,'Billing Dimensions'!$A:$N,3,FALSE)-VLOOKUP(A242,'Audit Dimensions'!$A:$N,3,FALSE)</f>
        <v>-2</v>
      </c>
      <c r="D242" s="136">
        <f>VLOOKUP(A242,'Billing Dimensions'!$A:$N,4,FALSE)-VLOOKUP(A242,'Audit Dimensions'!$A:$N,4,FALSE)</f>
        <v>0</v>
      </c>
      <c r="E242" s="136">
        <f>VLOOKUP(A242,'Billing Dimensions'!$A:$N,5,FALSE)-VLOOKUP(A242,'Audit Dimensions'!$A:$N,5,FALSE)</f>
        <v>2</v>
      </c>
      <c r="F242" s="137">
        <f>VLOOKUP(A242,'Billing Dimensions'!$A:$N,6,FALSE)-VLOOKUP(A242,'Audit Dimensions'!$A:$N,6,FALSE)</f>
        <v>-200</v>
      </c>
      <c r="G242" s="138">
        <f>VLOOKUP(A242,'Billing Dimensions'!$A:$N,7,FALSE)-VLOOKUP(A242,'Audit Dimensions'!$A:$N,7,FALSE)</f>
        <v>0</v>
      </c>
      <c r="H242" s="138">
        <f>VLOOKUP(A242,'Billing Dimensions'!$A:$N,8,FALSE)-VLOOKUP(A242,'Audit Dimensions'!$A:$N,8,FALSE)</f>
        <v>0</v>
      </c>
      <c r="I242" s="138">
        <f>VLOOKUP(A242,'Billing Dimensions'!$A:$N,9,FALSE)-VLOOKUP(A242,'Audit Dimensions'!$A:$N,9,FALSE)</f>
        <v>0</v>
      </c>
      <c r="J242" s="139">
        <f>VLOOKUP(A242,'Billing Dimensions'!$A:$N,10,FALSE)-VLOOKUP(A242,'Audit Dimensions'!$A:$N,10,FALSE)</f>
        <v>0</v>
      </c>
      <c r="K242" s="140">
        <f>VLOOKUP(A242,'Billing Dimensions'!$A:$N,11,FALSE)-VLOOKUP(A242,'Audit Dimensions'!$A:$N,11,FALSE)</f>
        <v>0</v>
      </c>
      <c r="L242" s="140">
        <f>VLOOKUP(A242,'Billing Dimensions'!$A:$N,12,FALSE)-VLOOKUP(A242,'Audit Dimensions'!$A:$N,12,FALSE)</f>
        <v>0</v>
      </c>
      <c r="M242" s="140">
        <f>VLOOKUP(A242,'Billing Dimensions'!$A:$N,13,FALSE)-VLOOKUP(A242,'Audit Dimensions'!$A:$N,13,FALSE)</f>
        <v>0</v>
      </c>
      <c r="N242" s="140">
        <f>VLOOKUP(A242,'Billing Dimensions'!$A:$N,14,FALSE)-VLOOKUP(A242,'Audit Dimensions'!$A:$N,14,FALSE)</f>
        <v>0</v>
      </c>
      <c r="O242" s="147">
        <f>VLOOKUP(A242,'Billing Dimensions'!A:Q,16,FALSE)-VLOOKUP('Audit VAR'!A242,'Audit Dimensions'!A:P,16,FALSE)</f>
        <v>-200</v>
      </c>
      <c r="P242" s="148">
        <f t="shared" si="9"/>
        <v>-0.2</v>
      </c>
      <c r="Q242" s="151">
        <f t="shared" si="10"/>
        <v>0</v>
      </c>
      <c r="R242" s="80" t="e">
        <f t="shared" si="11"/>
        <v>#DIV/0!</v>
      </c>
    </row>
    <row r="243" spans="1:18" ht="15" hidden="1">
      <c r="A243" s="129" t="s">
        <v>394</v>
      </c>
      <c r="B243" s="52" t="e">
        <f>VLOOKUP(A243,'Billing Dimensions'!A:B,2,FALSE)</f>
        <v>#N/A</v>
      </c>
      <c r="C243" s="136" t="e">
        <f>VLOOKUP(A243,'Billing Dimensions'!$A:$N,3,FALSE)-VLOOKUP(A243,'Audit Dimensions'!$A:$N,3,FALSE)</f>
        <v>#N/A</v>
      </c>
      <c r="D243" s="136" t="e">
        <f>VLOOKUP(A243,'Billing Dimensions'!$A:$N,4,FALSE)-VLOOKUP(A243,'Audit Dimensions'!$A:$N,4,FALSE)</f>
        <v>#N/A</v>
      </c>
      <c r="E243" s="136" t="e">
        <f>VLOOKUP(A243,'Billing Dimensions'!$A:$N,5,FALSE)-VLOOKUP(A243,'Audit Dimensions'!$A:$N,5,FALSE)</f>
        <v>#N/A</v>
      </c>
      <c r="F243" s="137" t="e">
        <f>VLOOKUP(A243,'Billing Dimensions'!$A:$N,6,FALSE)-VLOOKUP(A243,'Audit Dimensions'!$A:$N,6,FALSE)</f>
        <v>#N/A</v>
      </c>
      <c r="G243" s="138" t="e">
        <f>VLOOKUP(A243,'Billing Dimensions'!$A:$N,7,FALSE)-VLOOKUP(A243,'Audit Dimensions'!$A:$N,7,FALSE)</f>
        <v>#N/A</v>
      </c>
      <c r="H243" s="138" t="e">
        <f>VLOOKUP(A243,'Billing Dimensions'!$A:$N,8,FALSE)-VLOOKUP(A243,'Audit Dimensions'!$A:$N,8,FALSE)</f>
        <v>#N/A</v>
      </c>
      <c r="I243" s="138" t="e">
        <f>VLOOKUP(A243,'Billing Dimensions'!$A:$N,9,FALSE)-VLOOKUP(A243,'Audit Dimensions'!$A:$N,9,FALSE)</f>
        <v>#N/A</v>
      </c>
      <c r="J243" s="139" t="e">
        <f>VLOOKUP(A243,'Billing Dimensions'!$A:$N,10,FALSE)-VLOOKUP(A243,'Audit Dimensions'!$A:$N,10,FALSE)</f>
        <v>#N/A</v>
      </c>
      <c r="K243" s="140" t="e">
        <f>VLOOKUP(A243,'Billing Dimensions'!$A:$N,11,FALSE)-VLOOKUP(A243,'Audit Dimensions'!$A:$N,11,FALSE)</f>
        <v>#N/A</v>
      </c>
      <c r="L243" s="140" t="e">
        <f>VLOOKUP(A243,'Billing Dimensions'!$A:$N,12,FALSE)-VLOOKUP(A243,'Audit Dimensions'!$A:$N,12,FALSE)</f>
        <v>#N/A</v>
      </c>
      <c r="M243" s="140" t="e">
        <f>VLOOKUP(A243,'Billing Dimensions'!$A:$N,13,FALSE)-VLOOKUP(A243,'Audit Dimensions'!$A:$N,13,FALSE)</f>
        <v>#N/A</v>
      </c>
      <c r="N243" s="140" t="e">
        <f>VLOOKUP(A243,'Billing Dimensions'!$A:$N,14,FALSE)-VLOOKUP(A243,'Audit Dimensions'!$A:$N,14,FALSE)</f>
        <v>#N/A</v>
      </c>
      <c r="O243" s="147" t="e">
        <f>VLOOKUP(A243,'Billing Dimensions'!A:Q,16,FALSE)-VLOOKUP('Audit VAR'!A243,'Audit Dimensions'!A:P,16,FALSE)</f>
        <v>#N/A</v>
      </c>
      <c r="P243" s="148" t="e">
        <f t="shared" si="9"/>
        <v>#N/A</v>
      </c>
      <c r="Q243" s="151" t="e">
        <f t="shared" si="10"/>
        <v>#N/A</v>
      </c>
      <c r="R243" s="80" t="e">
        <f t="shared" si="11"/>
        <v>#N/A</v>
      </c>
    </row>
    <row r="244" spans="1:18" ht="15" hidden="1">
      <c r="A244" s="129" t="s">
        <v>196</v>
      </c>
      <c r="B244" s="52" t="str">
        <f>VLOOKUP(A244,'Billing Dimensions'!A:B,2,FALSE)</f>
        <v>SB</v>
      </c>
      <c r="C244" s="136">
        <f>VLOOKUP(A244,'Billing Dimensions'!$A:$N,3,FALSE)-VLOOKUP(A244,'Audit Dimensions'!$A:$N,3,FALSE)</f>
        <v>1</v>
      </c>
      <c r="D244" s="136">
        <f>VLOOKUP(A244,'Billing Dimensions'!$A:$N,4,FALSE)-VLOOKUP(A244,'Audit Dimensions'!$A:$N,4,FALSE)</f>
        <v>1</v>
      </c>
      <c r="E244" s="136">
        <f>VLOOKUP(A244,'Billing Dimensions'!$A:$N,5,FALSE)-VLOOKUP(A244,'Audit Dimensions'!$A:$N,5,FALSE)</f>
        <v>-10</v>
      </c>
      <c r="F244" s="137">
        <f>VLOOKUP(A244,'Billing Dimensions'!$A:$N,6,FALSE)-VLOOKUP(A244,'Audit Dimensions'!$A:$N,6,FALSE)</f>
        <v>-600</v>
      </c>
      <c r="G244" s="138">
        <f>VLOOKUP(A244,'Billing Dimensions'!$A:$N,7,FALSE)-VLOOKUP(A244,'Audit Dimensions'!$A:$N,7,FALSE)</f>
        <v>0</v>
      </c>
      <c r="H244" s="138">
        <f>VLOOKUP(A244,'Billing Dimensions'!$A:$N,8,FALSE)-VLOOKUP(A244,'Audit Dimensions'!$A:$N,8,FALSE)</f>
        <v>0</v>
      </c>
      <c r="I244" s="138">
        <f>VLOOKUP(A244,'Billing Dimensions'!$A:$N,9,FALSE)-VLOOKUP(A244,'Audit Dimensions'!$A:$N,9,FALSE)</f>
        <v>0</v>
      </c>
      <c r="J244" s="139">
        <f>VLOOKUP(A244,'Billing Dimensions'!$A:$N,10,FALSE)-VLOOKUP(A244,'Audit Dimensions'!$A:$N,10,FALSE)</f>
        <v>0</v>
      </c>
      <c r="K244" s="140">
        <f>VLOOKUP(A244,'Billing Dimensions'!$A:$N,11,FALSE)-VLOOKUP(A244,'Audit Dimensions'!$A:$N,11,FALSE)</f>
        <v>0</v>
      </c>
      <c r="L244" s="140">
        <f>VLOOKUP(A244,'Billing Dimensions'!$A:$N,12,FALSE)-VLOOKUP(A244,'Audit Dimensions'!$A:$N,12,FALSE)</f>
        <v>0</v>
      </c>
      <c r="M244" s="140">
        <f>VLOOKUP(A244,'Billing Dimensions'!$A:$N,13,FALSE)-VLOOKUP(A244,'Audit Dimensions'!$A:$N,13,FALSE)</f>
        <v>0</v>
      </c>
      <c r="N244" s="140">
        <f>VLOOKUP(A244,'Billing Dimensions'!$A:$N,14,FALSE)-VLOOKUP(A244,'Audit Dimensions'!$A:$N,14,FALSE)</f>
        <v>0</v>
      </c>
      <c r="O244" s="147">
        <f>VLOOKUP(A244,'Billing Dimensions'!A:Q,16,FALSE)-VLOOKUP('Audit VAR'!A244,'Audit Dimensions'!A:P,16,FALSE)</f>
        <v>-600</v>
      </c>
      <c r="P244" s="148">
        <f t="shared" si="9"/>
        <v>-0.6</v>
      </c>
      <c r="Q244" s="151">
        <f t="shared" si="10"/>
        <v>-3.5320000000000002E-4</v>
      </c>
      <c r="R244" s="80">
        <f t="shared" si="11"/>
        <v>1698.754246885617</v>
      </c>
    </row>
    <row r="245" spans="1:18" ht="15" hidden="1">
      <c r="A245" s="129" t="s">
        <v>206</v>
      </c>
      <c r="B245" s="52" t="str">
        <f>VLOOKUP(A245,'Billing Dimensions'!A:B,2,FALSE)</f>
        <v>SB</v>
      </c>
      <c r="C245" s="136">
        <f>VLOOKUP(A245,'Billing Dimensions'!$A:$N,3,FALSE)-VLOOKUP(A245,'Audit Dimensions'!$A:$N,3,FALSE)</f>
        <v>2</v>
      </c>
      <c r="D245" s="136">
        <f>VLOOKUP(A245,'Billing Dimensions'!$A:$N,4,FALSE)-VLOOKUP(A245,'Audit Dimensions'!$A:$N,4,FALSE)</f>
        <v>-1</v>
      </c>
      <c r="E245" s="136">
        <f>VLOOKUP(A245,'Billing Dimensions'!$A:$N,5,FALSE)-VLOOKUP(A245,'Audit Dimensions'!$A:$N,5,FALSE)</f>
        <v>0</v>
      </c>
      <c r="F245" s="137">
        <f>VLOOKUP(A245,'Billing Dimensions'!$A:$N,6,FALSE)-VLOOKUP(A245,'Audit Dimensions'!$A:$N,6,FALSE)</f>
        <v>600</v>
      </c>
      <c r="G245" s="138">
        <f>VLOOKUP(A245,'Billing Dimensions'!$A:$N,7,FALSE)-VLOOKUP(A245,'Audit Dimensions'!$A:$N,7,FALSE)</f>
        <v>0</v>
      </c>
      <c r="H245" s="138">
        <f>VLOOKUP(A245,'Billing Dimensions'!$A:$N,8,FALSE)-VLOOKUP(A245,'Audit Dimensions'!$A:$N,8,FALSE)</f>
        <v>0</v>
      </c>
      <c r="I245" s="138">
        <f>VLOOKUP(A245,'Billing Dimensions'!$A:$N,9,FALSE)-VLOOKUP(A245,'Audit Dimensions'!$A:$N,9,FALSE)</f>
        <v>0</v>
      </c>
      <c r="J245" s="139">
        <f>VLOOKUP(A245,'Billing Dimensions'!$A:$N,10,FALSE)-VLOOKUP(A245,'Audit Dimensions'!$A:$N,10,FALSE)</f>
        <v>0</v>
      </c>
      <c r="K245" s="140">
        <f>VLOOKUP(A245,'Billing Dimensions'!$A:$N,11,FALSE)-VLOOKUP(A245,'Audit Dimensions'!$A:$N,11,FALSE)</f>
        <v>0</v>
      </c>
      <c r="L245" s="140">
        <f>VLOOKUP(A245,'Billing Dimensions'!$A:$N,12,FALSE)-VLOOKUP(A245,'Audit Dimensions'!$A:$N,12,FALSE)</f>
        <v>0</v>
      </c>
      <c r="M245" s="140">
        <f>VLOOKUP(A245,'Billing Dimensions'!$A:$N,13,FALSE)-VLOOKUP(A245,'Audit Dimensions'!$A:$N,13,FALSE)</f>
        <v>0</v>
      </c>
      <c r="N245" s="140">
        <f>VLOOKUP(A245,'Billing Dimensions'!$A:$N,14,FALSE)-VLOOKUP(A245,'Audit Dimensions'!$A:$N,14,FALSE)</f>
        <v>0</v>
      </c>
      <c r="O245" s="147">
        <f>VLOOKUP(A245,'Billing Dimensions'!A:Q,16,FALSE)-VLOOKUP('Audit VAR'!A245,'Audit Dimensions'!A:P,16,FALSE)</f>
        <v>600</v>
      </c>
      <c r="P245" s="148">
        <f t="shared" si="9"/>
        <v>0.6</v>
      </c>
      <c r="Q245" s="151">
        <f t="shared" si="10"/>
        <v>0</v>
      </c>
      <c r="R245" s="80" t="e">
        <f t="shared" si="11"/>
        <v>#DIV/0!</v>
      </c>
    </row>
    <row r="246" spans="1:18" hidden="1">
      <c r="A246" s="159" t="s">
        <v>55</v>
      </c>
      <c r="B246" s="52" t="str">
        <f>VLOOKUP(A246,'Billing Dimensions'!A:B,2,FALSE)</f>
        <v>SB</v>
      </c>
      <c r="C246" s="136">
        <f>VLOOKUP(A246,'Billing Dimensions'!$A:$N,3,FALSE)-VLOOKUP(A246,'Audit Dimensions'!$A:$N,3,FALSE)</f>
        <v>0</v>
      </c>
      <c r="D246" s="136">
        <f>VLOOKUP(A246,'Billing Dimensions'!$A:$N,4,FALSE)-VLOOKUP(A246,'Audit Dimensions'!$A:$N,4,FALSE)</f>
        <v>0</v>
      </c>
      <c r="E246" s="136">
        <f>VLOOKUP(A246,'Billing Dimensions'!$A:$N,5,FALSE)-VLOOKUP(A246,'Audit Dimensions'!$A:$N,5,FALSE)</f>
        <v>0</v>
      </c>
      <c r="F246" s="137">
        <f>VLOOKUP(A246,'Billing Dimensions'!$A:$N,6,FALSE)-VLOOKUP(A246,'Audit Dimensions'!$A:$N,6,FALSE)</f>
        <v>-4030</v>
      </c>
      <c r="G246" s="138">
        <f>VLOOKUP(A246,'Billing Dimensions'!$A:$N,7,FALSE)-VLOOKUP(A246,'Audit Dimensions'!$A:$N,7,FALSE)</f>
        <v>0</v>
      </c>
      <c r="H246" s="138">
        <f>VLOOKUP(A246,'Billing Dimensions'!$A:$N,8,FALSE)-VLOOKUP(A246,'Audit Dimensions'!$A:$N,8,FALSE)</f>
        <v>0</v>
      </c>
      <c r="I246" s="138">
        <f>VLOOKUP(A246,'Billing Dimensions'!$A:$N,9,FALSE)-VLOOKUP(A246,'Audit Dimensions'!$A:$N,9,FALSE)</f>
        <v>0</v>
      </c>
      <c r="J246" s="139">
        <f>VLOOKUP(A246,'Billing Dimensions'!$A:$N,10,FALSE)-VLOOKUP(A246,'Audit Dimensions'!$A:$N,10,FALSE)</f>
        <v>0</v>
      </c>
      <c r="K246" s="140">
        <f>VLOOKUP(A246,'Billing Dimensions'!$A:$N,11,FALSE)-VLOOKUP(A246,'Audit Dimensions'!$A:$N,11,FALSE)</f>
        <v>0</v>
      </c>
      <c r="L246" s="140">
        <f>VLOOKUP(A246,'Billing Dimensions'!$A:$N,12,FALSE)-VLOOKUP(A246,'Audit Dimensions'!$A:$N,12,FALSE)</f>
        <v>0</v>
      </c>
      <c r="M246" s="140">
        <f>VLOOKUP(A246,'Billing Dimensions'!$A:$N,13,FALSE)-VLOOKUP(A246,'Audit Dimensions'!$A:$N,13,FALSE)</f>
        <v>0</v>
      </c>
      <c r="N246" s="140">
        <f>VLOOKUP(A246,'Billing Dimensions'!$A:$N,14,FALSE)-VLOOKUP(A246,'Audit Dimensions'!$A:$N,14,FALSE)</f>
        <v>0</v>
      </c>
      <c r="O246" s="147">
        <f>VLOOKUP(A246,'Billing Dimensions'!A:Q,16,FALSE)-VLOOKUP('Audit VAR'!A246,'Audit Dimensions'!A:P,16,FALSE)</f>
        <v>-4030</v>
      </c>
      <c r="P246" s="148">
        <f t="shared" si="9"/>
        <v>-4.03</v>
      </c>
      <c r="Q246" s="151">
        <f t="shared" si="10"/>
        <v>0</v>
      </c>
      <c r="R246" s="80" t="e">
        <f t="shared" si="11"/>
        <v>#DIV/0!</v>
      </c>
    </row>
    <row r="247" spans="1:18" hidden="1">
      <c r="A247" s="159" t="s">
        <v>53</v>
      </c>
      <c r="B247" s="52" t="str">
        <f>VLOOKUP(A247,'Billing Dimensions'!A:B,2,FALSE)</f>
        <v> </v>
      </c>
      <c r="C247" s="136">
        <f>VLOOKUP(A247,'Billing Dimensions'!$A:$N,3,FALSE)-VLOOKUP(A247,'Audit Dimensions'!$A:$N,3,FALSE)</f>
        <v>0</v>
      </c>
      <c r="D247" s="136">
        <f>VLOOKUP(A247,'Billing Dimensions'!$A:$N,4,FALSE)-VLOOKUP(A247,'Audit Dimensions'!$A:$N,4,FALSE)</f>
        <v>0</v>
      </c>
      <c r="E247" s="136">
        <f>VLOOKUP(A247,'Billing Dimensions'!$A:$N,5,FALSE)-VLOOKUP(A247,'Audit Dimensions'!$A:$N,5,FALSE)</f>
        <v>0</v>
      </c>
      <c r="F247" s="137">
        <f>VLOOKUP(A247,'Billing Dimensions'!$A:$N,6,FALSE)-VLOOKUP(A247,'Audit Dimensions'!$A:$N,6,FALSE)</f>
        <v>0</v>
      </c>
      <c r="G247" s="138">
        <f>VLOOKUP(A247,'Billing Dimensions'!$A:$N,7,FALSE)-VLOOKUP(A247,'Audit Dimensions'!$A:$N,7,FALSE)</f>
        <v>0</v>
      </c>
      <c r="H247" s="138">
        <f>VLOOKUP(A247,'Billing Dimensions'!$A:$N,8,FALSE)-VLOOKUP(A247,'Audit Dimensions'!$A:$N,8,FALSE)</f>
        <v>0</v>
      </c>
      <c r="I247" s="138">
        <f>VLOOKUP(A247,'Billing Dimensions'!$A:$N,9,FALSE)-VLOOKUP(A247,'Audit Dimensions'!$A:$N,9,FALSE)</f>
        <v>0</v>
      </c>
      <c r="J247" s="139">
        <f>VLOOKUP(A247,'Billing Dimensions'!$A:$N,10,FALSE)-VLOOKUP(A247,'Audit Dimensions'!$A:$N,10,FALSE)</f>
        <v>0</v>
      </c>
      <c r="K247" s="140">
        <f>VLOOKUP(A247,'Billing Dimensions'!$A:$N,11,FALSE)-VLOOKUP(A247,'Audit Dimensions'!$A:$N,11,FALSE)</f>
        <v>0</v>
      </c>
      <c r="L247" s="140">
        <f>VLOOKUP(A247,'Billing Dimensions'!$A:$N,12,FALSE)-VLOOKUP(A247,'Audit Dimensions'!$A:$N,12,FALSE)</f>
        <v>0</v>
      </c>
      <c r="M247" s="140">
        <f>VLOOKUP(A247,'Billing Dimensions'!$A:$N,13,FALSE)-VLOOKUP(A247,'Audit Dimensions'!$A:$N,13,FALSE)</f>
        <v>0</v>
      </c>
      <c r="N247" s="140">
        <f>VLOOKUP(A247,'Billing Dimensions'!$A:$N,14,FALSE)-VLOOKUP(A247,'Audit Dimensions'!$A:$N,14,FALSE)</f>
        <v>0</v>
      </c>
      <c r="O247" s="147">
        <f>VLOOKUP(A247,'Billing Dimensions'!A:Q,16,FALSE)-VLOOKUP('Audit VAR'!A247,'Audit Dimensions'!A:P,16,FALSE)</f>
        <v>0</v>
      </c>
      <c r="P247" s="148">
        <f t="shared" si="9"/>
        <v>0</v>
      </c>
      <c r="Q247" s="151">
        <f t="shared" si="10"/>
        <v>0</v>
      </c>
      <c r="R247" s="80" t="e">
        <f t="shared" si="11"/>
        <v>#DIV/0!</v>
      </c>
    </row>
    <row r="248" spans="1:18" hidden="1">
      <c r="A248" s="179" t="s">
        <v>375</v>
      </c>
      <c r="B248" s="52" t="e">
        <f>VLOOKUP(A248,'Billing Dimensions'!A:B,2,FALSE)</f>
        <v>#N/A</v>
      </c>
      <c r="C248" s="136" t="e">
        <f>VLOOKUP(A248,'Billing Dimensions'!$A:$N,3,FALSE)-VLOOKUP(A248,'Audit Dimensions'!$A:$N,3,FALSE)</f>
        <v>#N/A</v>
      </c>
      <c r="D248" s="136" t="e">
        <f>VLOOKUP(A248,'Billing Dimensions'!$A:$N,4,FALSE)-VLOOKUP(A248,'Audit Dimensions'!$A:$N,4,FALSE)</f>
        <v>#N/A</v>
      </c>
      <c r="E248" s="136" t="e">
        <f>VLOOKUP(A248,'Billing Dimensions'!$A:$N,5,FALSE)-VLOOKUP(A248,'Audit Dimensions'!$A:$N,5,FALSE)</f>
        <v>#N/A</v>
      </c>
      <c r="F248" s="137" t="e">
        <f>VLOOKUP(A248,'Billing Dimensions'!$A:$N,6,FALSE)-VLOOKUP(A248,'Audit Dimensions'!$A:$N,6,FALSE)</f>
        <v>#N/A</v>
      </c>
      <c r="G248" s="138" t="e">
        <f>VLOOKUP(A248,'Billing Dimensions'!$A:$N,7,FALSE)-VLOOKUP(A248,'Audit Dimensions'!$A:$N,7,FALSE)</f>
        <v>#N/A</v>
      </c>
      <c r="H248" s="138" t="e">
        <f>VLOOKUP(A248,'Billing Dimensions'!$A:$N,8,FALSE)-VLOOKUP(A248,'Audit Dimensions'!$A:$N,8,FALSE)</f>
        <v>#N/A</v>
      </c>
      <c r="I248" s="138" t="e">
        <f>VLOOKUP(A248,'Billing Dimensions'!$A:$N,9,FALSE)-VLOOKUP(A248,'Audit Dimensions'!$A:$N,9,FALSE)</f>
        <v>#N/A</v>
      </c>
      <c r="J248" s="139" t="e">
        <f>VLOOKUP(A248,'Billing Dimensions'!$A:$N,10,FALSE)-VLOOKUP(A248,'Audit Dimensions'!$A:$N,10,FALSE)</f>
        <v>#N/A</v>
      </c>
      <c r="K248" s="140" t="e">
        <f>VLOOKUP(A248,'Billing Dimensions'!$A:$N,11,FALSE)-VLOOKUP(A248,'Audit Dimensions'!$A:$N,11,FALSE)</f>
        <v>#N/A</v>
      </c>
      <c r="L248" s="140" t="e">
        <f>VLOOKUP(A248,'Billing Dimensions'!$A:$N,12,FALSE)-VLOOKUP(A248,'Audit Dimensions'!$A:$N,12,FALSE)</f>
        <v>#N/A</v>
      </c>
      <c r="M248" s="140" t="e">
        <f>VLOOKUP(A248,'Billing Dimensions'!$A:$N,13,FALSE)-VLOOKUP(A248,'Audit Dimensions'!$A:$N,13,FALSE)</f>
        <v>#N/A</v>
      </c>
      <c r="N248" s="140" t="e">
        <f>VLOOKUP(A248,'Billing Dimensions'!$A:$N,14,FALSE)-VLOOKUP(A248,'Audit Dimensions'!$A:$N,14,FALSE)</f>
        <v>#N/A</v>
      </c>
      <c r="O248" s="147" t="e">
        <f>VLOOKUP(A248,'Billing Dimensions'!A:Q,16,FALSE)-VLOOKUP('Audit VAR'!A248,'Audit Dimensions'!A:P,16,FALSE)</f>
        <v>#N/A</v>
      </c>
      <c r="P248" s="148" t="e">
        <f t="shared" si="9"/>
        <v>#N/A</v>
      </c>
      <c r="Q248" s="151" t="e">
        <f t="shared" si="10"/>
        <v>#N/A</v>
      </c>
      <c r="R248" s="80" t="e">
        <f t="shared" si="11"/>
        <v>#N/A</v>
      </c>
    </row>
    <row r="249" spans="1:18" ht="15" hidden="1">
      <c r="A249" s="129" t="s">
        <v>245</v>
      </c>
      <c r="B249" s="52" t="str">
        <f>VLOOKUP(A249,'Billing Dimensions'!A:B,2,FALSE)</f>
        <v>SB</v>
      </c>
      <c r="C249" s="136">
        <f>VLOOKUP(A249,'Billing Dimensions'!$A:$N,3,FALSE)-VLOOKUP(A249,'Audit Dimensions'!$A:$N,3,FALSE)</f>
        <v>-52</v>
      </c>
      <c r="D249" s="136">
        <f>VLOOKUP(A249,'Billing Dimensions'!$A:$N,4,FALSE)-VLOOKUP(A249,'Audit Dimensions'!$A:$N,4,FALSE)</f>
        <v>13</v>
      </c>
      <c r="E249" s="136">
        <f>VLOOKUP(A249,'Billing Dimensions'!$A:$N,5,FALSE)-VLOOKUP(A249,'Audit Dimensions'!$A:$N,5,FALSE)</f>
        <v>-2</v>
      </c>
      <c r="F249" s="137">
        <f>VLOOKUP(A249,'Billing Dimensions'!$A:$N,6,FALSE)-VLOOKUP(A249,'Audit Dimensions'!$A:$N,6,FALSE)</f>
        <v>-4950</v>
      </c>
      <c r="G249" s="138">
        <f>VLOOKUP(A249,'Billing Dimensions'!$A:$N,7,FALSE)-VLOOKUP(A249,'Audit Dimensions'!$A:$N,7,FALSE)</f>
        <v>0</v>
      </c>
      <c r="H249" s="138">
        <f>VLOOKUP(A249,'Billing Dimensions'!$A:$N,8,FALSE)-VLOOKUP(A249,'Audit Dimensions'!$A:$N,8,FALSE)</f>
        <v>0</v>
      </c>
      <c r="I249" s="138">
        <f>VLOOKUP(A249,'Billing Dimensions'!$A:$N,9,FALSE)-VLOOKUP(A249,'Audit Dimensions'!$A:$N,9,FALSE)</f>
        <v>0</v>
      </c>
      <c r="J249" s="139">
        <f>VLOOKUP(A249,'Billing Dimensions'!$A:$N,10,FALSE)-VLOOKUP(A249,'Audit Dimensions'!$A:$N,10,FALSE)</f>
        <v>0</v>
      </c>
      <c r="K249" s="140">
        <f>VLOOKUP(A249,'Billing Dimensions'!$A:$N,11,FALSE)-VLOOKUP(A249,'Audit Dimensions'!$A:$N,11,FALSE)</f>
        <v>0</v>
      </c>
      <c r="L249" s="140">
        <f>VLOOKUP(A249,'Billing Dimensions'!$A:$N,12,FALSE)-VLOOKUP(A249,'Audit Dimensions'!$A:$N,12,FALSE)</f>
        <v>0</v>
      </c>
      <c r="M249" s="140">
        <f>VLOOKUP(A249,'Billing Dimensions'!$A:$N,13,FALSE)-VLOOKUP(A249,'Audit Dimensions'!$A:$N,13,FALSE)</f>
        <v>0</v>
      </c>
      <c r="N249" s="140">
        <f>VLOOKUP(A249,'Billing Dimensions'!$A:$N,14,FALSE)-VLOOKUP(A249,'Audit Dimensions'!$A:$N,14,FALSE)</f>
        <v>0</v>
      </c>
      <c r="O249" s="147">
        <f>VLOOKUP(A249,'Billing Dimensions'!A:Q,16,FALSE)-VLOOKUP('Audit VAR'!A249,'Audit Dimensions'!A:P,16,FALSE)</f>
        <v>-4950</v>
      </c>
      <c r="P249" s="148">
        <f t="shared" si="9"/>
        <v>-4.95</v>
      </c>
      <c r="Q249" s="151">
        <f t="shared" si="10"/>
        <v>4.7752639999999999E-2</v>
      </c>
      <c r="R249" s="80">
        <f t="shared" si="11"/>
        <v>-103.65919036099366</v>
      </c>
    </row>
    <row r="250" spans="1:18" ht="15" hidden="1">
      <c r="A250" s="129" t="s">
        <v>229</v>
      </c>
      <c r="B250" s="52" t="str">
        <f>VLOOKUP(A250,'Billing Dimensions'!A:B,2,FALSE)</f>
        <v>SB</v>
      </c>
      <c r="C250" s="136">
        <f>VLOOKUP(A250,'Billing Dimensions'!$A:$N,3,FALSE)-VLOOKUP(A250,'Audit Dimensions'!$A:$N,3,FALSE)</f>
        <v>4</v>
      </c>
      <c r="D250" s="136">
        <f>VLOOKUP(A250,'Billing Dimensions'!$A:$N,4,FALSE)-VLOOKUP(A250,'Audit Dimensions'!$A:$N,4,FALSE)</f>
        <v>-2</v>
      </c>
      <c r="E250" s="136">
        <f>VLOOKUP(A250,'Billing Dimensions'!$A:$N,5,FALSE)-VLOOKUP(A250,'Audit Dimensions'!$A:$N,5,FALSE)</f>
        <v>0</v>
      </c>
      <c r="F250" s="137">
        <f>VLOOKUP(A250,'Billing Dimensions'!$A:$N,6,FALSE)-VLOOKUP(A250,'Audit Dimensions'!$A:$N,6,FALSE)</f>
        <v>-1150</v>
      </c>
      <c r="G250" s="138">
        <f>VLOOKUP(A250,'Billing Dimensions'!$A:$N,7,FALSE)-VLOOKUP(A250,'Audit Dimensions'!$A:$N,7,FALSE)</f>
        <v>0</v>
      </c>
      <c r="H250" s="138">
        <f>VLOOKUP(A250,'Billing Dimensions'!$A:$N,8,FALSE)-VLOOKUP(A250,'Audit Dimensions'!$A:$N,8,FALSE)</f>
        <v>0</v>
      </c>
      <c r="I250" s="138">
        <f>VLOOKUP(A250,'Billing Dimensions'!$A:$N,9,FALSE)-VLOOKUP(A250,'Audit Dimensions'!$A:$N,9,FALSE)</f>
        <v>0</v>
      </c>
      <c r="J250" s="139">
        <f>VLOOKUP(A250,'Billing Dimensions'!$A:$N,10,FALSE)-VLOOKUP(A250,'Audit Dimensions'!$A:$N,10,FALSE)</f>
        <v>0</v>
      </c>
      <c r="K250" s="140">
        <f>VLOOKUP(A250,'Billing Dimensions'!$A:$N,11,FALSE)-VLOOKUP(A250,'Audit Dimensions'!$A:$N,11,FALSE)</f>
        <v>0</v>
      </c>
      <c r="L250" s="140">
        <f>VLOOKUP(A250,'Billing Dimensions'!$A:$N,12,FALSE)-VLOOKUP(A250,'Audit Dimensions'!$A:$N,12,FALSE)</f>
        <v>0</v>
      </c>
      <c r="M250" s="140">
        <f>VLOOKUP(A250,'Billing Dimensions'!$A:$N,13,FALSE)-VLOOKUP(A250,'Audit Dimensions'!$A:$N,13,FALSE)</f>
        <v>0</v>
      </c>
      <c r="N250" s="140">
        <f>VLOOKUP(A250,'Billing Dimensions'!$A:$N,14,FALSE)-VLOOKUP(A250,'Audit Dimensions'!$A:$N,14,FALSE)</f>
        <v>0</v>
      </c>
      <c r="O250" s="147">
        <f>VLOOKUP(A250,'Billing Dimensions'!A:Q,16,FALSE)-VLOOKUP('Audit VAR'!A250,'Audit Dimensions'!A:P,16,FALSE)</f>
        <v>-1150</v>
      </c>
      <c r="P250" s="148">
        <f t="shared" si="9"/>
        <v>-1.1499999999999999</v>
      </c>
      <c r="Q250" s="151">
        <f t="shared" si="10"/>
        <v>0</v>
      </c>
      <c r="R250" s="80" t="e">
        <f t="shared" si="11"/>
        <v>#DIV/0!</v>
      </c>
    </row>
    <row r="251" spans="1:18" ht="15" hidden="1">
      <c r="A251" s="129" t="s">
        <v>238</v>
      </c>
      <c r="B251" s="52" t="str">
        <f>VLOOKUP(A251,'Billing Dimensions'!A:B,2,FALSE)</f>
        <v>SB</v>
      </c>
      <c r="C251" s="136">
        <f>VLOOKUP(A251,'Billing Dimensions'!$A:$N,3,FALSE)-VLOOKUP(A251,'Audit Dimensions'!$A:$N,3,FALSE)</f>
        <v>3</v>
      </c>
      <c r="D251" s="136">
        <f>VLOOKUP(A251,'Billing Dimensions'!$A:$N,4,FALSE)-VLOOKUP(A251,'Audit Dimensions'!$A:$N,4,FALSE)</f>
        <v>0</v>
      </c>
      <c r="E251" s="136">
        <f>VLOOKUP(A251,'Billing Dimensions'!$A:$N,5,FALSE)-VLOOKUP(A251,'Audit Dimensions'!$A:$N,5,FALSE)</f>
        <v>2</v>
      </c>
      <c r="F251" s="137">
        <f>VLOOKUP(A251,'Billing Dimensions'!$A:$N,6,FALSE)-VLOOKUP(A251,'Audit Dimensions'!$A:$N,6,FALSE)</f>
        <v>300</v>
      </c>
      <c r="G251" s="138">
        <f>VLOOKUP(A251,'Billing Dimensions'!$A:$N,7,FALSE)-VLOOKUP(A251,'Audit Dimensions'!$A:$N,7,FALSE)</f>
        <v>0</v>
      </c>
      <c r="H251" s="138">
        <f>VLOOKUP(A251,'Billing Dimensions'!$A:$N,8,FALSE)-VLOOKUP(A251,'Audit Dimensions'!$A:$N,8,FALSE)</f>
        <v>0</v>
      </c>
      <c r="I251" s="138">
        <f>VLOOKUP(A251,'Billing Dimensions'!$A:$N,9,FALSE)-VLOOKUP(A251,'Audit Dimensions'!$A:$N,9,FALSE)</f>
        <v>0</v>
      </c>
      <c r="J251" s="139">
        <f>VLOOKUP(A251,'Billing Dimensions'!$A:$N,10,FALSE)-VLOOKUP(A251,'Audit Dimensions'!$A:$N,10,FALSE)</f>
        <v>0</v>
      </c>
      <c r="K251" s="140">
        <f>VLOOKUP(A251,'Billing Dimensions'!$A:$N,11,FALSE)-VLOOKUP(A251,'Audit Dimensions'!$A:$N,11,FALSE)</f>
        <v>0</v>
      </c>
      <c r="L251" s="140">
        <f>VLOOKUP(A251,'Billing Dimensions'!$A:$N,12,FALSE)-VLOOKUP(A251,'Audit Dimensions'!$A:$N,12,FALSE)</f>
        <v>0</v>
      </c>
      <c r="M251" s="140">
        <f>VLOOKUP(A251,'Billing Dimensions'!$A:$N,13,FALSE)-VLOOKUP(A251,'Audit Dimensions'!$A:$N,13,FALSE)</f>
        <v>0</v>
      </c>
      <c r="N251" s="140">
        <f>VLOOKUP(A251,'Billing Dimensions'!$A:$N,14,FALSE)-VLOOKUP(A251,'Audit Dimensions'!$A:$N,14,FALSE)</f>
        <v>0</v>
      </c>
      <c r="O251" s="147">
        <f>VLOOKUP(A251,'Billing Dimensions'!A:Q,16,FALSE)-VLOOKUP('Audit VAR'!A251,'Audit Dimensions'!A:P,16,FALSE)</f>
        <v>300</v>
      </c>
      <c r="P251" s="148">
        <f t="shared" si="9"/>
        <v>0.3</v>
      </c>
      <c r="Q251" s="151">
        <f t="shared" si="10"/>
        <v>0</v>
      </c>
      <c r="R251" s="80" t="e">
        <f t="shared" si="11"/>
        <v>#DIV/0!</v>
      </c>
    </row>
    <row r="252" spans="1:18" ht="15" hidden="1">
      <c r="A252" s="129" t="s">
        <v>205</v>
      </c>
      <c r="B252" s="52" t="str">
        <f>VLOOKUP(A252,'Billing Dimensions'!A:B,2,FALSE)</f>
        <v>SB</v>
      </c>
      <c r="C252" s="136">
        <f>VLOOKUP(A252,'Billing Dimensions'!$A:$N,3,FALSE)-VLOOKUP(A252,'Audit Dimensions'!$A:$N,3,FALSE)</f>
        <v>-2</v>
      </c>
      <c r="D252" s="136">
        <f>VLOOKUP(A252,'Billing Dimensions'!$A:$N,4,FALSE)-VLOOKUP(A252,'Audit Dimensions'!$A:$N,4,FALSE)</f>
        <v>3</v>
      </c>
      <c r="E252" s="136">
        <f>VLOOKUP(A252,'Billing Dimensions'!$A:$N,5,FALSE)-VLOOKUP(A252,'Audit Dimensions'!$A:$N,5,FALSE)</f>
        <v>0</v>
      </c>
      <c r="F252" s="137">
        <f>VLOOKUP(A252,'Billing Dimensions'!$A:$N,6,FALSE)-VLOOKUP(A252,'Audit Dimensions'!$A:$N,6,FALSE)</f>
        <v>-4300</v>
      </c>
      <c r="G252" s="138">
        <f>VLOOKUP(A252,'Billing Dimensions'!$A:$N,7,FALSE)-VLOOKUP(A252,'Audit Dimensions'!$A:$N,7,FALSE)</f>
        <v>0</v>
      </c>
      <c r="H252" s="138">
        <f>VLOOKUP(A252,'Billing Dimensions'!$A:$N,8,FALSE)-VLOOKUP(A252,'Audit Dimensions'!$A:$N,8,FALSE)</f>
        <v>0</v>
      </c>
      <c r="I252" s="138">
        <f>VLOOKUP(A252,'Billing Dimensions'!$A:$N,9,FALSE)-VLOOKUP(A252,'Audit Dimensions'!$A:$N,9,FALSE)</f>
        <v>0</v>
      </c>
      <c r="J252" s="139">
        <f>VLOOKUP(A252,'Billing Dimensions'!$A:$N,10,FALSE)-VLOOKUP(A252,'Audit Dimensions'!$A:$N,10,FALSE)</f>
        <v>0</v>
      </c>
      <c r="K252" s="140">
        <f>VLOOKUP(A252,'Billing Dimensions'!$A:$N,11,FALSE)-VLOOKUP(A252,'Audit Dimensions'!$A:$N,11,FALSE)</f>
        <v>0</v>
      </c>
      <c r="L252" s="140">
        <f>VLOOKUP(A252,'Billing Dimensions'!$A:$N,12,FALSE)-VLOOKUP(A252,'Audit Dimensions'!$A:$N,12,FALSE)</f>
        <v>0</v>
      </c>
      <c r="M252" s="140">
        <f>VLOOKUP(A252,'Billing Dimensions'!$A:$N,13,FALSE)-VLOOKUP(A252,'Audit Dimensions'!$A:$N,13,FALSE)</f>
        <v>0</v>
      </c>
      <c r="N252" s="140">
        <f>VLOOKUP(A252,'Billing Dimensions'!$A:$N,14,FALSE)-VLOOKUP(A252,'Audit Dimensions'!$A:$N,14,FALSE)</f>
        <v>0</v>
      </c>
      <c r="O252" s="147">
        <f>VLOOKUP(A252,'Billing Dimensions'!A:Q,16,FALSE)-VLOOKUP('Audit VAR'!A252,'Audit Dimensions'!A:P,16,FALSE)</f>
        <v>-4300</v>
      </c>
      <c r="P252" s="148">
        <f t="shared" si="9"/>
        <v>-4.3</v>
      </c>
      <c r="Q252" s="151">
        <f t="shared" si="10"/>
        <v>0</v>
      </c>
      <c r="R252" s="80" t="e">
        <f t="shared" si="11"/>
        <v>#DIV/0!</v>
      </c>
    </row>
    <row r="253" spans="1:18" ht="15" hidden="1">
      <c r="A253" s="129" t="s">
        <v>179</v>
      </c>
      <c r="B253" s="52" t="str">
        <f>VLOOKUP(A253,'Billing Dimensions'!A:B,2,FALSE)</f>
        <v>SB</v>
      </c>
      <c r="C253" s="136">
        <f>VLOOKUP(A253,'Billing Dimensions'!$A:$N,3,FALSE)-VLOOKUP(A253,'Audit Dimensions'!$A:$N,3,FALSE)</f>
        <v>-41</v>
      </c>
      <c r="D253" s="136">
        <f>VLOOKUP(A253,'Billing Dimensions'!$A:$N,4,FALSE)-VLOOKUP(A253,'Audit Dimensions'!$A:$N,4,FALSE)</f>
        <v>-14</v>
      </c>
      <c r="E253" s="136">
        <f>VLOOKUP(A253,'Billing Dimensions'!$A:$N,5,FALSE)-VLOOKUP(A253,'Audit Dimensions'!$A:$N,5,FALSE)</f>
        <v>-7</v>
      </c>
      <c r="F253" s="137">
        <f>VLOOKUP(A253,'Billing Dimensions'!$A:$N,6,FALSE)-VLOOKUP(A253,'Audit Dimensions'!$A:$N,6,FALSE)</f>
        <v>-90</v>
      </c>
      <c r="G253" s="138">
        <f>VLOOKUP(A253,'Billing Dimensions'!$A:$N,7,FALSE)-VLOOKUP(A253,'Audit Dimensions'!$A:$N,7,FALSE)</f>
        <v>0</v>
      </c>
      <c r="H253" s="138">
        <f>VLOOKUP(A253,'Billing Dimensions'!$A:$N,8,FALSE)-VLOOKUP(A253,'Audit Dimensions'!$A:$N,8,FALSE)</f>
        <v>0</v>
      </c>
      <c r="I253" s="138">
        <f>VLOOKUP(A253,'Billing Dimensions'!$A:$N,9,FALSE)-VLOOKUP(A253,'Audit Dimensions'!$A:$N,9,FALSE)</f>
        <v>0</v>
      </c>
      <c r="J253" s="139">
        <f>VLOOKUP(A253,'Billing Dimensions'!$A:$N,10,FALSE)-VLOOKUP(A253,'Audit Dimensions'!$A:$N,10,FALSE)</f>
        <v>0</v>
      </c>
      <c r="K253" s="140">
        <f>VLOOKUP(A253,'Billing Dimensions'!$A:$N,11,FALSE)-VLOOKUP(A253,'Audit Dimensions'!$A:$N,11,FALSE)</f>
        <v>0</v>
      </c>
      <c r="L253" s="140">
        <f>VLOOKUP(A253,'Billing Dimensions'!$A:$N,12,FALSE)-VLOOKUP(A253,'Audit Dimensions'!$A:$N,12,FALSE)</f>
        <v>0</v>
      </c>
      <c r="M253" s="140">
        <f>VLOOKUP(A253,'Billing Dimensions'!$A:$N,13,FALSE)-VLOOKUP(A253,'Audit Dimensions'!$A:$N,13,FALSE)</f>
        <v>0</v>
      </c>
      <c r="N253" s="140">
        <f>VLOOKUP(A253,'Billing Dimensions'!$A:$N,14,FALSE)-VLOOKUP(A253,'Audit Dimensions'!$A:$N,14,FALSE)</f>
        <v>0</v>
      </c>
      <c r="O253" s="147">
        <f>VLOOKUP(A253,'Billing Dimensions'!A:Q,16,FALSE)-VLOOKUP('Audit VAR'!A253,'Audit Dimensions'!A:P,16,FALSE)</f>
        <v>-90</v>
      </c>
      <c r="P253" s="148">
        <f t="shared" ref="P253:P270" si="12">O253/1000</f>
        <v>-0.09</v>
      </c>
      <c r="Q253" s="151">
        <f t="shared" ref="Q253:Q270" si="13">(((C253*D253*E253)+(G253*H253*I253)+(K253*L253*M253))/1000000)*35.32</f>
        <v>-0.14191576</v>
      </c>
      <c r="R253" s="80">
        <f t="shared" ref="R253:R270" si="14">P253/Q253</f>
        <v>0.63417903691598454</v>
      </c>
    </row>
    <row r="254" spans="1:18" ht="15" hidden="1">
      <c r="A254" s="129" t="s">
        <v>109</v>
      </c>
      <c r="B254" s="52" t="str">
        <f>VLOOKUP(A254,'Billing Dimensions'!A:B,2,FALSE)</f>
        <v>SB</v>
      </c>
      <c r="C254" s="136">
        <f>VLOOKUP(A254,'Billing Dimensions'!$A:$N,3,FALSE)-VLOOKUP(A254,'Audit Dimensions'!$A:$N,3,FALSE)</f>
        <v>0</v>
      </c>
      <c r="D254" s="136">
        <f>VLOOKUP(A254,'Billing Dimensions'!$A:$N,4,FALSE)-VLOOKUP(A254,'Audit Dimensions'!$A:$N,4,FALSE)</f>
        <v>0</v>
      </c>
      <c r="E254" s="136">
        <f>VLOOKUP(A254,'Billing Dimensions'!$A:$N,5,FALSE)-VLOOKUP(A254,'Audit Dimensions'!$A:$N,5,FALSE)</f>
        <v>0</v>
      </c>
      <c r="F254" s="137">
        <f>VLOOKUP(A254,'Billing Dimensions'!$A:$N,6,FALSE)-VLOOKUP(A254,'Audit Dimensions'!$A:$N,6,FALSE)</f>
        <v>50</v>
      </c>
      <c r="G254" s="138">
        <f>VLOOKUP(A254,'Billing Dimensions'!$A:$N,7,FALSE)-VLOOKUP(A254,'Audit Dimensions'!$A:$N,7,FALSE)</f>
        <v>0</v>
      </c>
      <c r="H254" s="138">
        <f>VLOOKUP(A254,'Billing Dimensions'!$A:$N,8,FALSE)-VLOOKUP(A254,'Audit Dimensions'!$A:$N,8,FALSE)</f>
        <v>0</v>
      </c>
      <c r="I254" s="138">
        <f>VLOOKUP(A254,'Billing Dimensions'!$A:$N,9,FALSE)-VLOOKUP(A254,'Audit Dimensions'!$A:$N,9,FALSE)</f>
        <v>0</v>
      </c>
      <c r="J254" s="139">
        <f>VLOOKUP(A254,'Billing Dimensions'!$A:$N,10,FALSE)-VLOOKUP(A254,'Audit Dimensions'!$A:$N,10,FALSE)</f>
        <v>0</v>
      </c>
      <c r="K254" s="140">
        <f>VLOOKUP(A254,'Billing Dimensions'!$A:$N,11,FALSE)-VLOOKUP(A254,'Audit Dimensions'!$A:$N,11,FALSE)</f>
        <v>0</v>
      </c>
      <c r="L254" s="140">
        <f>VLOOKUP(A254,'Billing Dimensions'!$A:$N,12,FALSE)-VLOOKUP(A254,'Audit Dimensions'!$A:$N,12,FALSE)</f>
        <v>0</v>
      </c>
      <c r="M254" s="140">
        <f>VLOOKUP(A254,'Billing Dimensions'!$A:$N,13,FALSE)-VLOOKUP(A254,'Audit Dimensions'!$A:$N,13,FALSE)</f>
        <v>0</v>
      </c>
      <c r="N254" s="140">
        <f>VLOOKUP(A254,'Billing Dimensions'!$A:$N,14,FALSE)-VLOOKUP(A254,'Audit Dimensions'!$A:$N,14,FALSE)</f>
        <v>0</v>
      </c>
      <c r="O254" s="147">
        <f>VLOOKUP(A254,'Billing Dimensions'!A:Q,16,FALSE)-VLOOKUP('Audit VAR'!A254,'Audit Dimensions'!A:P,16,FALSE)</f>
        <v>50</v>
      </c>
      <c r="P254" s="148">
        <f t="shared" si="12"/>
        <v>0.05</v>
      </c>
      <c r="Q254" s="151">
        <f t="shared" si="13"/>
        <v>0</v>
      </c>
      <c r="R254" s="80" t="e">
        <f t="shared" si="14"/>
        <v>#DIV/0!</v>
      </c>
    </row>
    <row r="255" spans="1:18" ht="15" hidden="1">
      <c r="A255" s="129" t="s">
        <v>107</v>
      </c>
      <c r="B255" s="52" t="str">
        <f>VLOOKUP(A255,'Billing Dimensions'!A:B,2,FALSE)</f>
        <v>SB</v>
      </c>
      <c r="C255" s="136">
        <f>VLOOKUP(A255,'Billing Dimensions'!$A:$N,3,FALSE)-VLOOKUP(A255,'Audit Dimensions'!$A:$N,3,FALSE)</f>
        <v>-14</v>
      </c>
      <c r="D255" s="136">
        <f>VLOOKUP(A255,'Billing Dimensions'!$A:$N,4,FALSE)-VLOOKUP(A255,'Audit Dimensions'!$A:$N,4,FALSE)</f>
        <v>-8</v>
      </c>
      <c r="E255" s="136">
        <f>VLOOKUP(A255,'Billing Dimensions'!$A:$N,5,FALSE)-VLOOKUP(A255,'Audit Dimensions'!$A:$N,5,FALSE)</f>
        <v>0</v>
      </c>
      <c r="F255" s="137">
        <f>VLOOKUP(A255,'Billing Dimensions'!$A:$N,6,FALSE)-VLOOKUP(A255,'Audit Dimensions'!$A:$N,6,FALSE)</f>
        <v>-50</v>
      </c>
      <c r="G255" s="138">
        <f>VLOOKUP(A255,'Billing Dimensions'!$A:$N,7,FALSE)-VLOOKUP(A255,'Audit Dimensions'!$A:$N,7,FALSE)</f>
        <v>0</v>
      </c>
      <c r="H255" s="138">
        <f>VLOOKUP(A255,'Billing Dimensions'!$A:$N,8,FALSE)-VLOOKUP(A255,'Audit Dimensions'!$A:$N,8,FALSE)</f>
        <v>0</v>
      </c>
      <c r="I255" s="138">
        <f>VLOOKUP(A255,'Billing Dimensions'!$A:$N,9,FALSE)-VLOOKUP(A255,'Audit Dimensions'!$A:$N,9,FALSE)</f>
        <v>0</v>
      </c>
      <c r="J255" s="139">
        <f>VLOOKUP(A255,'Billing Dimensions'!$A:$N,10,FALSE)-VLOOKUP(A255,'Audit Dimensions'!$A:$N,10,FALSE)</f>
        <v>0</v>
      </c>
      <c r="K255" s="140">
        <f>VLOOKUP(A255,'Billing Dimensions'!$A:$N,11,FALSE)-VLOOKUP(A255,'Audit Dimensions'!$A:$N,11,FALSE)</f>
        <v>0</v>
      </c>
      <c r="L255" s="140">
        <f>VLOOKUP(A255,'Billing Dimensions'!$A:$N,12,FALSE)-VLOOKUP(A255,'Audit Dimensions'!$A:$N,12,FALSE)</f>
        <v>0</v>
      </c>
      <c r="M255" s="140">
        <f>VLOOKUP(A255,'Billing Dimensions'!$A:$N,13,FALSE)-VLOOKUP(A255,'Audit Dimensions'!$A:$N,13,FALSE)</f>
        <v>0</v>
      </c>
      <c r="N255" s="140">
        <f>VLOOKUP(A255,'Billing Dimensions'!$A:$N,14,FALSE)-VLOOKUP(A255,'Audit Dimensions'!$A:$N,14,FALSE)</f>
        <v>0</v>
      </c>
      <c r="O255" s="147">
        <f>VLOOKUP(A255,'Billing Dimensions'!A:Q,16,FALSE)-VLOOKUP('Audit VAR'!A255,'Audit Dimensions'!A:P,16,FALSE)</f>
        <v>-50</v>
      </c>
      <c r="P255" s="148">
        <f t="shared" si="12"/>
        <v>-0.05</v>
      </c>
      <c r="Q255" s="151">
        <f t="shared" si="13"/>
        <v>0</v>
      </c>
      <c r="R255" s="80" t="e">
        <f t="shared" si="14"/>
        <v>#DIV/0!</v>
      </c>
    </row>
    <row r="256" spans="1:18" ht="13.5" hidden="1" customHeight="1">
      <c r="A256" s="130" t="s">
        <v>77</v>
      </c>
      <c r="B256" s="52" t="str">
        <f>VLOOKUP(A256,'Billing Dimensions'!A:B,2,FALSE)</f>
        <v>SB</v>
      </c>
      <c r="C256" s="136">
        <f>VLOOKUP(A256,'Billing Dimensions'!$A:$N,3,FALSE)-VLOOKUP(A256,'Audit Dimensions'!$A:$N,3,FALSE)</f>
        <v>10</v>
      </c>
      <c r="D256" s="136">
        <f>VLOOKUP(A256,'Billing Dimensions'!$A:$N,4,FALSE)-VLOOKUP(A256,'Audit Dimensions'!$A:$N,4,FALSE)</f>
        <v>6</v>
      </c>
      <c r="E256" s="136">
        <f>VLOOKUP(A256,'Billing Dimensions'!$A:$N,5,FALSE)-VLOOKUP(A256,'Audit Dimensions'!$A:$N,5,FALSE)</f>
        <v>-1</v>
      </c>
      <c r="F256" s="137">
        <f>VLOOKUP(A256,'Billing Dimensions'!$A:$N,6,FALSE)-VLOOKUP(A256,'Audit Dimensions'!$A:$N,6,FALSE)</f>
        <v>-2700</v>
      </c>
      <c r="G256" s="138">
        <f>VLOOKUP(A256,'Billing Dimensions'!$A:$N,7,FALSE)-VLOOKUP(A256,'Audit Dimensions'!$A:$N,7,FALSE)</f>
        <v>0</v>
      </c>
      <c r="H256" s="138">
        <f>VLOOKUP(A256,'Billing Dimensions'!$A:$N,8,FALSE)-VLOOKUP(A256,'Audit Dimensions'!$A:$N,8,FALSE)</f>
        <v>0</v>
      </c>
      <c r="I256" s="138">
        <f>VLOOKUP(A256,'Billing Dimensions'!$A:$N,9,FALSE)-VLOOKUP(A256,'Audit Dimensions'!$A:$N,9,FALSE)</f>
        <v>0</v>
      </c>
      <c r="J256" s="139">
        <f>VLOOKUP(A256,'Billing Dimensions'!$A:$N,10,FALSE)-VLOOKUP(A256,'Audit Dimensions'!$A:$N,10,FALSE)</f>
        <v>0</v>
      </c>
      <c r="K256" s="140">
        <f>VLOOKUP(A256,'Billing Dimensions'!$A:$N,11,FALSE)-VLOOKUP(A256,'Audit Dimensions'!$A:$N,11,FALSE)</f>
        <v>0</v>
      </c>
      <c r="L256" s="140">
        <f>VLOOKUP(A256,'Billing Dimensions'!$A:$N,12,FALSE)-VLOOKUP(A256,'Audit Dimensions'!$A:$N,12,FALSE)</f>
        <v>0</v>
      </c>
      <c r="M256" s="140">
        <f>VLOOKUP(A256,'Billing Dimensions'!$A:$N,13,FALSE)-VLOOKUP(A256,'Audit Dimensions'!$A:$N,13,FALSE)</f>
        <v>0</v>
      </c>
      <c r="N256" s="140">
        <f>VLOOKUP(A256,'Billing Dimensions'!$A:$N,14,FALSE)-VLOOKUP(A256,'Audit Dimensions'!$A:$N,14,FALSE)</f>
        <v>0</v>
      </c>
      <c r="O256" s="147">
        <f>VLOOKUP(A256,'Billing Dimensions'!A:Q,16,FALSE)-VLOOKUP('Audit VAR'!A256,'Audit Dimensions'!A:P,16,FALSE)</f>
        <v>-2700</v>
      </c>
      <c r="P256" s="148">
        <f t="shared" si="12"/>
        <v>-2.7</v>
      </c>
      <c r="Q256" s="151">
        <f t="shared" si="13"/>
        <v>-2.1191999999999999E-3</v>
      </c>
      <c r="R256" s="80">
        <f t="shared" si="14"/>
        <v>1274.0656851642132</v>
      </c>
    </row>
    <row r="257" spans="1:18" hidden="1">
      <c r="A257" s="170" t="s">
        <v>125</v>
      </c>
      <c r="B257" s="52" t="str">
        <f>VLOOKUP(A257,'Billing Dimensions'!A:B,2,FALSE)</f>
        <v>SB</v>
      </c>
      <c r="C257" s="136">
        <f>VLOOKUP(A257,'Billing Dimensions'!$A:$N,3,FALSE)-VLOOKUP(A257,'Audit Dimensions'!$A:$N,3,FALSE)</f>
        <v>-1</v>
      </c>
      <c r="D257" s="136">
        <f>VLOOKUP(A257,'Billing Dimensions'!$A:$N,4,FALSE)-VLOOKUP(A257,'Audit Dimensions'!$A:$N,4,FALSE)</f>
        <v>0</v>
      </c>
      <c r="E257" s="136">
        <f>VLOOKUP(A257,'Billing Dimensions'!$A:$N,5,FALSE)-VLOOKUP(A257,'Audit Dimensions'!$A:$N,5,FALSE)</f>
        <v>0</v>
      </c>
      <c r="F257" s="137">
        <f>VLOOKUP(A257,'Billing Dimensions'!$A:$N,6,FALSE)-VLOOKUP(A257,'Audit Dimensions'!$A:$N,6,FALSE)</f>
        <v>-665</v>
      </c>
      <c r="G257" s="138">
        <f>VLOOKUP(A257,'Billing Dimensions'!$A:$N,7,FALSE)-VLOOKUP(A257,'Audit Dimensions'!$A:$N,7,FALSE)</f>
        <v>0</v>
      </c>
      <c r="H257" s="138">
        <f>VLOOKUP(A257,'Billing Dimensions'!$A:$N,8,FALSE)-VLOOKUP(A257,'Audit Dimensions'!$A:$N,8,FALSE)</f>
        <v>0</v>
      </c>
      <c r="I257" s="138">
        <f>VLOOKUP(A257,'Billing Dimensions'!$A:$N,9,FALSE)-VLOOKUP(A257,'Audit Dimensions'!$A:$N,9,FALSE)</f>
        <v>0</v>
      </c>
      <c r="J257" s="139">
        <f>VLOOKUP(A257,'Billing Dimensions'!$A:$N,10,FALSE)-VLOOKUP(A257,'Audit Dimensions'!$A:$N,10,FALSE)</f>
        <v>0</v>
      </c>
      <c r="K257" s="140">
        <f>VLOOKUP(A257,'Billing Dimensions'!$A:$N,11,FALSE)-VLOOKUP(A257,'Audit Dimensions'!$A:$N,11,FALSE)</f>
        <v>0</v>
      </c>
      <c r="L257" s="140">
        <f>VLOOKUP(A257,'Billing Dimensions'!$A:$N,12,FALSE)-VLOOKUP(A257,'Audit Dimensions'!$A:$N,12,FALSE)</f>
        <v>0</v>
      </c>
      <c r="M257" s="140">
        <f>VLOOKUP(A257,'Billing Dimensions'!$A:$N,13,FALSE)-VLOOKUP(A257,'Audit Dimensions'!$A:$N,13,FALSE)</f>
        <v>0</v>
      </c>
      <c r="N257" s="140">
        <f>VLOOKUP(A257,'Billing Dimensions'!$A:$N,14,FALSE)-VLOOKUP(A257,'Audit Dimensions'!$A:$N,14,FALSE)</f>
        <v>0</v>
      </c>
      <c r="O257" s="147">
        <f>VLOOKUP(A257,'Billing Dimensions'!A:Q,16,FALSE)-VLOOKUP('Audit VAR'!A257,'Audit Dimensions'!A:P,16,FALSE)</f>
        <v>-665</v>
      </c>
      <c r="P257" s="148">
        <f t="shared" si="12"/>
        <v>-0.66500000000000004</v>
      </c>
      <c r="Q257" s="151">
        <f t="shared" si="13"/>
        <v>0</v>
      </c>
      <c r="R257" s="80" t="e">
        <f t="shared" si="14"/>
        <v>#DIV/0!</v>
      </c>
    </row>
    <row r="258" spans="1:18" ht="15" hidden="1">
      <c r="A258" s="131" t="s">
        <v>376</v>
      </c>
      <c r="B258" s="52" t="e">
        <f>VLOOKUP(A258,'Billing Dimensions'!A:B,2,FALSE)</f>
        <v>#N/A</v>
      </c>
      <c r="C258" s="136" t="e">
        <f>VLOOKUP(A258,'Billing Dimensions'!$A:$N,3,FALSE)-VLOOKUP(A258,'Audit Dimensions'!$A:$N,3,FALSE)</f>
        <v>#N/A</v>
      </c>
      <c r="D258" s="136" t="e">
        <f>VLOOKUP(A258,'Billing Dimensions'!$A:$N,4,FALSE)-VLOOKUP(A258,'Audit Dimensions'!$A:$N,4,FALSE)</f>
        <v>#N/A</v>
      </c>
      <c r="E258" s="136" t="e">
        <f>VLOOKUP(A258,'Billing Dimensions'!$A:$N,5,FALSE)-VLOOKUP(A258,'Audit Dimensions'!$A:$N,5,FALSE)</f>
        <v>#N/A</v>
      </c>
      <c r="F258" s="137" t="e">
        <f>VLOOKUP(A258,'Billing Dimensions'!$A:$N,6,FALSE)-VLOOKUP(A258,'Audit Dimensions'!$A:$N,6,FALSE)</f>
        <v>#N/A</v>
      </c>
      <c r="G258" s="138" t="e">
        <f>VLOOKUP(A258,'Billing Dimensions'!$A:$N,7,FALSE)-VLOOKUP(A258,'Audit Dimensions'!$A:$N,7,FALSE)</f>
        <v>#N/A</v>
      </c>
      <c r="H258" s="138" t="e">
        <f>VLOOKUP(A258,'Billing Dimensions'!$A:$N,8,FALSE)-VLOOKUP(A258,'Audit Dimensions'!$A:$N,8,FALSE)</f>
        <v>#N/A</v>
      </c>
      <c r="I258" s="138" t="e">
        <f>VLOOKUP(A258,'Billing Dimensions'!$A:$N,9,FALSE)-VLOOKUP(A258,'Audit Dimensions'!$A:$N,9,FALSE)</f>
        <v>#N/A</v>
      </c>
      <c r="J258" s="139" t="e">
        <f>VLOOKUP(A258,'Billing Dimensions'!$A:$N,10,FALSE)-VLOOKUP(A258,'Audit Dimensions'!$A:$N,10,FALSE)</f>
        <v>#N/A</v>
      </c>
      <c r="K258" s="140" t="e">
        <f>VLOOKUP(A258,'Billing Dimensions'!$A:$N,11,FALSE)-VLOOKUP(A258,'Audit Dimensions'!$A:$N,11,FALSE)</f>
        <v>#N/A</v>
      </c>
      <c r="L258" s="140" t="e">
        <f>VLOOKUP(A258,'Billing Dimensions'!$A:$N,12,FALSE)-VLOOKUP(A258,'Audit Dimensions'!$A:$N,12,FALSE)</f>
        <v>#N/A</v>
      </c>
      <c r="M258" s="140" t="e">
        <f>VLOOKUP(A258,'Billing Dimensions'!$A:$N,13,FALSE)-VLOOKUP(A258,'Audit Dimensions'!$A:$N,13,FALSE)</f>
        <v>#N/A</v>
      </c>
      <c r="N258" s="140" t="e">
        <f>VLOOKUP(A258,'Billing Dimensions'!$A:$N,14,FALSE)-VLOOKUP(A258,'Audit Dimensions'!$A:$N,14,FALSE)</f>
        <v>#N/A</v>
      </c>
      <c r="O258" s="147" t="e">
        <f>VLOOKUP(A258,'Billing Dimensions'!A:Q,16,FALSE)-VLOOKUP('Audit VAR'!A258,'Audit Dimensions'!A:P,16,FALSE)</f>
        <v>#N/A</v>
      </c>
      <c r="P258" s="148" t="e">
        <f t="shared" si="12"/>
        <v>#N/A</v>
      </c>
      <c r="Q258" s="151" t="e">
        <f t="shared" si="13"/>
        <v>#N/A</v>
      </c>
      <c r="R258" s="80" t="e">
        <f t="shared" si="14"/>
        <v>#N/A</v>
      </c>
    </row>
    <row r="259" spans="1:18" ht="15" hidden="1">
      <c r="A259" s="131" t="s">
        <v>377</v>
      </c>
      <c r="B259" s="52" t="e">
        <f>VLOOKUP(A259,'Billing Dimensions'!A:B,2,FALSE)</f>
        <v>#N/A</v>
      </c>
      <c r="C259" s="136" t="e">
        <f>VLOOKUP(A259,'Billing Dimensions'!$A:$N,3,FALSE)-VLOOKUP(A259,'Audit Dimensions'!$A:$N,3,FALSE)</f>
        <v>#N/A</v>
      </c>
      <c r="D259" s="136" t="e">
        <f>VLOOKUP(A259,'Billing Dimensions'!$A:$N,4,FALSE)-VLOOKUP(A259,'Audit Dimensions'!$A:$N,4,FALSE)</f>
        <v>#N/A</v>
      </c>
      <c r="E259" s="136" t="e">
        <f>VLOOKUP(A259,'Billing Dimensions'!$A:$N,5,FALSE)-VLOOKUP(A259,'Audit Dimensions'!$A:$N,5,FALSE)</f>
        <v>#N/A</v>
      </c>
      <c r="F259" s="137" t="e">
        <f>VLOOKUP(A259,'Billing Dimensions'!$A:$N,6,FALSE)-VLOOKUP(A259,'Audit Dimensions'!$A:$N,6,FALSE)</f>
        <v>#N/A</v>
      </c>
      <c r="G259" s="138" t="e">
        <f>VLOOKUP(A259,'Billing Dimensions'!$A:$N,7,FALSE)-VLOOKUP(A259,'Audit Dimensions'!$A:$N,7,FALSE)</f>
        <v>#N/A</v>
      </c>
      <c r="H259" s="138" t="e">
        <f>VLOOKUP(A259,'Billing Dimensions'!$A:$N,8,FALSE)-VLOOKUP(A259,'Audit Dimensions'!$A:$N,8,FALSE)</f>
        <v>#N/A</v>
      </c>
      <c r="I259" s="138" t="e">
        <f>VLOOKUP(A259,'Billing Dimensions'!$A:$N,9,FALSE)-VLOOKUP(A259,'Audit Dimensions'!$A:$N,9,FALSE)</f>
        <v>#N/A</v>
      </c>
      <c r="J259" s="139" t="e">
        <f>VLOOKUP(A259,'Billing Dimensions'!$A:$N,10,FALSE)-VLOOKUP(A259,'Audit Dimensions'!$A:$N,10,FALSE)</f>
        <v>#N/A</v>
      </c>
      <c r="K259" s="140" t="e">
        <f>VLOOKUP(A259,'Billing Dimensions'!$A:$N,11,FALSE)-VLOOKUP(A259,'Audit Dimensions'!$A:$N,11,FALSE)</f>
        <v>#N/A</v>
      </c>
      <c r="L259" s="140" t="e">
        <f>VLOOKUP(A259,'Billing Dimensions'!$A:$N,12,FALSE)-VLOOKUP(A259,'Audit Dimensions'!$A:$N,12,FALSE)</f>
        <v>#N/A</v>
      </c>
      <c r="M259" s="140" t="e">
        <f>VLOOKUP(A259,'Billing Dimensions'!$A:$N,13,FALSE)-VLOOKUP(A259,'Audit Dimensions'!$A:$N,13,FALSE)</f>
        <v>#N/A</v>
      </c>
      <c r="N259" s="140" t="e">
        <f>VLOOKUP(A259,'Billing Dimensions'!$A:$N,14,FALSE)-VLOOKUP(A259,'Audit Dimensions'!$A:$N,14,FALSE)</f>
        <v>#N/A</v>
      </c>
      <c r="O259" s="147" t="e">
        <f>VLOOKUP(A259,'Billing Dimensions'!A:Q,16,FALSE)-VLOOKUP('Audit VAR'!A259,'Audit Dimensions'!A:P,16,FALSE)</f>
        <v>#N/A</v>
      </c>
      <c r="P259" s="148" t="e">
        <f t="shared" si="12"/>
        <v>#N/A</v>
      </c>
      <c r="Q259" s="151" t="e">
        <f t="shared" si="13"/>
        <v>#N/A</v>
      </c>
      <c r="R259" s="80" t="e">
        <f t="shared" si="14"/>
        <v>#N/A</v>
      </c>
    </row>
    <row r="260" spans="1:18" ht="15" hidden="1">
      <c r="A260" s="131" t="s">
        <v>224</v>
      </c>
      <c r="B260" s="52" t="str">
        <f>VLOOKUP(A260,'Billing Dimensions'!A:B,2,FALSE)</f>
        <v>SB</v>
      </c>
      <c r="C260" s="136">
        <f>VLOOKUP(A260,'Billing Dimensions'!$A:$N,3,FALSE)-VLOOKUP(A260,'Audit Dimensions'!$A:$N,3,FALSE)</f>
        <v>-2</v>
      </c>
      <c r="D260" s="136">
        <f>VLOOKUP(A260,'Billing Dimensions'!$A:$N,4,FALSE)-VLOOKUP(A260,'Audit Dimensions'!$A:$N,4,FALSE)</f>
        <v>-35</v>
      </c>
      <c r="E260" s="136">
        <f>VLOOKUP(A260,'Billing Dimensions'!$A:$N,5,FALSE)-VLOOKUP(A260,'Audit Dimensions'!$A:$N,5,FALSE)</f>
        <v>6</v>
      </c>
      <c r="F260" s="137">
        <f>VLOOKUP(A260,'Billing Dimensions'!$A:$N,6,FALSE)-VLOOKUP(A260,'Audit Dimensions'!$A:$N,6,FALSE)</f>
        <v>-4050</v>
      </c>
      <c r="G260" s="138">
        <f>VLOOKUP(A260,'Billing Dimensions'!$A:$N,7,FALSE)-VLOOKUP(A260,'Audit Dimensions'!$A:$N,7,FALSE)</f>
        <v>0</v>
      </c>
      <c r="H260" s="138">
        <f>VLOOKUP(A260,'Billing Dimensions'!$A:$N,8,FALSE)-VLOOKUP(A260,'Audit Dimensions'!$A:$N,8,FALSE)</f>
        <v>0</v>
      </c>
      <c r="I260" s="138">
        <f>VLOOKUP(A260,'Billing Dimensions'!$A:$N,9,FALSE)-VLOOKUP(A260,'Audit Dimensions'!$A:$N,9,FALSE)</f>
        <v>0</v>
      </c>
      <c r="J260" s="139">
        <f>VLOOKUP(A260,'Billing Dimensions'!$A:$N,10,FALSE)-VLOOKUP(A260,'Audit Dimensions'!$A:$N,10,FALSE)</f>
        <v>0</v>
      </c>
      <c r="K260" s="140">
        <f>VLOOKUP(A260,'Billing Dimensions'!$A:$N,11,FALSE)-VLOOKUP(A260,'Audit Dimensions'!$A:$N,11,FALSE)</f>
        <v>0</v>
      </c>
      <c r="L260" s="140">
        <f>VLOOKUP(A260,'Billing Dimensions'!$A:$N,12,FALSE)-VLOOKUP(A260,'Audit Dimensions'!$A:$N,12,FALSE)</f>
        <v>0</v>
      </c>
      <c r="M260" s="140">
        <f>VLOOKUP(A260,'Billing Dimensions'!$A:$N,13,FALSE)-VLOOKUP(A260,'Audit Dimensions'!$A:$N,13,FALSE)</f>
        <v>0</v>
      </c>
      <c r="N260" s="140">
        <f>VLOOKUP(A260,'Billing Dimensions'!$A:$N,14,FALSE)-VLOOKUP(A260,'Audit Dimensions'!$A:$N,14,FALSE)</f>
        <v>0</v>
      </c>
      <c r="O260" s="147">
        <f>VLOOKUP(A260,'Billing Dimensions'!A:Q,16,FALSE)-VLOOKUP('Audit VAR'!A260,'Audit Dimensions'!A:P,16,FALSE)</f>
        <v>-4050</v>
      </c>
      <c r="P260" s="148">
        <f t="shared" si="12"/>
        <v>-4.05</v>
      </c>
      <c r="Q260" s="151">
        <f t="shared" si="13"/>
        <v>1.4834400000000001E-2</v>
      </c>
      <c r="R260" s="80">
        <f t="shared" si="14"/>
        <v>-273.01407539233128</v>
      </c>
    </row>
    <row r="261" spans="1:18" ht="15" hidden="1">
      <c r="A261" s="131" t="s">
        <v>221</v>
      </c>
      <c r="B261" s="52" t="str">
        <f>VLOOKUP(A261,'Billing Dimensions'!A:B,2,FALSE)</f>
        <v>SB</v>
      </c>
      <c r="C261" s="136">
        <f>VLOOKUP(A261,'Billing Dimensions'!$A:$N,3,FALSE)-VLOOKUP(A261,'Audit Dimensions'!$A:$N,3,FALSE)</f>
        <v>-1</v>
      </c>
      <c r="D261" s="136">
        <f>VLOOKUP(A261,'Billing Dimensions'!$A:$N,4,FALSE)-VLOOKUP(A261,'Audit Dimensions'!$A:$N,4,FALSE)</f>
        <v>1</v>
      </c>
      <c r="E261" s="136">
        <f>VLOOKUP(A261,'Billing Dimensions'!$A:$N,5,FALSE)-VLOOKUP(A261,'Audit Dimensions'!$A:$N,5,FALSE)</f>
        <v>1</v>
      </c>
      <c r="F261" s="137">
        <f>VLOOKUP(A261,'Billing Dimensions'!$A:$N,6,FALSE)-VLOOKUP(A261,'Audit Dimensions'!$A:$N,6,FALSE)</f>
        <v>-300</v>
      </c>
      <c r="G261" s="138">
        <f>VLOOKUP(A261,'Billing Dimensions'!$A:$N,7,FALSE)-VLOOKUP(A261,'Audit Dimensions'!$A:$N,7,FALSE)</f>
        <v>0</v>
      </c>
      <c r="H261" s="138">
        <f>VLOOKUP(A261,'Billing Dimensions'!$A:$N,8,FALSE)-VLOOKUP(A261,'Audit Dimensions'!$A:$N,8,FALSE)</f>
        <v>0</v>
      </c>
      <c r="I261" s="138">
        <f>VLOOKUP(A261,'Billing Dimensions'!$A:$N,9,FALSE)-VLOOKUP(A261,'Audit Dimensions'!$A:$N,9,FALSE)</f>
        <v>0</v>
      </c>
      <c r="J261" s="139">
        <f>VLOOKUP(A261,'Billing Dimensions'!$A:$N,10,FALSE)-VLOOKUP(A261,'Audit Dimensions'!$A:$N,10,FALSE)</f>
        <v>0</v>
      </c>
      <c r="K261" s="140">
        <f>VLOOKUP(A261,'Billing Dimensions'!$A:$N,11,FALSE)-VLOOKUP(A261,'Audit Dimensions'!$A:$N,11,FALSE)</f>
        <v>0</v>
      </c>
      <c r="L261" s="140">
        <f>VLOOKUP(A261,'Billing Dimensions'!$A:$N,12,FALSE)-VLOOKUP(A261,'Audit Dimensions'!$A:$N,12,FALSE)</f>
        <v>0</v>
      </c>
      <c r="M261" s="140">
        <f>VLOOKUP(A261,'Billing Dimensions'!$A:$N,13,FALSE)-VLOOKUP(A261,'Audit Dimensions'!$A:$N,13,FALSE)</f>
        <v>0</v>
      </c>
      <c r="N261" s="140">
        <f>VLOOKUP(A261,'Billing Dimensions'!$A:$N,14,FALSE)-VLOOKUP(A261,'Audit Dimensions'!$A:$N,14,FALSE)</f>
        <v>0</v>
      </c>
      <c r="O261" s="147">
        <f>VLOOKUP(A261,'Billing Dimensions'!A:Q,16,FALSE)-VLOOKUP('Audit VAR'!A261,'Audit Dimensions'!A:P,16,FALSE)</f>
        <v>-300</v>
      </c>
      <c r="P261" s="148">
        <f t="shared" si="12"/>
        <v>-0.3</v>
      </c>
      <c r="Q261" s="151">
        <f t="shared" si="13"/>
        <v>-3.5320000000000001E-5</v>
      </c>
      <c r="R261" s="80">
        <f t="shared" si="14"/>
        <v>8493.7712344280862</v>
      </c>
    </row>
    <row r="262" spans="1:18" ht="15" hidden="1">
      <c r="A262" s="131" t="s">
        <v>273</v>
      </c>
      <c r="B262" s="52" t="str">
        <f>VLOOKUP(A262,'Billing Dimensions'!A:B,2,FALSE)</f>
        <v>SB</v>
      </c>
      <c r="C262" s="136">
        <f>VLOOKUP(A262,'Billing Dimensions'!$A:$N,3,FALSE)-VLOOKUP(A262,'Audit Dimensions'!$A:$N,3,FALSE)</f>
        <v>-8</v>
      </c>
      <c r="D262" s="136">
        <f>VLOOKUP(A262,'Billing Dimensions'!$A:$N,4,FALSE)-VLOOKUP(A262,'Audit Dimensions'!$A:$N,4,FALSE)</f>
        <v>-8</v>
      </c>
      <c r="E262" s="136">
        <f>VLOOKUP(A262,'Billing Dimensions'!$A:$N,5,FALSE)-VLOOKUP(A262,'Audit Dimensions'!$A:$N,5,FALSE)</f>
        <v>-4</v>
      </c>
      <c r="F262" s="137">
        <f>VLOOKUP(A262,'Billing Dimensions'!$A:$N,6,FALSE)-VLOOKUP(A262,'Audit Dimensions'!$A:$N,6,FALSE)</f>
        <v>-2400</v>
      </c>
      <c r="G262" s="138">
        <f>VLOOKUP(A262,'Billing Dimensions'!$A:$N,7,FALSE)-VLOOKUP(A262,'Audit Dimensions'!$A:$N,7,FALSE)</f>
        <v>0</v>
      </c>
      <c r="H262" s="138">
        <f>VLOOKUP(A262,'Billing Dimensions'!$A:$N,8,FALSE)-VLOOKUP(A262,'Audit Dimensions'!$A:$N,8,FALSE)</f>
        <v>0</v>
      </c>
      <c r="I262" s="138">
        <f>VLOOKUP(A262,'Billing Dimensions'!$A:$N,9,FALSE)-VLOOKUP(A262,'Audit Dimensions'!$A:$N,9,FALSE)</f>
        <v>0</v>
      </c>
      <c r="J262" s="139">
        <f>VLOOKUP(A262,'Billing Dimensions'!$A:$N,10,FALSE)-VLOOKUP(A262,'Audit Dimensions'!$A:$N,10,FALSE)</f>
        <v>0</v>
      </c>
      <c r="K262" s="140">
        <f>VLOOKUP(A262,'Billing Dimensions'!$A:$N,11,FALSE)-VLOOKUP(A262,'Audit Dimensions'!$A:$N,11,FALSE)</f>
        <v>0</v>
      </c>
      <c r="L262" s="140">
        <f>VLOOKUP(A262,'Billing Dimensions'!$A:$N,12,FALSE)-VLOOKUP(A262,'Audit Dimensions'!$A:$N,12,FALSE)</f>
        <v>0</v>
      </c>
      <c r="M262" s="140">
        <f>VLOOKUP(A262,'Billing Dimensions'!$A:$N,13,FALSE)-VLOOKUP(A262,'Audit Dimensions'!$A:$N,13,FALSE)</f>
        <v>0</v>
      </c>
      <c r="N262" s="140">
        <f>VLOOKUP(A262,'Billing Dimensions'!$A:$N,14,FALSE)-VLOOKUP(A262,'Audit Dimensions'!$A:$N,14,FALSE)</f>
        <v>0</v>
      </c>
      <c r="O262" s="147">
        <f>VLOOKUP(A262,'Billing Dimensions'!A:Q,16,FALSE)-VLOOKUP('Audit VAR'!A262,'Audit Dimensions'!A:P,16,FALSE)</f>
        <v>-2400</v>
      </c>
      <c r="P262" s="148">
        <f t="shared" si="12"/>
        <v>-2.4</v>
      </c>
      <c r="Q262" s="151">
        <f t="shared" si="13"/>
        <v>-9.0419200000000002E-3</v>
      </c>
      <c r="R262" s="80">
        <f t="shared" si="14"/>
        <v>265.4303510758777</v>
      </c>
    </row>
    <row r="263" spans="1:18" ht="15" hidden="1">
      <c r="A263" s="131" t="s">
        <v>239</v>
      </c>
      <c r="B263" s="52" t="str">
        <f>VLOOKUP(A263,'Billing Dimensions'!A:B,2,FALSE)</f>
        <v>SB</v>
      </c>
      <c r="C263" s="136">
        <f>VLOOKUP(A263,'Billing Dimensions'!$A:$N,3,FALSE)-VLOOKUP(A263,'Audit Dimensions'!$A:$N,3,FALSE)</f>
        <v>-36</v>
      </c>
      <c r="D263" s="136">
        <f>VLOOKUP(A263,'Billing Dimensions'!$A:$N,4,FALSE)-VLOOKUP(A263,'Audit Dimensions'!$A:$N,4,FALSE)</f>
        <v>9</v>
      </c>
      <c r="E263" s="136">
        <f>VLOOKUP(A263,'Billing Dimensions'!$A:$N,5,FALSE)-VLOOKUP(A263,'Audit Dimensions'!$A:$N,5,FALSE)</f>
        <v>-1</v>
      </c>
      <c r="F263" s="137">
        <f>VLOOKUP(A263,'Billing Dimensions'!$A:$N,6,FALSE)-VLOOKUP(A263,'Audit Dimensions'!$A:$N,6,FALSE)</f>
        <v>-1600</v>
      </c>
      <c r="G263" s="138">
        <f>VLOOKUP(A263,'Billing Dimensions'!$A:$N,7,FALSE)-VLOOKUP(A263,'Audit Dimensions'!$A:$N,7,FALSE)</f>
        <v>0</v>
      </c>
      <c r="H263" s="138">
        <f>VLOOKUP(A263,'Billing Dimensions'!$A:$N,8,FALSE)-VLOOKUP(A263,'Audit Dimensions'!$A:$N,8,FALSE)</f>
        <v>0</v>
      </c>
      <c r="I263" s="138">
        <f>VLOOKUP(A263,'Billing Dimensions'!$A:$N,9,FALSE)-VLOOKUP(A263,'Audit Dimensions'!$A:$N,9,FALSE)</f>
        <v>0</v>
      </c>
      <c r="J263" s="139">
        <f>VLOOKUP(A263,'Billing Dimensions'!$A:$N,10,FALSE)-VLOOKUP(A263,'Audit Dimensions'!$A:$N,10,FALSE)</f>
        <v>0</v>
      </c>
      <c r="K263" s="140">
        <f>VLOOKUP(A263,'Billing Dimensions'!$A:$N,11,FALSE)-VLOOKUP(A263,'Audit Dimensions'!$A:$N,11,FALSE)</f>
        <v>0</v>
      </c>
      <c r="L263" s="140">
        <f>VLOOKUP(A263,'Billing Dimensions'!$A:$N,12,FALSE)-VLOOKUP(A263,'Audit Dimensions'!$A:$N,12,FALSE)</f>
        <v>0</v>
      </c>
      <c r="M263" s="140">
        <f>VLOOKUP(A263,'Billing Dimensions'!$A:$N,13,FALSE)-VLOOKUP(A263,'Audit Dimensions'!$A:$N,13,FALSE)</f>
        <v>0</v>
      </c>
      <c r="N263" s="140">
        <f>VLOOKUP(A263,'Billing Dimensions'!$A:$N,14,FALSE)-VLOOKUP(A263,'Audit Dimensions'!$A:$N,14,FALSE)</f>
        <v>0</v>
      </c>
      <c r="O263" s="147">
        <f>VLOOKUP(A263,'Billing Dimensions'!A:Q,16,FALSE)-VLOOKUP('Audit VAR'!A263,'Audit Dimensions'!A:P,16,FALSE)</f>
        <v>-1600</v>
      </c>
      <c r="P263" s="148">
        <f t="shared" si="12"/>
        <v>-1.6</v>
      </c>
      <c r="Q263" s="151">
        <f t="shared" si="13"/>
        <v>1.1443680000000001E-2</v>
      </c>
      <c r="R263" s="80">
        <f t="shared" si="14"/>
        <v>-139.8151643527257</v>
      </c>
    </row>
    <row r="264" spans="1:18" ht="15" hidden="1">
      <c r="A264" s="131" t="s">
        <v>122</v>
      </c>
      <c r="B264" s="52" t="str">
        <f>VLOOKUP(A264,'Billing Dimensions'!A:B,2,FALSE)</f>
        <v>SB</v>
      </c>
      <c r="C264" s="136">
        <f>VLOOKUP(A264,'Billing Dimensions'!$A:$N,3,FALSE)-VLOOKUP(A264,'Audit Dimensions'!$A:$N,3,FALSE)</f>
        <v>0</v>
      </c>
      <c r="D264" s="136">
        <f>VLOOKUP(A264,'Billing Dimensions'!$A:$N,4,FALSE)-VLOOKUP(A264,'Audit Dimensions'!$A:$N,4,FALSE)</f>
        <v>-1</v>
      </c>
      <c r="E264" s="136">
        <f>VLOOKUP(A264,'Billing Dimensions'!$A:$N,5,FALSE)-VLOOKUP(A264,'Audit Dimensions'!$A:$N,5,FALSE)</f>
        <v>0</v>
      </c>
      <c r="F264" s="137">
        <f>VLOOKUP(A264,'Billing Dimensions'!$A:$N,6,FALSE)-VLOOKUP(A264,'Audit Dimensions'!$A:$N,6,FALSE)</f>
        <v>350</v>
      </c>
      <c r="G264" s="138">
        <f>VLOOKUP(A264,'Billing Dimensions'!$A:$N,7,FALSE)-VLOOKUP(A264,'Audit Dimensions'!$A:$N,7,FALSE)</f>
        <v>0</v>
      </c>
      <c r="H264" s="138">
        <f>VLOOKUP(A264,'Billing Dimensions'!$A:$N,8,FALSE)-VLOOKUP(A264,'Audit Dimensions'!$A:$N,8,FALSE)</f>
        <v>0</v>
      </c>
      <c r="I264" s="138">
        <f>VLOOKUP(A264,'Billing Dimensions'!$A:$N,9,FALSE)-VLOOKUP(A264,'Audit Dimensions'!$A:$N,9,FALSE)</f>
        <v>0</v>
      </c>
      <c r="J264" s="139">
        <f>VLOOKUP(A264,'Billing Dimensions'!$A:$N,10,FALSE)-VLOOKUP(A264,'Audit Dimensions'!$A:$N,10,FALSE)</f>
        <v>0</v>
      </c>
      <c r="K264" s="140">
        <f>VLOOKUP(A264,'Billing Dimensions'!$A:$N,11,FALSE)-VLOOKUP(A264,'Audit Dimensions'!$A:$N,11,FALSE)</f>
        <v>0</v>
      </c>
      <c r="L264" s="140">
        <f>VLOOKUP(A264,'Billing Dimensions'!$A:$N,12,FALSE)-VLOOKUP(A264,'Audit Dimensions'!$A:$N,12,FALSE)</f>
        <v>0</v>
      </c>
      <c r="M264" s="140">
        <f>VLOOKUP(A264,'Billing Dimensions'!$A:$N,13,FALSE)-VLOOKUP(A264,'Audit Dimensions'!$A:$N,13,FALSE)</f>
        <v>0</v>
      </c>
      <c r="N264" s="140">
        <f>VLOOKUP(A264,'Billing Dimensions'!$A:$N,14,FALSE)-VLOOKUP(A264,'Audit Dimensions'!$A:$N,14,FALSE)</f>
        <v>0</v>
      </c>
      <c r="O264" s="147">
        <f>VLOOKUP(A264,'Billing Dimensions'!A:Q,16,FALSE)-VLOOKUP('Audit VAR'!A264,'Audit Dimensions'!A:P,16,FALSE)</f>
        <v>350</v>
      </c>
      <c r="P264" s="148">
        <f t="shared" si="12"/>
        <v>0.35</v>
      </c>
      <c r="Q264" s="151">
        <f t="shared" si="13"/>
        <v>0</v>
      </c>
      <c r="R264" s="80" t="e">
        <f t="shared" si="14"/>
        <v>#DIV/0!</v>
      </c>
    </row>
    <row r="265" spans="1:18" ht="15" hidden="1">
      <c r="A265" s="131" t="s">
        <v>121</v>
      </c>
      <c r="B265" s="52" t="str">
        <f>VLOOKUP(A265,'Billing Dimensions'!A:B,2,FALSE)</f>
        <v>SB</v>
      </c>
      <c r="C265" s="136">
        <f>VLOOKUP(A265,'Billing Dimensions'!$A:$N,3,FALSE)-VLOOKUP(A265,'Audit Dimensions'!$A:$N,3,FALSE)</f>
        <v>-27</v>
      </c>
      <c r="D265" s="136">
        <f>VLOOKUP(A265,'Billing Dimensions'!$A:$N,4,FALSE)-VLOOKUP(A265,'Audit Dimensions'!$A:$N,4,FALSE)</f>
        <v>0</v>
      </c>
      <c r="E265" s="136">
        <f>VLOOKUP(A265,'Billing Dimensions'!$A:$N,5,FALSE)-VLOOKUP(A265,'Audit Dimensions'!$A:$N,5,FALSE)</f>
        <v>0</v>
      </c>
      <c r="F265" s="137">
        <f>VLOOKUP(A265,'Billing Dimensions'!$A:$N,6,FALSE)-VLOOKUP(A265,'Audit Dimensions'!$A:$N,6,FALSE)</f>
        <v>-2300</v>
      </c>
      <c r="G265" s="138">
        <f>VLOOKUP(A265,'Billing Dimensions'!$A:$N,7,FALSE)-VLOOKUP(A265,'Audit Dimensions'!$A:$N,7,FALSE)</f>
        <v>0</v>
      </c>
      <c r="H265" s="138">
        <f>VLOOKUP(A265,'Billing Dimensions'!$A:$N,8,FALSE)-VLOOKUP(A265,'Audit Dimensions'!$A:$N,8,FALSE)</f>
        <v>0</v>
      </c>
      <c r="I265" s="138">
        <f>VLOOKUP(A265,'Billing Dimensions'!$A:$N,9,FALSE)-VLOOKUP(A265,'Audit Dimensions'!$A:$N,9,FALSE)</f>
        <v>0</v>
      </c>
      <c r="J265" s="139">
        <f>VLOOKUP(A265,'Billing Dimensions'!$A:$N,10,FALSE)-VLOOKUP(A265,'Audit Dimensions'!$A:$N,10,FALSE)</f>
        <v>0</v>
      </c>
      <c r="K265" s="140">
        <f>VLOOKUP(A265,'Billing Dimensions'!$A:$N,11,FALSE)-VLOOKUP(A265,'Audit Dimensions'!$A:$N,11,FALSE)</f>
        <v>0</v>
      </c>
      <c r="L265" s="140">
        <f>VLOOKUP(A265,'Billing Dimensions'!$A:$N,12,FALSE)-VLOOKUP(A265,'Audit Dimensions'!$A:$N,12,FALSE)</f>
        <v>0</v>
      </c>
      <c r="M265" s="140">
        <f>VLOOKUP(A265,'Billing Dimensions'!$A:$N,13,FALSE)-VLOOKUP(A265,'Audit Dimensions'!$A:$N,13,FALSE)</f>
        <v>0</v>
      </c>
      <c r="N265" s="140">
        <f>VLOOKUP(A265,'Billing Dimensions'!$A:$N,14,FALSE)-VLOOKUP(A265,'Audit Dimensions'!$A:$N,14,FALSE)</f>
        <v>0</v>
      </c>
      <c r="O265" s="147">
        <f>VLOOKUP(A265,'Billing Dimensions'!A:Q,16,FALSE)-VLOOKUP('Audit VAR'!A265,'Audit Dimensions'!A:P,16,FALSE)</f>
        <v>-2300</v>
      </c>
      <c r="P265" s="148">
        <f t="shared" si="12"/>
        <v>-2.2999999999999998</v>
      </c>
      <c r="Q265" s="151">
        <f t="shared" si="13"/>
        <v>0</v>
      </c>
      <c r="R265" s="80" t="e">
        <f t="shared" si="14"/>
        <v>#DIV/0!</v>
      </c>
    </row>
    <row r="266" spans="1:18" ht="15">
      <c r="A266" s="131" t="s">
        <v>395</v>
      </c>
      <c r="B266" s="52" t="e">
        <f>VLOOKUP(A266,'Billing Dimensions'!A:B,2,FALSE)</f>
        <v>#N/A</v>
      </c>
      <c r="C266" s="136" t="e">
        <f>VLOOKUP(A266,'Billing Dimensions'!$A:$N,3,FALSE)-VLOOKUP(A266,'Audit Dimensions'!$A:$N,3,FALSE)</f>
        <v>#N/A</v>
      </c>
      <c r="D266" s="136" t="e">
        <f>VLOOKUP(A266,'Billing Dimensions'!$A:$N,4,FALSE)-VLOOKUP(A266,'Audit Dimensions'!$A:$N,4,FALSE)</f>
        <v>#N/A</v>
      </c>
      <c r="E266" s="136" t="e">
        <f>VLOOKUP(A266,'Billing Dimensions'!$A:$N,5,FALSE)-VLOOKUP(A266,'Audit Dimensions'!$A:$N,5,FALSE)</f>
        <v>#N/A</v>
      </c>
      <c r="F266" s="137" t="e">
        <f>VLOOKUP(A266,'Billing Dimensions'!$A:$N,6,FALSE)-VLOOKUP(A266,'Audit Dimensions'!$A:$N,6,FALSE)</f>
        <v>#N/A</v>
      </c>
      <c r="G266" s="138" t="e">
        <f>VLOOKUP(A266,'Billing Dimensions'!$A:$N,7,FALSE)-VLOOKUP(A266,'Audit Dimensions'!$A:$N,7,FALSE)</f>
        <v>#N/A</v>
      </c>
      <c r="H266" s="138" t="e">
        <f>VLOOKUP(A266,'Billing Dimensions'!$A:$N,8,FALSE)-VLOOKUP(A266,'Audit Dimensions'!$A:$N,8,FALSE)</f>
        <v>#N/A</v>
      </c>
      <c r="I266" s="138" t="e">
        <f>VLOOKUP(A266,'Billing Dimensions'!$A:$N,9,FALSE)-VLOOKUP(A266,'Audit Dimensions'!$A:$N,9,FALSE)</f>
        <v>#N/A</v>
      </c>
      <c r="J266" s="139" t="e">
        <f>VLOOKUP(A266,'Billing Dimensions'!$A:$N,10,FALSE)-VLOOKUP(A266,'Audit Dimensions'!$A:$N,10,FALSE)</f>
        <v>#N/A</v>
      </c>
      <c r="K266" s="140" t="e">
        <f>VLOOKUP(A266,'Billing Dimensions'!$A:$N,11,FALSE)-VLOOKUP(A266,'Audit Dimensions'!$A:$N,11,FALSE)</f>
        <v>#N/A</v>
      </c>
      <c r="L266" s="140" t="e">
        <f>VLOOKUP(A266,'Billing Dimensions'!$A:$N,12,FALSE)-VLOOKUP(A266,'Audit Dimensions'!$A:$N,12,FALSE)</f>
        <v>#N/A</v>
      </c>
      <c r="M266" s="140" t="e">
        <f>VLOOKUP(A266,'Billing Dimensions'!$A:$N,13,FALSE)-VLOOKUP(A266,'Audit Dimensions'!$A:$N,13,FALSE)</f>
        <v>#N/A</v>
      </c>
      <c r="N266" s="140" t="e">
        <f>VLOOKUP(A266,'Billing Dimensions'!$A:$N,14,FALSE)-VLOOKUP(A266,'Audit Dimensions'!$A:$N,14,FALSE)</f>
        <v>#N/A</v>
      </c>
      <c r="O266" s="147" t="e">
        <f>VLOOKUP(A266,'Billing Dimensions'!A:Q,16,FALSE)-VLOOKUP('Audit VAR'!A266,'Audit Dimensions'!A:P,16,FALSE)</f>
        <v>#N/A</v>
      </c>
      <c r="P266" s="148" t="e">
        <f t="shared" si="12"/>
        <v>#N/A</v>
      </c>
      <c r="Q266" s="151" t="e">
        <f t="shared" si="13"/>
        <v>#N/A</v>
      </c>
      <c r="R266" s="80" t="e">
        <f t="shared" si="14"/>
        <v>#N/A</v>
      </c>
    </row>
    <row r="267" spans="1:18" ht="15" hidden="1">
      <c r="A267" s="131" t="s">
        <v>154</v>
      </c>
      <c r="B267" s="52" t="str">
        <f>VLOOKUP(A267,'Billing Dimensions'!A:B,2,FALSE)</f>
        <v>SB</v>
      </c>
      <c r="C267" s="136">
        <f>VLOOKUP(A267,'Billing Dimensions'!$A:$N,3,FALSE)-VLOOKUP(A267,'Audit Dimensions'!$A:$N,3,FALSE)</f>
        <v>0</v>
      </c>
      <c r="D267" s="136">
        <f>VLOOKUP(A267,'Billing Dimensions'!$A:$N,4,FALSE)-VLOOKUP(A267,'Audit Dimensions'!$A:$N,4,FALSE)</f>
        <v>-1</v>
      </c>
      <c r="E267" s="136">
        <f>VLOOKUP(A267,'Billing Dimensions'!$A:$N,5,FALSE)-VLOOKUP(A267,'Audit Dimensions'!$A:$N,5,FALSE)</f>
        <v>0</v>
      </c>
      <c r="F267" s="137">
        <f>VLOOKUP(A267,'Billing Dimensions'!$A:$N,6,FALSE)-VLOOKUP(A267,'Audit Dimensions'!$A:$N,6,FALSE)</f>
        <v>-100</v>
      </c>
      <c r="G267" s="138">
        <f>VLOOKUP(A267,'Billing Dimensions'!$A:$N,7,FALSE)-VLOOKUP(A267,'Audit Dimensions'!$A:$N,7,FALSE)</f>
        <v>0</v>
      </c>
      <c r="H267" s="138">
        <f>VLOOKUP(A267,'Billing Dimensions'!$A:$N,8,FALSE)-VLOOKUP(A267,'Audit Dimensions'!$A:$N,8,FALSE)</f>
        <v>0</v>
      </c>
      <c r="I267" s="138">
        <f>VLOOKUP(A267,'Billing Dimensions'!$A:$N,9,FALSE)-VLOOKUP(A267,'Audit Dimensions'!$A:$N,9,FALSE)</f>
        <v>0</v>
      </c>
      <c r="J267" s="139">
        <f>VLOOKUP(A267,'Billing Dimensions'!$A:$N,10,FALSE)-VLOOKUP(A267,'Audit Dimensions'!$A:$N,10,FALSE)</f>
        <v>0</v>
      </c>
      <c r="K267" s="140">
        <f>VLOOKUP(A267,'Billing Dimensions'!$A:$N,11,FALSE)-VLOOKUP(A267,'Audit Dimensions'!$A:$N,11,FALSE)</f>
        <v>0</v>
      </c>
      <c r="L267" s="140">
        <f>VLOOKUP(A267,'Billing Dimensions'!$A:$N,12,FALSE)-VLOOKUP(A267,'Audit Dimensions'!$A:$N,12,FALSE)</f>
        <v>0</v>
      </c>
      <c r="M267" s="140">
        <f>VLOOKUP(A267,'Billing Dimensions'!$A:$N,13,FALSE)-VLOOKUP(A267,'Audit Dimensions'!$A:$N,13,FALSE)</f>
        <v>0</v>
      </c>
      <c r="N267" s="140">
        <f>VLOOKUP(A267,'Billing Dimensions'!$A:$N,14,FALSE)-VLOOKUP(A267,'Audit Dimensions'!$A:$N,14,FALSE)</f>
        <v>0</v>
      </c>
      <c r="O267" s="147">
        <f>VLOOKUP(A267,'Billing Dimensions'!A:Q,16,FALSE)-VLOOKUP('Audit VAR'!A267,'Audit Dimensions'!A:P,16,FALSE)</f>
        <v>-100</v>
      </c>
      <c r="P267" s="148">
        <f t="shared" si="12"/>
        <v>-0.1</v>
      </c>
      <c r="Q267" s="151">
        <f t="shared" si="13"/>
        <v>0</v>
      </c>
      <c r="R267" s="80" t="e">
        <f t="shared" si="14"/>
        <v>#DIV/0!</v>
      </c>
    </row>
    <row r="268" spans="1:18" ht="15" hidden="1">
      <c r="A268" s="131" t="s">
        <v>118</v>
      </c>
      <c r="B268" s="52" t="str">
        <f>VLOOKUP(A268,'Billing Dimensions'!A:B,2,FALSE)</f>
        <v>SB</v>
      </c>
      <c r="C268" s="136">
        <f>VLOOKUP(A268,'Billing Dimensions'!$A:$N,3,FALSE)-VLOOKUP(A268,'Audit Dimensions'!$A:$N,3,FALSE)</f>
        <v>0</v>
      </c>
      <c r="D268" s="136">
        <f>VLOOKUP(A268,'Billing Dimensions'!$A:$N,4,FALSE)-VLOOKUP(A268,'Audit Dimensions'!$A:$N,4,FALSE)</f>
        <v>2</v>
      </c>
      <c r="E268" s="136">
        <f>VLOOKUP(A268,'Billing Dimensions'!$A:$N,5,FALSE)-VLOOKUP(A268,'Audit Dimensions'!$A:$N,5,FALSE)</f>
        <v>-1</v>
      </c>
      <c r="F268" s="137">
        <f>VLOOKUP(A268,'Billing Dimensions'!$A:$N,6,FALSE)-VLOOKUP(A268,'Audit Dimensions'!$A:$N,6,FALSE)</f>
        <v>-2110</v>
      </c>
      <c r="G268" s="138">
        <f>VLOOKUP(A268,'Billing Dimensions'!$A:$N,7,FALSE)-VLOOKUP(A268,'Audit Dimensions'!$A:$N,7,FALSE)</f>
        <v>0</v>
      </c>
      <c r="H268" s="138">
        <f>VLOOKUP(A268,'Billing Dimensions'!$A:$N,8,FALSE)-VLOOKUP(A268,'Audit Dimensions'!$A:$N,8,FALSE)</f>
        <v>0</v>
      </c>
      <c r="I268" s="138">
        <f>VLOOKUP(A268,'Billing Dimensions'!$A:$N,9,FALSE)-VLOOKUP(A268,'Audit Dimensions'!$A:$N,9,FALSE)</f>
        <v>0</v>
      </c>
      <c r="J268" s="139">
        <f>VLOOKUP(A268,'Billing Dimensions'!$A:$N,10,FALSE)-VLOOKUP(A268,'Audit Dimensions'!$A:$N,10,FALSE)</f>
        <v>0</v>
      </c>
      <c r="K268" s="140">
        <f>VLOOKUP(A268,'Billing Dimensions'!$A:$N,11,FALSE)-VLOOKUP(A268,'Audit Dimensions'!$A:$N,11,FALSE)</f>
        <v>0</v>
      </c>
      <c r="L268" s="140">
        <f>VLOOKUP(A268,'Billing Dimensions'!$A:$N,12,FALSE)-VLOOKUP(A268,'Audit Dimensions'!$A:$N,12,FALSE)</f>
        <v>0</v>
      </c>
      <c r="M268" s="140">
        <f>VLOOKUP(A268,'Billing Dimensions'!$A:$N,13,FALSE)-VLOOKUP(A268,'Audit Dimensions'!$A:$N,13,FALSE)</f>
        <v>0</v>
      </c>
      <c r="N268" s="140">
        <f>VLOOKUP(A268,'Billing Dimensions'!$A:$N,14,FALSE)-VLOOKUP(A268,'Audit Dimensions'!$A:$N,14,FALSE)</f>
        <v>0</v>
      </c>
      <c r="O268" s="147">
        <f>VLOOKUP(A268,'Billing Dimensions'!A:Q,16,FALSE)-VLOOKUP('Audit VAR'!A268,'Audit Dimensions'!A:P,16,FALSE)</f>
        <v>-2110</v>
      </c>
      <c r="P268" s="148">
        <f t="shared" si="12"/>
        <v>-2.11</v>
      </c>
      <c r="Q268" s="151">
        <f t="shared" si="13"/>
        <v>0</v>
      </c>
      <c r="R268" s="80" t="e">
        <f t="shared" si="14"/>
        <v>#DIV/0!</v>
      </c>
    </row>
    <row r="269" spans="1:18" hidden="1">
      <c r="A269" s="159" t="s">
        <v>145</v>
      </c>
      <c r="B269" s="52" t="str">
        <f>VLOOKUP(A269,'Billing Dimensions'!A:B,2,FALSE)</f>
        <v>SB</v>
      </c>
      <c r="C269" s="136">
        <f>VLOOKUP(A269,'Billing Dimensions'!$A:$N,3,FALSE)-VLOOKUP(A269,'Audit Dimensions'!$A:$N,3,FALSE)</f>
        <v>3</v>
      </c>
      <c r="D269" s="136">
        <f>VLOOKUP(A269,'Billing Dimensions'!$A:$N,4,FALSE)-VLOOKUP(A269,'Audit Dimensions'!$A:$N,4,FALSE)</f>
        <v>0</v>
      </c>
      <c r="E269" s="136">
        <f>VLOOKUP(A269,'Billing Dimensions'!$A:$N,5,FALSE)-VLOOKUP(A269,'Audit Dimensions'!$A:$N,5,FALSE)</f>
        <v>-4</v>
      </c>
      <c r="F269" s="137">
        <f>VLOOKUP(A269,'Billing Dimensions'!$A:$N,6,FALSE)-VLOOKUP(A269,'Audit Dimensions'!$A:$N,6,FALSE)</f>
        <v>-600</v>
      </c>
      <c r="G269" s="138">
        <f>VLOOKUP(A269,'Billing Dimensions'!$A:$N,7,FALSE)-VLOOKUP(A269,'Audit Dimensions'!$A:$N,7,FALSE)</f>
        <v>0</v>
      </c>
      <c r="H269" s="138">
        <f>VLOOKUP(A269,'Billing Dimensions'!$A:$N,8,FALSE)-VLOOKUP(A269,'Audit Dimensions'!$A:$N,8,FALSE)</f>
        <v>0</v>
      </c>
      <c r="I269" s="138">
        <f>VLOOKUP(A269,'Billing Dimensions'!$A:$N,9,FALSE)-VLOOKUP(A269,'Audit Dimensions'!$A:$N,9,FALSE)</f>
        <v>0</v>
      </c>
      <c r="J269" s="139">
        <f>VLOOKUP(A269,'Billing Dimensions'!$A:$N,10,FALSE)-VLOOKUP(A269,'Audit Dimensions'!$A:$N,10,FALSE)</f>
        <v>0</v>
      </c>
      <c r="K269" s="140">
        <f>VLOOKUP(A269,'Billing Dimensions'!$A:$N,11,FALSE)-VLOOKUP(A269,'Audit Dimensions'!$A:$N,11,FALSE)</f>
        <v>0</v>
      </c>
      <c r="L269" s="140">
        <f>VLOOKUP(A269,'Billing Dimensions'!$A:$N,12,FALSE)-VLOOKUP(A269,'Audit Dimensions'!$A:$N,12,FALSE)</f>
        <v>0</v>
      </c>
      <c r="M269" s="140">
        <f>VLOOKUP(A269,'Billing Dimensions'!$A:$N,13,FALSE)-VLOOKUP(A269,'Audit Dimensions'!$A:$N,13,FALSE)</f>
        <v>0</v>
      </c>
      <c r="N269" s="140">
        <f>VLOOKUP(A269,'Billing Dimensions'!$A:$N,14,FALSE)-VLOOKUP(A269,'Audit Dimensions'!$A:$N,14,FALSE)</f>
        <v>0</v>
      </c>
      <c r="O269" s="147">
        <f>VLOOKUP(A269,'Billing Dimensions'!A:Q,16,FALSE)-VLOOKUP('Audit VAR'!A269,'Audit Dimensions'!A:P,16,FALSE)</f>
        <v>-600</v>
      </c>
      <c r="P269" s="148">
        <f t="shared" si="12"/>
        <v>-0.6</v>
      </c>
      <c r="Q269" s="151">
        <f t="shared" si="13"/>
        <v>0</v>
      </c>
      <c r="R269" s="80" t="e">
        <f t="shared" si="14"/>
        <v>#DIV/0!</v>
      </c>
    </row>
    <row r="270" spans="1:18" hidden="1">
      <c r="A270" s="159" t="s">
        <v>237</v>
      </c>
      <c r="B270" s="52" t="str">
        <f>VLOOKUP(A270,'Billing Dimensions'!A:B,2,FALSE)</f>
        <v>SB</v>
      </c>
      <c r="C270" s="136" t="e">
        <f>VLOOKUP(A270,'Billing Dimensions'!$A:$N,3,FALSE)-VLOOKUP(A270,'Audit Dimensions'!$A:$N,3,FALSE)</f>
        <v>#N/A</v>
      </c>
      <c r="D270" s="136" t="e">
        <f>VLOOKUP(A270,'Billing Dimensions'!$A:$N,4,FALSE)-VLOOKUP(A270,'Audit Dimensions'!$A:$N,4,FALSE)</f>
        <v>#N/A</v>
      </c>
      <c r="E270" s="136" t="e">
        <f>VLOOKUP(A270,'Billing Dimensions'!$A:$N,5,FALSE)-VLOOKUP(A270,'Audit Dimensions'!$A:$N,5,FALSE)</f>
        <v>#N/A</v>
      </c>
      <c r="F270" s="137" t="e">
        <f>VLOOKUP(A270,'Billing Dimensions'!$A:$N,6,FALSE)-VLOOKUP(A270,'Audit Dimensions'!$A:$N,6,FALSE)</f>
        <v>#N/A</v>
      </c>
      <c r="G270" s="138" t="e">
        <f>VLOOKUP(A270,'Billing Dimensions'!$A:$N,7,FALSE)-VLOOKUP(A270,'Audit Dimensions'!$A:$N,7,FALSE)</f>
        <v>#N/A</v>
      </c>
      <c r="H270" s="138" t="e">
        <f>VLOOKUP(A270,'Billing Dimensions'!$A:$N,8,FALSE)-VLOOKUP(A270,'Audit Dimensions'!$A:$N,8,FALSE)</f>
        <v>#N/A</v>
      </c>
      <c r="I270" s="138" t="e">
        <f>VLOOKUP(A270,'Billing Dimensions'!$A:$N,9,FALSE)-VLOOKUP(A270,'Audit Dimensions'!$A:$N,9,FALSE)</f>
        <v>#N/A</v>
      </c>
      <c r="J270" s="139" t="e">
        <f>VLOOKUP(A270,'Billing Dimensions'!$A:$N,10,FALSE)-VLOOKUP(A270,'Audit Dimensions'!$A:$N,10,FALSE)</f>
        <v>#N/A</v>
      </c>
      <c r="K270" s="140" t="e">
        <f>VLOOKUP(A270,'Billing Dimensions'!$A:$N,11,FALSE)-VLOOKUP(A270,'Audit Dimensions'!$A:$N,11,FALSE)</f>
        <v>#N/A</v>
      </c>
      <c r="L270" s="140" t="e">
        <f>VLOOKUP(A270,'Billing Dimensions'!$A:$N,12,FALSE)-VLOOKUP(A270,'Audit Dimensions'!$A:$N,12,FALSE)</f>
        <v>#N/A</v>
      </c>
      <c r="M270" s="140" t="e">
        <f>VLOOKUP(A270,'Billing Dimensions'!$A:$N,13,FALSE)-VLOOKUP(A270,'Audit Dimensions'!$A:$N,13,FALSE)</f>
        <v>#N/A</v>
      </c>
      <c r="N270" s="140" t="e">
        <f>VLOOKUP(A270,'Billing Dimensions'!$A:$N,14,FALSE)-VLOOKUP(A270,'Audit Dimensions'!$A:$N,14,FALSE)</f>
        <v>#N/A</v>
      </c>
      <c r="O270" s="147" t="e">
        <f>VLOOKUP(A270,'Billing Dimensions'!A:Q,16,FALSE)-VLOOKUP('Audit VAR'!A270,'Audit Dimensions'!A:P,16,FALSE)</f>
        <v>#N/A</v>
      </c>
      <c r="P270" s="148" t="e">
        <f t="shared" si="12"/>
        <v>#N/A</v>
      </c>
      <c r="Q270" s="151" t="e">
        <f t="shared" si="13"/>
        <v>#N/A</v>
      </c>
      <c r="R270" s="80" t="e">
        <f t="shared" si="14"/>
        <v>#N/A</v>
      </c>
    </row>
    <row r="271" spans="1:18" ht="15" hidden="1">
      <c r="A271" s="241" t="s">
        <v>310</v>
      </c>
      <c r="B271" s="242" t="s">
        <v>56</v>
      </c>
      <c r="C271" s="243">
        <v>39</v>
      </c>
      <c r="D271" s="243">
        <v>30</v>
      </c>
      <c r="E271" s="243">
        <v>8</v>
      </c>
      <c r="F271" s="244">
        <v>3000</v>
      </c>
      <c r="G271" s="138">
        <f>VLOOKUP(A271,'Billing Dimensions'!$A:$N,7,FALSE)-VLOOKUP(A271,'Audit Dimensions'!$A:$N,7,FALSE)</f>
        <v>0</v>
      </c>
      <c r="H271" s="138">
        <f>VLOOKUP(A271,'Billing Dimensions'!$A:$N,8,FALSE)-VLOOKUP(A271,'Audit Dimensions'!$A:$N,8,FALSE)</f>
        <v>0</v>
      </c>
      <c r="I271" s="138">
        <f>VLOOKUP(A271,'Billing Dimensions'!$A:$N,9,FALSE)-VLOOKUP(A271,'Audit Dimensions'!$A:$N,9,FALSE)</f>
        <v>0</v>
      </c>
      <c r="J271" s="139">
        <f>VLOOKUP(A271,'Billing Dimensions'!$A:$N,10,FALSE)-VLOOKUP(A271,'Audit Dimensions'!$A:$N,10,FALSE)</f>
        <v>0</v>
      </c>
      <c r="K271" s="140">
        <f>VLOOKUP(A271,'Billing Dimensions'!$A:$N,11,FALSE)-VLOOKUP(A271,'Audit Dimensions'!$A:$N,11,FALSE)</f>
        <v>0</v>
      </c>
      <c r="L271" s="140">
        <f>VLOOKUP(A271,'Billing Dimensions'!$A:$N,12,FALSE)-VLOOKUP(A271,'Audit Dimensions'!$A:$N,12,FALSE)</f>
        <v>0</v>
      </c>
      <c r="M271" s="140">
        <f>VLOOKUP(A271,'Billing Dimensions'!$A:$N,13,FALSE)-VLOOKUP(A271,'Audit Dimensions'!$A:$N,13,FALSE)</f>
        <v>0</v>
      </c>
      <c r="N271" s="140">
        <f>VLOOKUP(A271,'Billing Dimensions'!$A:$N,14,FALSE)-VLOOKUP(A271,'Audit Dimensions'!$A:$N,14,FALSE)</f>
        <v>0</v>
      </c>
      <c r="O271" s="147">
        <f>VLOOKUP(A271,'Billing Dimensions'!A:Q,16,FALSE)-VLOOKUP('Audit VAR'!A271,'Audit Dimensions'!A:P,16,FALSE)</f>
        <v>-600</v>
      </c>
      <c r="P271" s="148">
        <f t="shared" ref="P271:P272" si="15">O271/1000</f>
        <v>-0.6</v>
      </c>
      <c r="Q271" s="151">
        <f t="shared" ref="Q271:Q272" si="16">(((C271*D271*E271)+(G271*H271*I271)+(K271*L271*M271))/1000000)*35.32</f>
        <v>0.33059520000000003</v>
      </c>
      <c r="R271" s="80">
        <f t="shared" ref="R271:R272" si="17">P271/Q271</f>
        <v>-1.8149083834248045</v>
      </c>
    </row>
    <row r="272" spans="1:18" ht="15" hidden="1">
      <c r="A272" s="241" t="s">
        <v>311</v>
      </c>
      <c r="B272" s="242" t="s">
        <v>56</v>
      </c>
      <c r="C272" s="245">
        <v>65</v>
      </c>
      <c r="D272" s="245">
        <v>35</v>
      </c>
      <c r="E272" s="245">
        <v>8</v>
      </c>
      <c r="F272" s="246">
        <v>5000</v>
      </c>
      <c r="G272" s="138">
        <f>VLOOKUP(A272,'Billing Dimensions'!$A:$N,7,FALSE)-VLOOKUP(A272,'Audit Dimensions'!$A:$N,7,FALSE)</f>
        <v>0</v>
      </c>
      <c r="H272" s="138">
        <f>VLOOKUP(A272,'Billing Dimensions'!$A:$N,8,FALSE)-VLOOKUP(A272,'Audit Dimensions'!$A:$N,8,FALSE)</f>
        <v>0</v>
      </c>
      <c r="I272" s="138">
        <f>VLOOKUP(A272,'Billing Dimensions'!$A:$N,9,FALSE)-VLOOKUP(A272,'Audit Dimensions'!$A:$N,9,FALSE)</f>
        <v>0</v>
      </c>
      <c r="J272" s="139">
        <f>VLOOKUP(A272,'Billing Dimensions'!$A:$N,10,FALSE)-VLOOKUP(A272,'Audit Dimensions'!$A:$N,10,FALSE)</f>
        <v>0</v>
      </c>
      <c r="K272" s="140">
        <f>VLOOKUP(A272,'Billing Dimensions'!$A:$N,11,FALSE)-VLOOKUP(A272,'Audit Dimensions'!$A:$N,11,FALSE)</f>
        <v>0</v>
      </c>
      <c r="L272" s="140">
        <f>VLOOKUP(A272,'Billing Dimensions'!$A:$N,12,FALSE)-VLOOKUP(A272,'Audit Dimensions'!$A:$N,12,FALSE)</f>
        <v>0</v>
      </c>
      <c r="M272" s="140">
        <f>VLOOKUP(A272,'Billing Dimensions'!$A:$N,13,FALSE)-VLOOKUP(A272,'Audit Dimensions'!$A:$N,13,FALSE)</f>
        <v>0</v>
      </c>
      <c r="N272" s="140">
        <f>VLOOKUP(A272,'Billing Dimensions'!$A:$N,14,FALSE)-VLOOKUP(A272,'Audit Dimensions'!$A:$N,14,FALSE)</f>
        <v>0</v>
      </c>
      <c r="O272" s="147">
        <f>VLOOKUP(A272,'Billing Dimensions'!A:Q,16,FALSE)-VLOOKUP('Audit VAR'!A272,'Audit Dimensions'!A:P,16,FALSE)</f>
        <v>0</v>
      </c>
      <c r="P272" s="148">
        <f t="shared" si="15"/>
        <v>0</v>
      </c>
      <c r="Q272" s="151">
        <f t="shared" si="16"/>
        <v>0.64282400000000006</v>
      </c>
      <c r="R272" s="80">
        <f t="shared" si="17"/>
        <v>0</v>
      </c>
    </row>
    <row r="273" spans="1:18" hidden="1">
      <c r="A273" s="236" t="s">
        <v>312</v>
      </c>
      <c r="B273" s="242" t="s">
        <v>56</v>
      </c>
      <c r="C273" s="245">
        <v>1</v>
      </c>
      <c r="D273" s="245">
        <v>1</v>
      </c>
      <c r="E273" s="245">
        <v>1</v>
      </c>
      <c r="F273" s="246">
        <v>37000</v>
      </c>
      <c r="G273" s="138">
        <f>VLOOKUP(A273,'Billing Dimensions'!$A:$N,7,FALSE)-VLOOKUP(A273,'Audit Dimensions'!$A:$N,7,FALSE)</f>
        <v>0</v>
      </c>
      <c r="H273" s="138">
        <f>VLOOKUP(A273,'Billing Dimensions'!$A:$N,8,FALSE)-VLOOKUP(A273,'Audit Dimensions'!$A:$N,8,FALSE)</f>
        <v>0</v>
      </c>
      <c r="I273" s="138">
        <f>VLOOKUP(A273,'Billing Dimensions'!$A:$N,9,FALSE)-VLOOKUP(A273,'Audit Dimensions'!$A:$N,9,FALSE)</f>
        <v>0</v>
      </c>
      <c r="J273" s="139">
        <f>VLOOKUP(A273,'Billing Dimensions'!$A:$N,10,FALSE)-VLOOKUP(A273,'Audit Dimensions'!$A:$N,10,FALSE)</f>
        <v>0</v>
      </c>
      <c r="K273" s="140">
        <f>VLOOKUP(A273,'Billing Dimensions'!$A:$N,11,FALSE)-VLOOKUP(A273,'Audit Dimensions'!$A:$N,11,FALSE)</f>
        <v>0</v>
      </c>
      <c r="L273" s="140">
        <f>VLOOKUP(A273,'Billing Dimensions'!$A:$N,12,FALSE)-VLOOKUP(A273,'Audit Dimensions'!$A:$N,12,FALSE)</f>
        <v>0</v>
      </c>
      <c r="M273" s="140">
        <f>VLOOKUP(A273,'Billing Dimensions'!$A:$N,13,FALSE)-VLOOKUP(A273,'Audit Dimensions'!$A:$N,13,FALSE)</f>
        <v>0</v>
      </c>
      <c r="N273" s="140">
        <f>VLOOKUP(A273,'Billing Dimensions'!$A:$N,14,FALSE)-VLOOKUP(A273,'Audit Dimensions'!$A:$N,14,FALSE)</f>
        <v>0</v>
      </c>
      <c r="O273" s="147">
        <f>VLOOKUP(A273,'Billing Dimensions'!A:Q,16,FALSE)-VLOOKUP('Audit VAR'!A273,'Audit Dimensions'!A:P,16,FALSE)</f>
        <v>0</v>
      </c>
      <c r="P273" s="148">
        <f t="shared" ref="P273" si="18">O273/1000</f>
        <v>0</v>
      </c>
      <c r="Q273" s="151">
        <f t="shared" ref="Q273" si="19">(((C273*D273*E273)+(G273*H273*I273)+(K273*L273*M273))/1000000)*35.32</f>
        <v>3.5320000000000001E-5</v>
      </c>
      <c r="R273" s="80">
        <f t="shared" ref="R273" si="20">P273/Q273</f>
        <v>0</v>
      </c>
    </row>
    <row r="274" spans="1:18" ht="15" hidden="1">
      <c r="A274" s="247" t="s">
        <v>313</v>
      </c>
      <c r="B274" s="242" t="s">
        <v>56</v>
      </c>
      <c r="C274" s="245">
        <v>1</v>
      </c>
      <c r="D274" s="245">
        <v>1</v>
      </c>
      <c r="E274" s="245">
        <v>1</v>
      </c>
      <c r="F274" s="246">
        <v>1792</v>
      </c>
      <c r="G274" s="138">
        <f>VLOOKUP(A274,'Billing Dimensions'!$A:$N,7,FALSE)-VLOOKUP(A274,'Audit Dimensions'!$A:$N,7,FALSE)</f>
        <v>0</v>
      </c>
      <c r="H274" s="138">
        <f>VLOOKUP(A274,'Billing Dimensions'!$A:$N,8,FALSE)-VLOOKUP(A274,'Audit Dimensions'!$A:$N,8,FALSE)</f>
        <v>0</v>
      </c>
      <c r="I274" s="138">
        <f>VLOOKUP(A274,'Billing Dimensions'!$A:$N,9,FALSE)-VLOOKUP(A274,'Audit Dimensions'!$A:$N,9,FALSE)</f>
        <v>0</v>
      </c>
      <c r="J274" s="139">
        <f>VLOOKUP(A274,'Billing Dimensions'!$A:$N,10,FALSE)-VLOOKUP(A274,'Audit Dimensions'!$A:$N,10,FALSE)</f>
        <v>0</v>
      </c>
      <c r="K274" s="140">
        <f>VLOOKUP(A274,'Billing Dimensions'!$A:$N,11,FALSE)-VLOOKUP(A274,'Audit Dimensions'!$A:$N,11,FALSE)</f>
        <v>0</v>
      </c>
      <c r="L274" s="140">
        <f>VLOOKUP(A274,'Billing Dimensions'!$A:$N,12,FALSE)-VLOOKUP(A274,'Audit Dimensions'!$A:$N,12,FALSE)</f>
        <v>0</v>
      </c>
      <c r="M274" s="140">
        <f>VLOOKUP(A274,'Billing Dimensions'!$A:$N,13,FALSE)-VLOOKUP(A274,'Audit Dimensions'!$A:$N,13,FALSE)</f>
        <v>0</v>
      </c>
      <c r="N274" s="140">
        <f>VLOOKUP(A274,'Billing Dimensions'!$A:$N,14,FALSE)-VLOOKUP(A274,'Audit Dimensions'!$A:$N,14,FALSE)</f>
        <v>0</v>
      </c>
      <c r="O274" s="147">
        <f>VLOOKUP(A274,'Billing Dimensions'!A:Q,16,FALSE)-VLOOKUP('Audit VAR'!A274,'Audit Dimensions'!A:P,16,FALSE)</f>
        <v>1550</v>
      </c>
      <c r="P274" s="148">
        <f t="shared" ref="P274:P275" si="21">O274/1000</f>
        <v>1.55</v>
      </c>
      <c r="Q274" s="151">
        <f t="shared" ref="Q274:Q275" si="22">(((C274*D274*E274)+(G274*H274*I274)+(K274*L274*M274))/1000000)*35.32</f>
        <v>3.5320000000000001E-5</v>
      </c>
      <c r="R274" s="80">
        <f t="shared" ref="R274:R275" si="23">P274/Q274</f>
        <v>43884.484711211779</v>
      </c>
    </row>
    <row r="275" spans="1:18" ht="15" hidden="1">
      <c r="A275" s="248" t="s">
        <v>314</v>
      </c>
      <c r="B275" s="242" t="s">
        <v>56</v>
      </c>
      <c r="C275" s="245">
        <v>1</v>
      </c>
      <c r="D275" s="245">
        <v>1</v>
      </c>
      <c r="E275" s="245">
        <v>1</v>
      </c>
      <c r="F275" s="246">
        <v>3364</v>
      </c>
      <c r="G275" s="138">
        <f>VLOOKUP(A275,'Billing Dimensions'!$A:$N,7,FALSE)-VLOOKUP(A275,'Audit Dimensions'!$A:$N,7,FALSE)</f>
        <v>0</v>
      </c>
      <c r="H275" s="138">
        <f>VLOOKUP(A275,'Billing Dimensions'!$A:$N,8,FALSE)-VLOOKUP(A275,'Audit Dimensions'!$A:$N,8,FALSE)</f>
        <v>0</v>
      </c>
      <c r="I275" s="138">
        <f>VLOOKUP(A275,'Billing Dimensions'!$A:$N,9,FALSE)-VLOOKUP(A275,'Audit Dimensions'!$A:$N,9,FALSE)</f>
        <v>0</v>
      </c>
      <c r="J275" s="139">
        <f>VLOOKUP(A275,'Billing Dimensions'!$A:$N,10,FALSE)-VLOOKUP(A275,'Audit Dimensions'!$A:$N,10,FALSE)</f>
        <v>0</v>
      </c>
      <c r="K275" s="140">
        <f>VLOOKUP(A275,'Billing Dimensions'!$A:$N,11,FALSE)-VLOOKUP(A275,'Audit Dimensions'!$A:$N,11,FALSE)</f>
        <v>0</v>
      </c>
      <c r="L275" s="140">
        <f>VLOOKUP(A275,'Billing Dimensions'!$A:$N,12,FALSE)-VLOOKUP(A275,'Audit Dimensions'!$A:$N,12,FALSE)</f>
        <v>0</v>
      </c>
      <c r="M275" s="140">
        <f>VLOOKUP(A275,'Billing Dimensions'!$A:$N,13,FALSE)-VLOOKUP(A275,'Audit Dimensions'!$A:$N,13,FALSE)</f>
        <v>0</v>
      </c>
      <c r="N275" s="140">
        <f>VLOOKUP(A275,'Billing Dimensions'!$A:$N,14,FALSE)-VLOOKUP(A275,'Audit Dimensions'!$A:$N,14,FALSE)</f>
        <v>0</v>
      </c>
      <c r="O275" s="147">
        <f>VLOOKUP(A275,'Billing Dimensions'!A:Q,16,FALSE)-VLOOKUP('Audit VAR'!A275,'Audit Dimensions'!A:P,16,FALSE)</f>
        <v>-300</v>
      </c>
      <c r="P275" s="148">
        <f t="shared" si="21"/>
        <v>-0.3</v>
      </c>
      <c r="Q275" s="151">
        <f t="shared" si="22"/>
        <v>3.5320000000000001E-5</v>
      </c>
      <c r="R275" s="80">
        <f t="shared" si="23"/>
        <v>-8493.7712344280862</v>
      </c>
    </row>
    <row r="276" spans="1:18" hidden="1">
      <c r="A276" s="236" t="s">
        <v>315</v>
      </c>
      <c r="B276" s="242" t="s">
        <v>56</v>
      </c>
      <c r="C276" s="238">
        <v>1</v>
      </c>
      <c r="D276" s="239">
        <v>1</v>
      </c>
      <c r="E276" s="239">
        <v>1</v>
      </c>
      <c r="F276" s="238">
        <v>1252</v>
      </c>
      <c r="G276" s="138">
        <f>VLOOKUP(A276,'Billing Dimensions'!$A:$N,7,FALSE)-VLOOKUP(A276,'Audit Dimensions'!$A:$N,7,FALSE)</f>
        <v>0</v>
      </c>
      <c r="H276" s="138">
        <f>VLOOKUP(A276,'Billing Dimensions'!$A:$N,8,FALSE)-VLOOKUP(A276,'Audit Dimensions'!$A:$N,8,FALSE)</f>
        <v>0</v>
      </c>
      <c r="I276" s="138">
        <f>VLOOKUP(A276,'Billing Dimensions'!$A:$N,9,FALSE)-VLOOKUP(A276,'Audit Dimensions'!$A:$N,9,FALSE)</f>
        <v>0</v>
      </c>
      <c r="J276" s="139">
        <f>VLOOKUP(A276,'Billing Dimensions'!$A:$N,10,FALSE)-VLOOKUP(A276,'Audit Dimensions'!$A:$N,10,FALSE)</f>
        <v>0</v>
      </c>
      <c r="K276" s="140">
        <f>VLOOKUP(A276,'Billing Dimensions'!$A:$N,11,FALSE)-VLOOKUP(A276,'Audit Dimensions'!$A:$N,11,FALSE)</f>
        <v>0</v>
      </c>
      <c r="L276" s="140">
        <f>VLOOKUP(A276,'Billing Dimensions'!$A:$N,12,FALSE)-VLOOKUP(A276,'Audit Dimensions'!$A:$N,12,FALSE)</f>
        <v>0</v>
      </c>
      <c r="M276" s="140">
        <f>VLOOKUP(A276,'Billing Dimensions'!$A:$N,13,FALSE)-VLOOKUP(A276,'Audit Dimensions'!$A:$N,13,FALSE)</f>
        <v>0</v>
      </c>
      <c r="N276" s="140">
        <f>VLOOKUP(A276,'Billing Dimensions'!$A:$N,14,FALSE)-VLOOKUP(A276,'Audit Dimensions'!$A:$N,14,FALSE)</f>
        <v>0</v>
      </c>
      <c r="O276" s="147">
        <f>VLOOKUP(A276,'Billing Dimensions'!A:Q,16,FALSE)-VLOOKUP('Audit VAR'!A276,'Audit Dimensions'!A:P,16,FALSE)</f>
        <v>0</v>
      </c>
      <c r="P276" s="148">
        <f t="shared" ref="P276:P280" si="24">O276/1000</f>
        <v>0</v>
      </c>
      <c r="Q276" s="151">
        <f t="shared" ref="Q276:Q280" si="25">(((C276*D276*E276)+(G276*H276*I276)+(K276*L276*M276))/1000000)*35.32</f>
        <v>3.5320000000000001E-5</v>
      </c>
      <c r="R276" s="80">
        <f t="shared" ref="R276:R280" si="26">P276/Q276</f>
        <v>0</v>
      </c>
    </row>
    <row r="277" spans="1:18" hidden="1">
      <c r="A277" s="236" t="s">
        <v>316</v>
      </c>
      <c r="B277" s="242" t="s">
        <v>56</v>
      </c>
      <c r="C277" s="238">
        <v>1</v>
      </c>
      <c r="D277" s="239">
        <v>1</v>
      </c>
      <c r="E277" s="239">
        <v>1</v>
      </c>
      <c r="F277" s="238">
        <v>1062</v>
      </c>
      <c r="G277" s="138">
        <f>VLOOKUP(A277,'Billing Dimensions'!$A:$N,7,FALSE)-VLOOKUP(A277,'Audit Dimensions'!$A:$N,7,FALSE)</f>
        <v>0</v>
      </c>
      <c r="H277" s="138">
        <f>VLOOKUP(A277,'Billing Dimensions'!$A:$N,8,FALSE)-VLOOKUP(A277,'Audit Dimensions'!$A:$N,8,FALSE)</f>
        <v>0</v>
      </c>
      <c r="I277" s="138">
        <f>VLOOKUP(A277,'Billing Dimensions'!$A:$N,9,FALSE)-VLOOKUP(A277,'Audit Dimensions'!$A:$N,9,FALSE)</f>
        <v>0</v>
      </c>
      <c r="J277" s="139">
        <f>VLOOKUP(A277,'Billing Dimensions'!$A:$N,10,FALSE)-VLOOKUP(A277,'Audit Dimensions'!$A:$N,10,FALSE)</f>
        <v>0</v>
      </c>
      <c r="K277" s="140">
        <f>VLOOKUP(A277,'Billing Dimensions'!$A:$N,11,FALSE)-VLOOKUP(A277,'Audit Dimensions'!$A:$N,11,FALSE)</f>
        <v>0</v>
      </c>
      <c r="L277" s="140">
        <f>VLOOKUP(A277,'Billing Dimensions'!$A:$N,12,FALSE)-VLOOKUP(A277,'Audit Dimensions'!$A:$N,12,FALSE)</f>
        <v>0</v>
      </c>
      <c r="M277" s="140">
        <f>VLOOKUP(A277,'Billing Dimensions'!$A:$N,13,FALSE)-VLOOKUP(A277,'Audit Dimensions'!$A:$N,13,FALSE)</f>
        <v>0</v>
      </c>
      <c r="N277" s="140">
        <f>VLOOKUP(A277,'Billing Dimensions'!$A:$N,14,FALSE)-VLOOKUP(A277,'Audit Dimensions'!$A:$N,14,FALSE)</f>
        <v>0</v>
      </c>
      <c r="O277" s="147">
        <f>VLOOKUP(A277,'Billing Dimensions'!A:Q,16,FALSE)-VLOOKUP('Audit VAR'!A277,'Audit Dimensions'!A:P,16,FALSE)</f>
        <v>0</v>
      </c>
      <c r="P277" s="148">
        <f t="shared" si="24"/>
        <v>0</v>
      </c>
      <c r="Q277" s="151">
        <f t="shared" si="25"/>
        <v>3.5320000000000001E-5</v>
      </c>
      <c r="R277" s="80">
        <f t="shared" si="26"/>
        <v>0</v>
      </c>
    </row>
    <row r="278" spans="1:18" hidden="1">
      <c r="A278" s="236" t="s">
        <v>317</v>
      </c>
      <c r="B278" s="242" t="s">
        <v>56</v>
      </c>
      <c r="C278" s="238">
        <v>1</v>
      </c>
      <c r="D278" s="239">
        <v>1</v>
      </c>
      <c r="E278" s="239">
        <v>1</v>
      </c>
      <c r="F278" s="238">
        <v>2103</v>
      </c>
      <c r="G278" s="138">
        <f>VLOOKUP(A278,'Billing Dimensions'!$A:$N,7,FALSE)-VLOOKUP(A278,'Audit Dimensions'!$A:$N,7,FALSE)</f>
        <v>0</v>
      </c>
      <c r="H278" s="138">
        <f>VLOOKUP(A278,'Billing Dimensions'!$A:$N,8,FALSE)-VLOOKUP(A278,'Audit Dimensions'!$A:$N,8,FALSE)</f>
        <v>0</v>
      </c>
      <c r="I278" s="138">
        <f>VLOOKUP(A278,'Billing Dimensions'!$A:$N,9,FALSE)-VLOOKUP(A278,'Audit Dimensions'!$A:$N,9,FALSE)</f>
        <v>0</v>
      </c>
      <c r="J278" s="139">
        <f>VLOOKUP(A278,'Billing Dimensions'!$A:$N,10,FALSE)-VLOOKUP(A278,'Audit Dimensions'!$A:$N,10,FALSE)</f>
        <v>0</v>
      </c>
      <c r="K278" s="140">
        <f>VLOOKUP(A278,'Billing Dimensions'!$A:$N,11,FALSE)-VLOOKUP(A278,'Audit Dimensions'!$A:$N,11,FALSE)</f>
        <v>0</v>
      </c>
      <c r="L278" s="140">
        <f>VLOOKUP(A278,'Billing Dimensions'!$A:$N,12,FALSE)-VLOOKUP(A278,'Audit Dimensions'!$A:$N,12,FALSE)</f>
        <v>0</v>
      </c>
      <c r="M278" s="140">
        <f>VLOOKUP(A278,'Billing Dimensions'!$A:$N,13,FALSE)-VLOOKUP(A278,'Audit Dimensions'!$A:$N,13,FALSE)</f>
        <v>0</v>
      </c>
      <c r="N278" s="140">
        <f>VLOOKUP(A278,'Billing Dimensions'!$A:$N,14,FALSE)-VLOOKUP(A278,'Audit Dimensions'!$A:$N,14,FALSE)</f>
        <v>0</v>
      </c>
      <c r="O278" s="147">
        <f>VLOOKUP(A278,'Billing Dimensions'!A:Q,16,FALSE)-VLOOKUP('Audit VAR'!A278,'Audit Dimensions'!A:P,16,FALSE)</f>
        <v>0</v>
      </c>
      <c r="P278" s="148">
        <f t="shared" si="24"/>
        <v>0</v>
      </c>
      <c r="Q278" s="151">
        <f t="shared" si="25"/>
        <v>3.5320000000000001E-5</v>
      </c>
      <c r="R278" s="80">
        <f t="shared" si="26"/>
        <v>0</v>
      </c>
    </row>
    <row r="279" spans="1:18" hidden="1">
      <c r="A279" s="236" t="s">
        <v>318</v>
      </c>
      <c r="B279" s="242" t="s">
        <v>56</v>
      </c>
      <c r="C279" s="238">
        <v>1</v>
      </c>
      <c r="D279" s="239">
        <v>1</v>
      </c>
      <c r="E279" s="239">
        <v>1</v>
      </c>
      <c r="F279" s="238">
        <v>1374</v>
      </c>
      <c r="G279" s="138">
        <f>VLOOKUP(A279,'Billing Dimensions'!$A:$N,7,FALSE)-VLOOKUP(A279,'Audit Dimensions'!$A:$N,7,FALSE)</f>
        <v>0</v>
      </c>
      <c r="H279" s="138">
        <f>VLOOKUP(A279,'Billing Dimensions'!$A:$N,8,FALSE)-VLOOKUP(A279,'Audit Dimensions'!$A:$N,8,FALSE)</f>
        <v>0</v>
      </c>
      <c r="I279" s="138">
        <f>VLOOKUP(A279,'Billing Dimensions'!$A:$N,9,FALSE)-VLOOKUP(A279,'Audit Dimensions'!$A:$N,9,FALSE)</f>
        <v>0</v>
      </c>
      <c r="J279" s="139">
        <f>VLOOKUP(A279,'Billing Dimensions'!$A:$N,10,FALSE)-VLOOKUP(A279,'Audit Dimensions'!$A:$N,10,FALSE)</f>
        <v>0</v>
      </c>
      <c r="K279" s="140">
        <f>VLOOKUP(A279,'Billing Dimensions'!$A:$N,11,FALSE)-VLOOKUP(A279,'Audit Dimensions'!$A:$N,11,FALSE)</f>
        <v>0</v>
      </c>
      <c r="L279" s="140">
        <f>VLOOKUP(A279,'Billing Dimensions'!$A:$N,12,FALSE)-VLOOKUP(A279,'Audit Dimensions'!$A:$N,12,FALSE)</f>
        <v>0</v>
      </c>
      <c r="M279" s="140">
        <f>VLOOKUP(A279,'Billing Dimensions'!$A:$N,13,FALSE)-VLOOKUP(A279,'Audit Dimensions'!$A:$N,13,FALSE)</f>
        <v>0</v>
      </c>
      <c r="N279" s="140">
        <f>VLOOKUP(A279,'Billing Dimensions'!$A:$N,14,FALSE)-VLOOKUP(A279,'Audit Dimensions'!$A:$N,14,FALSE)</f>
        <v>0</v>
      </c>
      <c r="O279" s="147">
        <f>VLOOKUP(A279,'Billing Dimensions'!A:Q,16,FALSE)-VLOOKUP('Audit VAR'!A279,'Audit Dimensions'!A:P,16,FALSE)</f>
        <v>0</v>
      </c>
      <c r="P279" s="148">
        <f t="shared" si="24"/>
        <v>0</v>
      </c>
      <c r="Q279" s="151">
        <f t="shared" si="25"/>
        <v>3.5320000000000001E-5</v>
      </c>
      <c r="R279" s="80">
        <f t="shared" si="26"/>
        <v>0</v>
      </c>
    </row>
    <row r="280" spans="1:18" hidden="1">
      <c r="A280" s="236" t="s">
        <v>319</v>
      </c>
      <c r="B280" s="242" t="s">
        <v>56</v>
      </c>
      <c r="C280" s="238">
        <v>1</v>
      </c>
      <c r="D280" s="239">
        <v>1</v>
      </c>
      <c r="E280" s="239">
        <v>1</v>
      </c>
      <c r="F280" s="238">
        <v>14647</v>
      </c>
      <c r="G280" s="138">
        <f>VLOOKUP(A280,'Billing Dimensions'!$A:$N,7,FALSE)-VLOOKUP(A280,'Audit Dimensions'!$A:$N,7,FALSE)</f>
        <v>0</v>
      </c>
      <c r="H280" s="138">
        <f>VLOOKUP(A280,'Billing Dimensions'!$A:$N,8,FALSE)-VLOOKUP(A280,'Audit Dimensions'!$A:$N,8,FALSE)</f>
        <v>0</v>
      </c>
      <c r="I280" s="138">
        <f>VLOOKUP(A280,'Billing Dimensions'!$A:$N,9,FALSE)-VLOOKUP(A280,'Audit Dimensions'!$A:$N,9,FALSE)</f>
        <v>0</v>
      </c>
      <c r="J280" s="139">
        <f>VLOOKUP(A280,'Billing Dimensions'!$A:$N,10,FALSE)-VLOOKUP(A280,'Audit Dimensions'!$A:$N,10,FALSE)</f>
        <v>0</v>
      </c>
      <c r="K280" s="140">
        <f>VLOOKUP(A280,'Billing Dimensions'!$A:$N,11,FALSE)-VLOOKUP(A280,'Audit Dimensions'!$A:$N,11,FALSE)</f>
        <v>0</v>
      </c>
      <c r="L280" s="140">
        <f>VLOOKUP(A280,'Billing Dimensions'!$A:$N,12,FALSE)-VLOOKUP(A280,'Audit Dimensions'!$A:$N,12,FALSE)</f>
        <v>0</v>
      </c>
      <c r="M280" s="140">
        <f>VLOOKUP(A280,'Billing Dimensions'!$A:$N,13,FALSE)-VLOOKUP(A280,'Audit Dimensions'!$A:$N,13,FALSE)</f>
        <v>0</v>
      </c>
      <c r="N280" s="140">
        <f>VLOOKUP(A280,'Billing Dimensions'!$A:$N,14,FALSE)-VLOOKUP(A280,'Audit Dimensions'!$A:$N,14,FALSE)</f>
        <v>0</v>
      </c>
      <c r="O280" s="147">
        <f>VLOOKUP(A280,'Billing Dimensions'!A:Q,16,FALSE)-VLOOKUP('Audit VAR'!A280,'Audit Dimensions'!A:P,16,FALSE)</f>
        <v>0</v>
      </c>
      <c r="P280" s="148">
        <f t="shared" si="24"/>
        <v>0</v>
      </c>
      <c r="Q280" s="151">
        <f t="shared" si="25"/>
        <v>3.5320000000000001E-5</v>
      </c>
      <c r="R280" s="80">
        <f t="shared" si="26"/>
        <v>0</v>
      </c>
    </row>
    <row r="281" spans="1:18" ht="15" hidden="1">
      <c r="A281" s="263" t="s">
        <v>320</v>
      </c>
      <c r="B281" s="242" t="s">
        <v>56</v>
      </c>
      <c r="C281" s="238">
        <v>1</v>
      </c>
      <c r="D281" s="239">
        <v>1</v>
      </c>
      <c r="E281" s="239">
        <v>1</v>
      </c>
      <c r="F281" s="238">
        <v>4600</v>
      </c>
      <c r="G281" s="138">
        <f>VLOOKUP(A281,'Billing Dimensions'!$A:$N,7,FALSE)-VLOOKUP(A281,'Audit Dimensions'!$A:$N,7,FALSE)</f>
        <v>0</v>
      </c>
      <c r="H281" s="138">
        <f>VLOOKUP(A281,'Billing Dimensions'!$A:$N,8,FALSE)-VLOOKUP(A281,'Audit Dimensions'!$A:$N,8,FALSE)</f>
        <v>0</v>
      </c>
      <c r="I281" s="138">
        <f>VLOOKUP(A281,'Billing Dimensions'!$A:$N,9,FALSE)-VLOOKUP(A281,'Audit Dimensions'!$A:$N,9,FALSE)</f>
        <v>0</v>
      </c>
      <c r="J281" s="139">
        <f>VLOOKUP(A281,'Billing Dimensions'!$A:$N,10,FALSE)-VLOOKUP(A281,'Audit Dimensions'!$A:$N,10,FALSE)</f>
        <v>0</v>
      </c>
      <c r="K281" s="140">
        <f>VLOOKUP(A281,'Billing Dimensions'!$A:$N,11,FALSE)-VLOOKUP(A281,'Audit Dimensions'!$A:$N,11,FALSE)</f>
        <v>0</v>
      </c>
      <c r="L281" s="140">
        <f>VLOOKUP(A281,'Billing Dimensions'!$A:$N,12,FALSE)-VLOOKUP(A281,'Audit Dimensions'!$A:$N,12,FALSE)</f>
        <v>0</v>
      </c>
      <c r="M281" s="140">
        <f>VLOOKUP(A281,'Billing Dimensions'!$A:$N,13,FALSE)-VLOOKUP(A281,'Audit Dimensions'!$A:$N,13,FALSE)</f>
        <v>0</v>
      </c>
      <c r="N281" s="140">
        <f>VLOOKUP(A281,'Billing Dimensions'!$A:$N,14,FALSE)-VLOOKUP(A281,'Audit Dimensions'!$A:$N,14,FALSE)</f>
        <v>0</v>
      </c>
      <c r="O281" s="147">
        <f>VLOOKUP(A281,'Billing Dimensions'!A:Q,16,FALSE)-VLOOKUP('Audit VAR'!A281,'Audit Dimensions'!A:P,16,FALSE)</f>
        <v>0</v>
      </c>
      <c r="P281" s="148">
        <f t="shared" ref="P281:P292" si="27">O281/1000</f>
        <v>0</v>
      </c>
      <c r="Q281" s="151">
        <f t="shared" ref="Q281:Q292" si="28">(((C281*D281*E281)+(G281*H281*I281)+(K281*L281*M281))/1000000)*35.32</f>
        <v>3.5320000000000001E-5</v>
      </c>
      <c r="R281" s="80">
        <f t="shared" ref="R281:R292" si="29">P281/Q281</f>
        <v>0</v>
      </c>
    </row>
    <row r="282" spans="1:18" ht="15" hidden="1">
      <c r="A282" s="263" t="s">
        <v>321</v>
      </c>
      <c r="B282" s="242" t="s">
        <v>56</v>
      </c>
      <c r="C282" s="238">
        <v>1</v>
      </c>
      <c r="D282" s="239">
        <v>1</v>
      </c>
      <c r="E282" s="239">
        <v>1</v>
      </c>
      <c r="F282" s="238">
        <v>19500</v>
      </c>
      <c r="G282" s="138">
        <f>VLOOKUP(A282,'Billing Dimensions'!$A:$N,7,FALSE)-VLOOKUP(A282,'Audit Dimensions'!$A:$N,7,FALSE)</f>
        <v>0</v>
      </c>
      <c r="H282" s="138">
        <f>VLOOKUP(A282,'Billing Dimensions'!$A:$N,8,FALSE)-VLOOKUP(A282,'Audit Dimensions'!$A:$N,8,FALSE)</f>
        <v>0</v>
      </c>
      <c r="I282" s="138">
        <f>VLOOKUP(A282,'Billing Dimensions'!$A:$N,9,FALSE)-VLOOKUP(A282,'Audit Dimensions'!$A:$N,9,FALSE)</f>
        <v>0</v>
      </c>
      <c r="J282" s="139">
        <f>VLOOKUP(A282,'Billing Dimensions'!$A:$N,10,FALSE)-VLOOKUP(A282,'Audit Dimensions'!$A:$N,10,FALSE)</f>
        <v>0</v>
      </c>
      <c r="K282" s="140">
        <f>VLOOKUP(A282,'Billing Dimensions'!$A:$N,11,FALSE)-VLOOKUP(A282,'Audit Dimensions'!$A:$N,11,FALSE)</f>
        <v>0</v>
      </c>
      <c r="L282" s="140">
        <f>VLOOKUP(A282,'Billing Dimensions'!$A:$N,12,FALSE)-VLOOKUP(A282,'Audit Dimensions'!$A:$N,12,FALSE)</f>
        <v>0</v>
      </c>
      <c r="M282" s="140">
        <f>VLOOKUP(A282,'Billing Dimensions'!$A:$N,13,FALSE)-VLOOKUP(A282,'Audit Dimensions'!$A:$N,13,FALSE)</f>
        <v>0</v>
      </c>
      <c r="N282" s="140">
        <f>VLOOKUP(A282,'Billing Dimensions'!$A:$N,14,FALSE)-VLOOKUP(A282,'Audit Dimensions'!$A:$N,14,FALSE)</f>
        <v>0</v>
      </c>
      <c r="O282" s="147">
        <f>VLOOKUP(A282,'Billing Dimensions'!A:Q,16,FALSE)-VLOOKUP('Audit VAR'!A282,'Audit Dimensions'!A:P,16,FALSE)</f>
        <v>0</v>
      </c>
      <c r="P282" s="148">
        <f t="shared" si="27"/>
        <v>0</v>
      </c>
      <c r="Q282" s="151">
        <f t="shared" si="28"/>
        <v>3.5320000000000001E-5</v>
      </c>
      <c r="R282" s="80">
        <f t="shared" si="29"/>
        <v>0</v>
      </c>
    </row>
    <row r="283" spans="1:18" ht="15" hidden="1">
      <c r="A283" s="263" t="s">
        <v>322</v>
      </c>
      <c r="B283" s="242" t="s">
        <v>56</v>
      </c>
      <c r="C283" s="238">
        <v>1</v>
      </c>
      <c r="D283" s="239">
        <v>1</v>
      </c>
      <c r="E283" s="239">
        <v>1</v>
      </c>
      <c r="F283" s="264">
        <v>19000</v>
      </c>
      <c r="G283" s="138">
        <f>VLOOKUP(A283,'Billing Dimensions'!$A:$N,7,FALSE)-VLOOKUP(A283,'Audit Dimensions'!$A:$N,7,FALSE)</f>
        <v>0</v>
      </c>
      <c r="H283" s="138">
        <f>VLOOKUP(A283,'Billing Dimensions'!$A:$N,8,FALSE)-VLOOKUP(A283,'Audit Dimensions'!$A:$N,8,FALSE)</f>
        <v>0</v>
      </c>
      <c r="I283" s="138">
        <f>VLOOKUP(A283,'Billing Dimensions'!$A:$N,9,FALSE)-VLOOKUP(A283,'Audit Dimensions'!$A:$N,9,FALSE)</f>
        <v>0</v>
      </c>
      <c r="J283" s="139">
        <f>VLOOKUP(A283,'Billing Dimensions'!$A:$N,10,FALSE)-VLOOKUP(A283,'Audit Dimensions'!$A:$N,10,FALSE)</f>
        <v>0</v>
      </c>
      <c r="K283" s="140">
        <f>VLOOKUP(A283,'Billing Dimensions'!$A:$N,11,FALSE)-VLOOKUP(A283,'Audit Dimensions'!$A:$N,11,FALSE)</f>
        <v>0</v>
      </c>
      <c r="L283" s="140">
        <f>VLOOKUP(A283,'Billing Dimensions'!$A:$N,12,FALSE)-VLOOKUP(A283,'Audit Dimensions'!$A:$N,12,FALSE)</f>
        <v>0</v>
      </c>
      <c r="M283" s="140">
        <f>VLOOKUP(A283,'Billing Dimensions'!$A:$N,13,FALSE)-VLOOKUP(A283,'Audit Dimensions'!$A:$N,13,FALSE)</f>
        <v>0</v>
      </c>
      <c r="N283" s="140">
        <f>VLOOKUP(A283,'Billing Dimensions'!$A:$N,14,FALSE)-VLOOKUP(A283,'Audit Dimensions'!$A:$N,14,FALSE)</f>
        <v>0</v>
      </c>
      <c r="O283" s="147">
        <f>VLOOKUP(A283,'Billing Dimensions'!A:Q,16,FALSE)-VLOOKUP('Audit VAR'!A283,'Audit Dimensions'!A:P,16,FALSE)</f>
        <v>0</v>
      </c>
      <c r="P283" s="148">
        <f t="shared" si="27"/>
        <v>0</v>
      </c>
      <c r="Q283" s="151">
        <f t="shared" si="28"/>
        <v>3.5320000000000001E-5</v>
      </c>
      <c r="R283" s="80">
        <f t="shared" si="29"/>
        <v>0</v>
      </c>
    </row>
    <row r="284" spans="1:18" ht="15" hidden="1">
      <c r="A284" s="263" t="s">
        <v>323</v>
      </c>
      <c r="B284" s="242" t="s">
        <v>56</v>
      </c>
      <c r="C284" s="238">
        <v>1</v>
      </c>
      <c r="D284" s="239">
        <v>1</v>
      </c>
      <c r="E284" s="239">
        <v>1</v>
      </c>
      <c r="F284" s="264">
        <v>31900</v>
      </c>
      <c r="G284" s="138">
        <f>VLOOKUP(A284,'Billing Dimensions'!$A:$N,7,FALSE)-VLOOKUP(A284,'Audit Dimensions'!$A:$N,7,FALSE)</f>
        <v>0</v>
      </c>
      <c r="H284" s="138">
        <f>VLOOKUP(A284,'Billing Dimensions'!$A:$N,8,FALSE)-VLOOKUP(A284,'Audit Dimensions'!$A:$N,8,FALSE)</f>
        <v>0</v>
      </c>
      <c r="I284" s="138">
        <f>VLOOKUP(A284,'Billing Dimensions'!$A:$N,9,FALSE)-VLOOKUP(A284,'Audit Dimensions'!$A:$N,9,FALSE)</f>
        <v>0</v>
      </c>
      <c r="J284" s="139">
        <f>VLOOKUP(A284,'Billing Dimensions'!$A:$N,10,FALSE)-VLOOKUP(A284,'Audit Dimensions'!$A:$N,10,FALSE)</f>
        <v>0</v>
      </c>
      <c r="K284" s="140">
        <f>VLOOKUP(A284,'Billing Dimensions'!$A:$N,11,FALSE)-VLOOKUP(A284,'Audit Dimensions'!$A:$N,11,FALSE)</f>
        <v>0</v>
      </c>
      <c r="L284" s="140">
        <f>VLOOKUP(A284,'Billing Dimensions'!$A:$N,12,FALSE)-VLOOKUP(A284,'Audit Dimensions'!$A:$N,12,FALSE)</f>
        <v>0</v>
      </c>
      <c r="M284" s="140">
        <f>VLOOKUP(A284,'Billing Dimensions'!$A:$N,13,FALSE)-VLOOKUP(A284,'Audit Dimensions'!$A:$N,13,FALSE)</f>
        <v>0</v>
      </c>
      <c r="N284" s="140">
        <f>VLOOKUP(A284,'Billing Dimensions'!$A:$N,14,FALSE)-VLOOKUP(A284,'Audit Dimensions'!$A:$N,14,FALSE)</f>
        <v>0</v>
      </c>
      <c r="O284" s="147">
        <f>VLOOKUP(A284,'Billing Dimensions'!A:Q,16,FALSE)-VLOOKUP('Audit VAR'!A284,'Audit Dimensions'!A:P,16,FALSE)</f>
        <v>0</v>
      </c>
      <c r="P284" s="148">
        <f t="shared" si="27"/>
        <v>0</v>
      </c>
      <c r="Q284" s="151">
        <f t="shared" si="28"/>
        <v>3.5320000000000001E-5</v>
      </c>
      <c r="R284" s="80">
        <f t="shared" si="29"/>
        <v>0</v>
      </c>
    </row>
    <row r="285" spans="1:18" ht="15" hidden="1">
      <c r="A285" s="263" t="s">
        <v>324</v>
      </c>
      <c r="B285" s="242" t="s">
        <v>56</v>
      </c>
      <c r="C285" s="238">
        <v>1</v>
      </c>
      <c r="D285" s="239">
        <v>1</v>
      </c>
      <c r="E285" s="239">
        <v>1</v>
      </c>
      <c r="F285" s="264">
        <v>54000</v>
      </c>
      <c r="G285" s="138">
        <f>VLOOKUP(A285,'Billing Dimensions'!$A:$N,7,FALSE)-VLOOKUP(A285,'Audit Dimensions'!$A:$N,7,FALSE)</f>
        <v>0</v>
      </c>
      <c r="H285" s="138">
        <f>VLOOKUP(A285,'Billing Dimensions'!$A:$N,8,FALSE)-VLOOKUP(A285,'Audit Dimensions'!$A:$N,8,FALSE)</f>
        <v>0</v>
      </c>
      <c r="I285" s="138">
        <f>VLOOKUP(A285,'Billing Dimensions'!$A:$N,9,FALSE)-VLOOKUP(A285,'Audit Dimensions'!$A:$N,9,FALSE)</f>
        <v>0</v>
      </c>
      <c r="J285" s="139">
        <f>VLOOKUP(A285,'Billing Dimensions'!$A:$N,10,FALSE)-VLOOKUP(A285,'Audit Dimensions'!$A:$N,10,FALSE)</f>
        <v>0</v>
      </c>
      <c r="K285" s="140">
        <f>VLOOKUP(A285,'Billing Dimensions'!$A:$N,11,FALSE)-VLOOKUP(A285,'Audit Dimensions'!$A:$N,11,FALSE)</f>
        <v>0</v>
      </c>
      <c r="L285" s="140">
        <f>VLOOKUP(A285,'Billing Dimensions'!$A:$N,12,FALSE)-VLOOKUP(A285,'Audit Dimensions'!$A:$N,12,FALSE)</f>
        <v>0</v>
      </c>
      <c r="M285" s="140">
        <f>VLOOKUP(A285,'Billing Dimensions'!$A:$N,13,FALSE)-VLOOKUP(A285,'Audit Dimensions'!$A:$N,13,FALSE)</f>
        <v>0</v>
      </c>
      <c r="N285" s="140">
        <f>VLOOKUP(A285,'Billing Dimensions'!$A:$N,14,FALSE)-VLOOKUP(A285,'Audit Dimensions'!$A:$N,14,FALSE)</f>
        <v>0</v>
      </c>
      <c r="O285" s="147">
        <f>VLOOKUP(A285,'Billing Dimensions'!A:Q,16,FALSE)-VLOOKUP('Audit VAR'!A285,'Audit Dimensions'!A:P,16,FALSE)</f>
        <v>0</v>
      </c>
      <c r="P285" s="148">
        <f t="shared" si="27"/>
        <v>0</v>
      </c>
      <c r="Q285" s="151">
        <f t="shared" si="28"/>
        <v>3.5320000000000001E-5</v>
      </c>
      <c r="R285" s="80">
        <f t="shared" si="29"/>
        <v>0</v>
      </c>
    </row>
    <row r="286" spans="1:18" ht="15" hidden="1">
      <c r="A286" s="263" t="s">
        <v>325</v>
      </c>
      <c r="B286" s="242" t="s">
        <v>56</v>
      </c>
      <c r="C286" s="238">
        <v>1</v>
      </c>
      <c r="D286" s="239">
        <v>1</v>
      </c>
      <c r="E286" s="239">
        <v>1</v>
      </c>
      <c r="F286" s="264">
        <v>45600</v>
      </c>
      <c r="G286" s="138">
        <f>VLOOKUP(A286,'Billing Dimensions'!$A:$N,7,FALSE)-VLOOKUP(A286,'Audit Dimensions'!$A:$N,7,FALSE)</f>
        <v>104</v>
      </c>
      <c r="H286" s="138">
        <f>VLOOKUP(A286,'Billing Dimensions'!$A:$N,8,FALSE)-VLOOKUP(A286,'Audit Dimensions'!$A:$N,8,FALSE)</f>
        <v>42</v>
      </c>
      <c r="I286" s="138">
        <f>VLOOKUP(A286,'Billing Dimensions'!$A:$N,9,FALSE)-VLOOKUP(A286,'Audit Dimensions'!$A:$N,9,FALSE)</f>
        <v>16</v>
      </c>
      <c r="J286" s="139">
        <f>VLOOKUP(A286,'Billing Dimensions'!$A:$N,10,FALSE)-VLOOKUP(A286,'Audit Dimensions'!$A:$N,10,FALSE)</f>
        <v>23000</v>
      </c>
      <c r="K286" s="140">
        <f>VLOOKUP(A286,'Billing Dimensions'!$A:$N,11,FALSE)-VLOOKUP(A286,'Audit Dimensions'!$A:$N,11,FALSE)</f>
        <v>0</v>
      </c>
      <c r="L286" s="140">
        <f>VLOOKUP(A286,'Billing Dimensions'!$A:$N,12,FALSE)-VLOOKUP(A286,'Audit Dimensions'!$A:$N,12,FALSE)</f>
        <v>0</v>
      </c>
      <c r="M286" s="140">
        <f>VLOOKUP(A286,'Billing Dimensions'!$A:$N,13,FALSE)-VLOOKUP(A286,'Audit Dimensions'!$A:$N,13,FALSE)</f>
        <v>0</v>
      </c>
      <c r="N286" s="140">
        <f>VLOOKUP(A286,'Billing Dimensions'!$A:$N,14,FALSE)-VLOOKUP(A286,'Audit Dimensions'!$A:$N,14,FALSE)</f>
        <v>0</v>
      </c>
      <c r="O286" s="147">
        <f>VLOOKUP(A286,'Billing Dimensions'!A:Q,16,FALSE)-VLOOKUP('Audit VAR'!A286,'Audit Dimensions'!A:P,16,FALSE)</f>
        <v>6400</v>
      </c>
      <c r="P286" s="148">
        <f t="shared" si="27"/>
        <v>6.4</v>
      </c>
      <c r="Q286" s="151">
        <f t="shared" si="28"/>
        <v>2.4684794800000001</v>
      </c>
      <c r="R286" s="80">
        <f t="shared" si="29"/>
        <v>2.592689164262366</v>
      </c>
    </row>
    <row r="287" spans="1:18" ht="15" hidden="1">
      <c r="A287" s="263" t="s">
        <v>326</v>
      </c>
      <c r="B287" s="242" t="s">
        <v>56</v>
      </c>
      <c r="C287" s="238">
        <v>1</v>
      </c>
      <c r="D287" s="239">
        <v>1</v>
      </c>
      <c r="E287" s="239">
        <v>1</v>
      </c>
      <c r="F287" s="264">
        <v>33000</v>
      </c>
      <c r="G287" s="138">
        <f>VLOOKUP(A287,'Billing Dimensions'!$A:$N,7,FALSE)-VLOOKUP(A287,'Audit Dimensions'!$A:$N,7,FALSE)</f>
        <v>0</v>
      </c>
      <c r="H287" s="138">
        <f>VLOOKUP(A287,'Billing Dimensions'!$A:$N,8,FALSE)-VLOOKUP(A287,'Audit Dimensions'!$A:$N,8,FALSE)</f>
        <v>0</v>
      </c>
      <c r="I287" s="138">
        <f>VLOOKUP(A287,'Billing Dimensions'!$A:$N,9,FALSE)-VLOOKUP(A287,'Audit Dimensions'!$A:$N,9,FALSE)</f>
        <v>0</v>
      </c>
      <c r="J287" s="139">
        <f>VLOOKUP(A287,'Billing Dimensions'!$A:$N,10,FALSE)-VLOOKUP(A287,'Audit Dimensions'!$A:$N,10,FALSE)</f>
        <v>0</v>
      </c>
      <c r="K287" s="140">
        <f>VLOOKUP(A287,'Billing Dimensions'!$A:$N,11,FALSE)-VLOOKUP(A287,'Audit Dimensions'!$A:$N,11,FALSE)</f>
        <v>0</v>
      </c>
      <c r="L287" s="140">
        <f>VLOOKUP(A287,'Billing Dimensions'!$A:$N,12,FALSE)-VLOOKUP(A287,'Audit Dimensions'!$A:$N,12,FALSE)</f>
        <v>0</v>
      </c>
      <c r="M287" s="140">
        <f>VLOOKUP(A287,'Billing Dimensions'!$A:$N,13,FALSE)-VLOOKUP(A287,'Audit Dimensions'!$A:$N,13,FALSE)</f>
        <v>0</v>
      </c>
      <c r="N287" s="140">
        <f>VLOOKUP(A287,'Billing Dimensions'!$A:$N,14,FALSE)-VLOOKUP(A287,'Audit Dimensions'!$A:$N,14,FALSE)</f>
        <v>0</v>
      </c>
      <c r="O287" s="147">
        <f>VLOOKUP(A287,'Billing Dimensions'!A:Q,16,FALSE)-VLOOKUP('Audit VAR'!A287,'Audit Dimensions'!A:P,16,FALSE)</f>
        <v>0</v>
      </c>
      <c r="P287" s="148">
        <f t="shared" si="27"/>
        <v>0</v>
      </c>
      <c r="Q287" s="151">
        <f t="shared" si="28"/>
        <v>3.5320000000000001E-5</v>
      </c>
      <c r="R287" s="80">
        <f t="shared" si="29"/>
        <v>0</v>
      </c>
    </row>
    <row r="288" spans="1:18" ht="15" hidden="1">
      <c r="A288" s="263" t="s">
        <v>327</v>
      </c>
      <c r="B288" s="242" t="s">
        <v>56</v>
      </c>
      <c r="C288" s="238">
        <v>1</v>
      </c>
      <c r="D288" s="239">
        <v>1</v>
      </c>
      <c r="E288" s="239">
        <v>1</v>
      </c>
      <c r="F288" s="264">
        <v>71400</v>
      </c>
      <c r="G288" s="138">
        <f>VLOOKUP(A288,'Billing Dimensions'!$A:$N,7,FALSE)-VLOOKUP(A288,'Audit Dimensions'!$A:$N,7,FALSE)</f>
        <v>0</v>
      </c>
      <c r="H288" s="138">
        <f>VLOOKUP(A288,'Billing Dimensions'!$A:$N,8,FALSE)-VLOOKUP(A288,'Audit Dimensions'!$A:$N,8,FALSE)</f>
        <v>0</v>
      </c>
      <c r="I288" s="138">
        <f>VLOOKUP(A288,'Billing Dimensions'!$A:$N,9,FALSE)-VLOOKUP(A288,'Audit Dimensions'!$A:$N,9,FALSE)</f>
        <v>0</v>
      </c>
      <c r="J288" s="139">
        <f>VLOOKUP(A288,'Billing Dimensions'!$A:$N,10,FALSE)-VLOOKUP(A288,'Audit Dimensions'!$A:$N,10,FALSE)</f>
        <v>0</v>
      </c>
      <c r="K288" s="140">
        <f>VLOOKUP(A288,'Billing Dimensions'!$A:$N,11,FALSE)-VLOOKUP(A288,'Audit Dimensions'!$A:$N,11,FALSE)</f>
        <v>0</v>
      </c>
      <c r="L288" s="140">
        <f>VLOOKUP(A288,'Billing Dimensions'!$A:$N,12,FALSE)-VLOOKUP(A288,'Audit Dimensions'!$A:$N,12,FALSE)</f>
        <v>0</v>
      </c>
      <c r="M288" s="140">
        <f>VLOOKUP(A288,'Billing Dimensions'!$A:$N,13,FALSE)-VLOOKUP(A288,'Audit Dimensions'!$A:$N,13,FALSE)</f>
        <v>0</v>
      </c>
      <c r="N288" s="140">
        <f>VLOOKUP(A288,'Billing Dimensions'!$A:$N,14,FALSE)-VLOOKUP(A288,'Audit Dimensions'!$A:$N,14,FALSE)</f>
        <v>0</v>
      </c>
      <c r="O288" s="147">
        <f>VLOOKUP(A288,'Billing Dimensions'!A:Q,16,FALSE)-VLOOKUP('Audit VAR'!A288,'Audit Dimensions'!A:P,16,FALSE)</f>
        <v>0</v>
      </c>
      <c r="P288" s="148">
        <f t="shared" si="27"/>
        <v>0</v>
      </c>
      <c r="Q288" s="151">
        <f t="shared" si="28"/>
        <v>3.5320000000000001E-5</v>
      </c>
      <c r="R288" s="80">
        <f t="shared" si="29"/>
        <v>0</v>
      </c>
    </row>
    <row r="289" spans="1:18" ht="15" hidden="1">
      <c r="A289" s="263" t="s">
        <v>328</v>
      </c>
      <c r="B289" s="242" t="s">
        <v>56</v>
      </c>
      <c r="C289" s="238">
        <v>1</v>
      </c>
      <c r="D289" s="239">
        <v>1</v>
      </c>
      <c r="E289" s="239">
        <v>1</v>
      </c>
      <c r="F289" s="264">
        <v>18200</v>
      </c>
      <c r="G289" s="138">
        <f>VLOOKUP(A289,'Billing Dimensions'!$A:$N,7,FALSE)-VLOOKUP(A289,'Audit Dimensions'!$A:$N,7,FALSE)</f>
        <v>0</v>
      </c>
      <c r="H289" s="138">
        <f>VLOOKUP(A289,'Billing Dimensions'!$A:$N,8,FALSE)-VLOOKUP(A289,'Audit Dimensions'!$A:$N,8,FALSE)</f>
        <v>0</v>
      </c>
      <c r="I289" s="138">
        <f>VLOOKUP(A289,'Billing Dimensions'!$A:$N,9,FALSE)-VLOOKUP(A289,'Audit Dimensions'!$A:$N,9,FALSE)</f>
        <v>0</v>
      </c>
      <c r="J289" s="139">
        <f>VLOOKUP(A289,'Billing Dimensions'!$A:$N,10,FALSE)-VLOOKUP(A289,'Audit Dimensions'!$A:$N,10,FALSE)</f>
        <v>0</v>
      </c>
      <c r="K289" s="140">
        <f>VLOOKUP(A289,'Billing Dimensions'!$A:$N,11,FALSE)-VLOOKUP(A289,'Audit Dimensions'!$A:$N,11,FALSE)</f>
        <v>0</v>
      </c>
      <c r="L289" s="140">
        <f>VLOOKUP(A289,'Billing Dimensions'!$A:$N,12,FALSE)-VLOOKUP(A289,'Audit Dimensions'!$A:$N,12,FALSE)</f>
        <v>0</v>
      </c>
      <c r="M289" s="140">
        <f>VLOOKUP(A289,'Billing Dimensions'!$A:$N,13,FALSE)-VLOOKUP(A289,'Audit Dimensions'!$A:$N,13,FALSE)</f>
        <v>0</v>
      </c>
      <c r="N289" s="140">
        <f>VLOOKUP(A289,'Billing Dimensions'!$A:$N,14,FALSE)-VLOOKUP(A289,'Audit Dimensions'!$A:$N,14,FALSE)</f>
        <v>0</v>
      </c>
      <c r="O289" s="147">
        <f>VLOOKUP(A289,'Billing Dimensions'!A:Q,16,FALSE)-VLOOKUP('Audit VAR'!A289,'Audit Dimensions'!A:P,16,FALSE)</f>
        <v>0</v>
      </c>
      <c r="P289" s="148">
        <f t="shared" si="27"/>
        <v>0</v>
      </c>
      <c r="Q289" s="151">
        <f t="shared" si="28"/>
        <v>3.5320000000000001E-5</v>
      </c>
      <c r="R289" s="80">
        <f t="shared" si="29"/>
        <v>0</v>
      </c>
    </row>
    <row r="290" spans="1:18" ht="15" hidden="1">
      <c r="A290" s="263" t="s">
        <v>329</v>
      </c>
      <c r="B290" s="242" t="s">
        <v>56</v>
      </c>
      <c r="C290" s="238">
        <v>1</v>
      </c>
      <c r="D290" s="239">
        <v>1</v>
      </c>
      <c r="E290" s="239">
        <v>1</v>
      </c>
      <c r="F290" s="264">
        <v>24100</v>
      </c>
      <c r="G290" s="138">
        <f>VLOOKUP(A290,'Billing Dimensions'!$A:$N,7,FALSE)-VLOOKUP(A290,'Audit Dimensions'!$A:$N,7,FALSE)</f>
        <v>0</v>
      </c>
      <c r="H290" s="138">
        <f>VLOOKUP(A290,'Billing Dimensions'!$A:$N,8,FALSE)-VLOOKUP(A290,'Audit Dimensions'!$A:$N,8,FALSE)</f>
        <v>0</v>
      </c>
      <c r="I290" s="138">
        <f>VLOOKUP(A290,'Billing Dimensions'!$A:$N,9,FALSE)-VLOOKUP(A290,'Audit Dimensions'!$A:$N,9,FALSE)</f>
        <v>0</v>
      </c>
      <c r="J290" s="139">
        <f>VLOOKUP(A290,'Billing Dimensions'!$A:$N,10,FALSE)-VLOOKUP(A290,'Audit Dimensions'!$A:$N,10,FALSE)</f>
        <v>0</v>
      </c>
      <c r="K290" s="140">
        <f>VLOOKUP(A290,'Billing Dimensions'!$A:$N,11,FALSE)-VLOOKUP(A290,'Audit Dimensions'!$A:$N,11,FALSE)</f>
        <v>0</v>
      </c>
      <c r="L290" s="140">
        <f>VLOOKUP(A290,'Billing Dimensions'!$A:$N,12,FALSE)-VLOOKUP(A290,'Audit Dimensions'!$A:$N,12,FALSE)</f>
        <v>0</v>
      </c>
      <c r="M290" s="140">
        <f>VLOOKUP(A290,'Billing Dimensions'!$A:$N,13,FALSE)-VLOOKUP(A290,'Audit Dimensions'!$A:$N,13,FALSE)</f>
        <v>0</v>
      </c>
      <c r="N290" s="140">
        <f>VLOOKUP(A290,'Billing Dimensions'!$A:$N,14,FALSE)-VLOOKUP(A290,'Audit Dimensions'!$A:$N,14,FALSE)</f>
        <v>0</v>
      </c>
      <c r="O290" s="147">
        <f>VLOOKUP(A290,'Billing Dimensions'!A:Q,16,FALSE)-VLOOKUP('Audit VAR'!A290,'Audit Dimensions'!A:P,16,FALSE)</f>
        <v>0</v>
      </c>
      <c r="P290" s="148">
        <f t="shared" si="27"/>
        <v>0</v>
      </c>
      <c r="Q290" s="151">
        <f t="shared" si="28"/>
        <v>3.5320000000000001E-5</v>
      </c>
      <c r="R290" s="80">
        <f t="shared" si="29"/>
        <v>0</v>
      </c>
    </row>
    <row r="291" spans="1:18" ht="15" hidden="1">
      <c r="A291" s="263" t="s">
        <v>330</v>
      </c>
      <c r="B291" s="242" t="s">
        <v>56</v>
      </c>
      <c r="C291" s="238">
        <v>1</v>
      </c>
      <c r="D291" s="239">
        <v>1</v>
      </c>
      <c r="E291" s="239">
        <v>1</v>
      </c>
      <c r="F291" s="264">
        <v>29100</v>
      </c>
      <c r="G291" s="138">
        <f>VLOOKUP(A291,'Billing Dimensions'!$A:$N,7,FALSE)-VLOOKUP(A291,'Audit Dimensions'!$A:$N,7,FALSE)</f>
        <v>0</v>
      </c>
      <c r="H291" s="138">
        <f>VLOOKUP(A291,'Billing Dimensions'!$A:$N,8,FALSE)-VLOOKUP(A291,'Audit Dimensions'!$A:$N,8,FALSE)</f>
        <v>0</v>
      </c>
      <c r="I291" s="138">
        <f>VLOOKUP(A291,'Billing Dimensions'!$A:$N,9,FALSE)-VLOOKUP(A291,'Audit Dimensions'!$A:$N,9,FALSE)</f>
        <v>0</v>
      </c>
      <c r="J291" s="139">
        <f>VLOOKUP(A291,'Billing Dimensions'!$A:$N,10,FALSE)-VLOOKUP(A291,'Audit Dimensions'!$A:$N,10,FALSE)</f>
        <v>0</v>
      </c>
      <c r="K291" s="140">
        <f>VLOOKUP(A291,'Billing Dimensions'!$A:$N,11,FALSE)-VLOOKUP(A291,'Audit Dimensions'!$A:$N,11,FALSE)</f>
        <v>0</v>
      </c>
      <c r="L291" s="140">
        <f>VLOOKUP(A291,'Billing Dimensions'!$A:$N,12,FALSE)-VLOOKUP(A291,'Audit Dimensions'!$A:$N,12,FALSE)</f>
        <v>0</v>
      </c>
      <c r="M291" s="140">
        <f>VLOOKUP(A291,'Billing Dimensions'!$A:$N,13,FALSE)-VLOOKUP(A291,'Audit Dimensions'!$A:$N,13,FALSE)</f>
        <v>0</v>
      </c>
      <c r="N291" s="140">
        <f>VLOOKUP(A291,'Billing Dimensions'!$A:$N,14,FALSE)-VLOOKUP(A291,'Audit Dimensions'!$A:$N,14,FALSE)</f>
        <v>0</v>
      </c>
      <c r="O291" s="147">
        <f>VLOOKUP(A291,'Billing Dimensions'!A:Q,16,FALSE)-VLOOKUP('Audit VAR'!A291,'Audit Dimensions'!A:P,16,FALSE)</f>
        <v>0</v>
      </c>
      <c r="P291" s="148">
        <f t="shared" si="27"/>
        <v>0</v>
      </c>
      <c r="Q291" s="151">
        <f t="shared" si="28"/>
        <v>3.5320000000000001E-5</v>
      </c>
      <c r="R291" s="80">
        <f t="shared" si="29"/>
        <v>0</v>
      </c>
    </row>
    <row r="292" spans="1:18" ht="15" hidden="1">
      <c r="A292" s="263" t="s">
        <v>331</v>
      </c>
      <c r="B292" s="242" t="s">
        <v>56</v>
      </c>
      <c r="C292" s="238">
        <v>1</v>
      </c>
      <c r="D292" s="239">
        <v>1</v>
      </c>
      <c r="E292" s="239">
        <v>1</v>
      </c>
      <c r="F292" s="238">
        <v>46000</v>
      </c>
      <c r="G292" s="138">
        <f>VLOOKUP(A292,'Billing Dimensions'!$A:$N,7,FALSE)-VLOOKUP(A292,'Audit Dimensions'!$A:$N,7,FALSE)</f>
        <v>0</v>
      </c>
      <c r="H292" s="138">
        <f>VLOOKUP(A292,'Billing Dimensions'!$A:$N,8,FALSE)-VLOOKUP(A292,'Audit Dimensions'!$A:$N,8,FALSE)</f>
        <v>0</v>
      </c>
      <c r="I292" s="138">
        <f>VLOOKUP(A292,'Billing Dimensions'!$A:$N,9,FALSE)-VLOOKUP(A292,'Audit Dimensions'!$A:$N,9,FALSE)</f>
        <v>0</v>
      </c>
      <c r="J292" s="139">
        <f>VLOOKUP(A292,'Billing Dimensions'!$A:$N,10,FALSE)-VLOOKUP(A292,'Audit Dimensions'!$A:$N,10,FALSE)</f>
        <v>0</v>
      </c>
      <c r="K292" s="140">
        <f>VLOOKUP(A292,'Billing Dimensions'!$A:$N,11,FALSE)-VLOOKUP(A292,'Audit Dimensions'!$A:$N,11,FALSE)</f>
        <v>0</v>
      </c>
      <c r="L292" s="140">
        <f>VLOOKUP(A292,'Billing Dimensions'!$A:$N,12,FALSE)-VLOOKUP(A292,'Audit Dimensions'!$A:$N,12,FALSE)</f>
        <v>0</v>
      </c>
      <c r="M292" s="140">
        <f>VLOOKUP(A292,'Billing Dimensions'!$A:$N,13,FALSE)-VLOOKUP(A292,'Audit Dimensions'!$A:$N,13,FALSE)</f>
        <v>0</v>
      </c>
      <c r="N292" s="140">
        <f>VLOOKUP(A292,'Billing Dimensions'!$A:$N,14,FALSE)-VLOOKUP(A292,'Audit Dimensions'!$A:$N,14,FALSE)</f>
        <v>0</v>
      </c>
      <c r="O292" s="147">
        <f>VLOOKUP(A292,'Billing Dimensions'!A:Q,16,FALSE)-VLOOKUP('Audit VAR'!A292,'Audit Dimensions'!A:P,16,FALSE)</f>
        <v>0</v>
      </c>
      <c r="P292" s="148">
        <f t="shared" si="27"/>
        <v>0</v>
      </c>
      <c r="Q292" s="151">
        <f t="shared" si="28"/>
        <v>3.5320000000000001E-5</v>
      </c>
      <c r="R292" s="80">
        <f t="shared" si="29"/>
        <v>0</v>
      </c>
    </row>
    <row r="293" spans="1:18" hidden="1">
      <c r="A293" s="292" t="s">
        <v>336</v>
      </c>
      <c r="B293" s="242" t="s">
        <v>56</v>
      </c>
      <c r="C293" s="238">
        <v>1</v>
      </c>
      <c r="D293" s="239">
        <v>1</v>
      </c>
      <c r="E293" s="239">
        <v>1</v>
      </c>
      <c r="F293" s="294">
        <v>40000</v>
      </c>
      <c r="G293" s="138">
        <f>VLOOKUP(A293,'Billing Dimensions'!$A:$N,7,FALSE)-VLOOKUP(A293,'Audit Dimensions'!$A:$N,7,FALSE)</f>
        <v>0</v>
      </c>
      <c r="H293" s="138">
        <f>VLOOKUP(A293,'Billing Dimensions'!$A:$N,8,FALSE)-VLOOKUP(A293,'Audit Dimensions'!$A:$N,8,FALSE)</f>
        <v>0</v>
      </c>
      <c r="I293" s="138">
        <f>VLOOKUP(A293,'Billing Dimensions'!$A:$N,9,FALSE)-VLOOKUP(A293,'Audit Dimensions'!$A:$N,9,FALSE)</f>
        <v>0</v>
      </c>
      <c r="J293" s="139">
        <f>VLOOKUP(A293,'Billing Dimensions'!$A:$N,10,FALSE)-VLOOKUP(A293,'Audit Dimensions'!$A:$N,10,FALSE)</f>
        <v>0</v>
      </c>
      <c r="K293" s="140">
        <f>VLOOKUP(A293,'Billing Dimensions'!$A:$N,11,FALSE)-VLOOKUP(A293,'Audit Dimensions'!$A:$N,11,FALSE)</f>
        <v>0</v>
      </c>
      <c r="L293" s="140">
        <f>VLOOKUP(A293,'Billing Dimensions'!$A:$N,12,FALSE)-VLOOKUP(A293,'Audit Dimensions'!$A:$N,12,FALSE)</f>
        <v>0</v>
      </c>
      <c r="M293" s="140">
        <f>VLOOKUP(A293,'Billing Dimensions'!$A:$N,13,FALSE)-VLOOKUP(A293,'Audit Dimensions'!$A:$N,13,FALSE)</f>
        <v>0</v>
      </c>
      <c r="N293" s="140">
        <f>VLOOKUP(A293,'Billing Dimensions'!$A:$N,14,FALSE)-VLOOKUP(A293,'Audit Dimensions'!$A:$N,14,FALSE)</f>
        <v>0</v>
      </c>
      <c r="O293" s="147">
        <f>VLOOKUP(A293,'Billing Dimensions'!A:Q,16,FALSE)-VLOOKUP('Audit VAR'!A293,'Audit Dimensions'!A:P,16,FALSE)</f>
        <v>-15000</v>
      </c>
      <c r="P293" s="148">
        <f t="shared" ref="P293:P299" si="30">O293/1000</f>
        <v>-15</v>
      </c>
      <c r="Q293" s="151">
        <f t="shared" ref="Q293:Q299" si="31">(((C293*D293*E293)+(G293*H293*I293)+(K293*L293*M293))/1000000)*35.32</f>
        <v>3.5320000000000001E-5</v>
      </c>
      <c r="R293" s="80">
        <f t="shared" ref="R293:R299" si="32">P293/Q293</f>
        <v>-424688.56172140432</v>
      </c>
    </row>
    <row r="294" spans="1:18" hidden="1">
      <c r="A294" s="298" t="s">
        <v>337</v>
      </c>
      <c r="B294" s="242" t="s">
        <v>56</v>
      </c>
      <c r="C294" s="238">
        <v>1</v>
      </c>
      <c r="D294" s="239">
        <v>1</v>
      </c>
      <c r="E294" s="239">
        <v>1</v>
      </c>
      <c r="F294" s="299">
        <v>34000</v>
      </c>
      <c r="G294" s="138">
        <f>VLOOKUP(A294,'Billing Dimensions'!$A:$N,7,FALSE)-VLOOKUP(A294,'Audit Dimensions'!$A:$N,7,FALSE)</f>
        <v>0</v>
      </c>
      <c r="H294" s="138">
        <f>VLOOKUP(A294,'Billing Dimensions'!$A:$N,8,FALSE)-VLOOKUP(A294,'Audit Dimensions'!$A:$N,8,FALSE)</f>
        <v>0</v>
      </c>
      <c r="I294" s="138">
        <f>VLOOKUP(A294,'Billing Dimensions'!$A:$N,9,FALSE)-VLOOKUP(A294,'Audit Dimensions'!$A:$N,9,FALSE)</f>
        <v>0</v>
      </c>
      <c r="J294" s="139">
        <f>VLOOKUP(A294,'Billing Dimensions'!$A:$N,10,FALSE)-VLOOKUP(A294,'Audit Dimensions'!$A:$N,10,FALSE)</f>
        <v>0</v>
      </c>
      <c r="K294" s="140">
        <f>VLOOKUP(A294,'Billing Dimensions'!$A:$N,11,FALSE)-VLOOKUP(A294,'Audit Dimensions'!$A:$N,11,FALSE)</f>
        <v>0</v>
      </c>
      <c r="L294" s="140">
        <f>VLOOKUP(A294,'Billing Dimensions'!$A:$N,12,FALSE)-VLOOKUP(A294,'Audit Dimensions'!$A:$N,12,FALSE)</f>
        <v>0</v>
      </c>
      <c r="M294" s="140">
        <f>VLOOKUP(A294,'Billing Dimensions'!$A:$N,13,FALSE)-VLOOKUP(A294,'Audit Dimensions'!$A:$N,13,FALSE)</f>
        <v>0</v>
      </c>
      <c r="N294" s="140">
        <f>VLOOKUP(A294,'Billing Dimensions'!$A:$N,14,FALSE)-VLOOKUP(A294,'Audit Dimensions'!$A:$N,14,FALSE)</f>
        <v>0</v>
      </c>
      <c r="O294" s="147">
        <f>VLOOKUP(A294,'Billing Dimensions'!A:Q,16,FALSE)-VLOOKUP('Audit VAR'!A294,'Audit Dimensions'!A:P,16,FALSE)</f>
        <v>0</v>
      </c>
      <c r="P294" s="148">
        <f t="shared" si="30"/>
        <v>0</v>
      </c>
      <c r="Q294" s="151">
        <f t="shared" si="31"/>
        <v>3.5320000000000001E-5</v>
      </c>
      <c r="R294" s="80">
        <f t="shared" si="32"/>
        <v>0</v>
      </c>
    </row>
    <row r="295" spans="1:18" hidden="1">
      <c r="A295" s="298" t="s">
        <v>338</v>
      </c>
      <c r="B295" s="242" t="s">
        <v>56</v>
      </c>
      <c r="C295" s="238">
        <v>1</v>
      </c>
      <c r="D295" s="239">
        <v>1</v>
      </c>
      <c r="E295" s="239">
        <v>1</v>
      </c>
      <c r="F295" s="299">
        <v>15000</v>
      </c>
      <c r="G295" s="138">
        <f>VLOOKUP(A295,'Billing Dimensions'!$A:$N,7,FALSE)-VLOOKUP(A295,'Audit Dimensions'!$A:$N,7,FALSE)</f>
        <v>0</v>
      </c>
      <c r="H295" s="138">
        <f>VLOOKUP(A295,'Billing Dimensions'!$A:$N,8,FALSE)-VLOOKUP(A295,'Audit Dimensions'!$A:$N,8,FALSE)</f>
        <v>0</v>
      </c>
      <c r="I295" s="138">
        <f>VLOOKUP(A295,'Billing Dimensions'!$A:$N,9,FALSE)-VLOOKUP(A295,'Audit Dimensions'!$A:$N,9,FALSE)</f>
        <v>0</v>
      </c>
      <c r="J295" s="139">
        <f>VLOOKUP(A295,'Billing Dimensions'!$A:$N,10,FALSE)-VLOOKUP(A295,'Audit Dimensions'!$A:$N,10,FALSE)</f>
        <v>0</v>
      </c>
      <c r="K295" s="140">
        <f>VLOOKUP(A295,'Billing Dimensions'!$A:$N,11,FALSE)-VLOOKUP(A295,'Audit Dimensions'!$A:$N,11,FALSE)</f>
        <v>0</v>
      </c>
      <c r="L295" s="140">
        <f>VLOOKUP(A295,'Billing Dimensions'!$A:$N,12,FALSE)-VLOOKUP(A295,'Audit Dimensions'!$A:$N,12,FALSE)</f>
        <v>0</v>
      </c>
      <c r="M295" s="140">
        <f>VLOOKUP(A295,'Billing Dimensions'!$A:$N,13,FALSE)-VLOOKUP(A295,'Audit Dimensions'!$A:$N,13,FALSE)</f>
        <v>0</v>
      </c>
      <c r="N295" s="140">
        <f>VLOOKUP(A295,'Billing Dimensions'!$A:$N,14,FALSE)-VLOOKUP(A295,'Audit Dimensions'!$A:$N,14,FALSE)</f>
        <v>0</v>
      </c>
      <c r="O295" s="147">
        <f>VLOOKUP(A295,'Billing Dimensions'!A:Q,16,FALSE)-VLOOKUP('Audit VAR'!A295,'Audit Dimensions'!A:P,16,FALSE)</f>
        <v>0</v>
      </c>
      <c r="P295" s="148">
        <f t="shared" si="30"/>
        <v>0</v>
      </c>
      <c r="Q295" s="151">
        <f t="shared" si="31"/>
        <v>3.5320000000000001E-5</v>
      </c>
      <c r="R295" s="80">
        <f t="shared" si="32"/>
        <v>0</v>
      </c>
    </row>
    <row r="296" spans="1:18" hidden="1">
      <c r="A296" s="292" t="s">
        <v>339</v>
      </c>
      <c r="B296" s="242" t="s">
        <v>56</v>
      </c>
      <c r="C296" s="238">
        <v>1</v>
      </c>
      <c r="D296" s="239">
        <v>1</v>
      </c>
      <c r="E296" s="239">
        <v>1</v>
      </c>
      <c r="F296" s="294">
        <v>37000</v>
      </c>
      <c r="G296" s="138">
        <f>VLOOKUP(A296,'Billing Dimensions'!$A:$N,7,FALSE)-VLOOKUP(A296,'Audit Dimensions'!$A:$N,7,FALSE)</f>
        <v>0</v>
      </c>
      <c r="H296" s="138">
        <f>VLOOKUP(A296,'Billing Dimensions'!$A:$N,8,FALSE)-VLOOKUP(A296,'Audit Dimensions'!$A:$N,8,FALSE)</f>
        <v>0</v>
      </c>
      <c r="I296" s="138">
        <f>VLOOKUP(A296,'Billing Dimensions'!$A:$N,9,FALSE)-VLOOKUP(A296,'Audit Dimensions'!$A:$N,9,FALSE)</f>
        <v>0</v>
      </c>
      <c r="J296" s="139">
        <f>VLOOKUP(A296,'Billing Dimensions'!$A:$N,10,FALSE)-VLOOKUP(A296,'Audit Dimensions'!$A:$N,10,FALSE)</f>
        <v>0</v>
      </c>
      <c r="K296" s="140">
        <f>VLOOKUP(A296,'Billing Dimensions'!$A:$N,11,FALSE)-VLOOKUP(A296,'Audit Dimensions'!$A:$N,11,FALSE)</f>
        <v>0</v>
      </c>
      <c r="L296" s="140">
        <f>VLOOKUP(A296,'Billing Dimensions'!$A:$N,12,FALSE)-VLOOKUP(A296,'Audit Dimensions'!$A:$N,12,FALSE)</f>
        <v>0</v>
      </c>
      <c r="M296" s="140">
        <f>VLOOKUP(A296,'Billing Dimensions'!$A:$N,13,FALSE)-VLOOKUP(A296,'Audit Dimensions'!$A:$N,13,FALSE)</f>
        <v>0</v>
      </c>
      <c r="N296" s="140">
        <f>VLOOKUP(A296,'Billing Dimensions'!$A:$N,14,FALSE)-VLOOKUP(A296,'Audit Dimensions'!$A:$N,14,FALSE)</f>
        <v>0</v>
      </c>
      <c r="O296" s="147">
        <f>VLOOKUP(A296,'Billing Dimensions'!A:Q,16,FALSE)-VLOOKUP('Audit VAR'!A296,'Audit Dimensions'!A:P,16,FALSE)</f>
        <v>0</v>
      </c>
      <c r="P296" s="148">
        <f t="shared" si="30"/>
        <v>0</v>
      </c>
      <c r="Q296" s="151">
        <f t="shared" si="31"/>
        <v>3.5320000000000001E-5</v>
      </c>
      <c r="R296" s="80">
        <f t="shared" si="32"/>
        <v>0</v>
      </c>
    </row>
    <row r="297" spans="1:18" hidden="1">
      <c r="A297" s="298" t="s">
        <v>381</v>
      </c>
      <c r="B297" s="242" t="s">
        <v>56</v>
      </c>
      <c r="C297" s="238">
        <v>1</v>
      </c>
      <c r="D297" s="239">
        <v>1</v>
      </c>
      <c r="E297" s="239">
        <v>1</v>
      </c>
      <c r="F297" s="299">
        <v>22000</v>
      </c>
      <c r="G297" s="138" t="e">
        <f>VLOOKUP(A297,'Billing Dimensions'!$A:$N,7,FALSE)-VLOOKUP(A297,'Audit Dimensions'!$A:$N,7,FALSE)</f>
        <v>#N/A</v>
      </c>
      <c r="H297" s="138" t="e">
        <f>VLOOKUP(A297,'Billing Dimensions'!$A:$N,8,FALSE)-VLOOKUP(A297,'Audit Dimensions'!$A:$N,8,FALSE)</f>
        <v>#N/A</v>
      </c>
      <c r="I297" s="138" t="e">
        <f>VLOOKUP(A297,'Billing Dimensions'!$A:$N,9,FALSE)-VLOOKUP(A297,'Audit Dimensions'!$A:$N,9,FALSE)</f>
        <v>#N/A</v>
      </c>
      <c r="J297" s="139" t="e">
        <f>VLOOKUP(A297,'Billing Dimensions'!$A:$N,10,FALSE)-VLOOKUP(A297,'Audit Dimensions'!$A:$N,10,FALSE)</f>
        <v>#N/A</v>
      </c>
      <c r="K297" s="140" t="e">
        <f>VLOOKUP(A297,'Billing Dimensions'!$A:$N,11,FALSE)-VLOOKUP(A297,'Audit Dimensions'!$A:$N,11,FALSE)</f>
        <v>#N/A</v>
      </c>
      <c r="L297" s="140" t="e">
        <f>VLOOKUP(A297,'Billing Dimensions'!$A:$N,12,FALSE)-VLOOKUP(A297,'Audit Dimensions'!$A:$N,12,FALSE)</f>
        <v>#N/A</v>
      </c>
      <c r="M297" s="140" t="e">
        <f>VLOOKUP(A297,'Billing Dimensions'!$A:$N,13,FALSE)-VLOOKUP(A297,'Audit Dimensions'!$A:$N,13,FALSE)</f>
        <v>#N/A</v>
      </c>
      <c r="N297" s="140" t="e">
        <f>VLOOKUP(A297,'Billing Dimensions'!$A:$N,14,FALSE)-VLOOKUP(A297,'Audit Dimensions'!$A:$N,14,FALSE)</f>
        <v>#N/A</v>
      </c>
      <c r="O297" s="147" t="e">
        <f>VLOOKUP(A297,'Billing Dimensions'!A:Q,16,FALSE)-VLOOKUP('Audit VAR'!A297,'Audit Dimensions'!A:P,16,FALSE)</f>
        <v>#N/A</v>
      </c>
      <c r="P297" s="148" t="e">
        <f t="shared" si="30"/>
        <v>#N/A</v>
      </c>
      <c r="Q297" s="151" t="e">
        <f t="shared" si="31"/>
        <v>#N/A</v>
      </c>
      <c r="R297" s="80" t="e">
        <f t="shared" si="32"/>
        <v>#N/A</v>
      </c>
    </row>
    <row r="298" spans="1:18" hidden="1">
      <c r="A298" s="300" t="s">
        <v>341</v>
      </c>
      <c r="B298" s="242" t="s">
        <v>56</v>
      </c>
      <c r="C298" s="238">
        <v>1</v>
      </c>
      <c r="D298" s="239">
        <v>1</v>
      </c>
      <c r="E298" s="239">
        <v>1</v>
      </c>
      <c r="F298" s="301">
        <v>19000</v>
      </c>
      <c r="G298" s="138">
        <f>VLOOKUP(A298,'Billing Dimensions'!$A:$N,7,FALSE)-VLOOKUP(A298,'Audit Dimensions'!$A:$N,7,FALSE)</f>
        <v>0</v>
      </c>
      <c r="H298" s="138">
        <f>VLOOKUP(A298,'Billing Dimensions'!$A:$N,8,FALSE)-VLOOKUP(A298,'Audit Dimensions'!$A:$N,8,FALSE)</f>
        <v>0</v>
      </c>
      <c r="I298" s="138">
        <f>VLOOKUP(A298,'Billing Dimensions'!$A:$N,9,FALSE)-VLOOKUP(A298,'Audit Dimensions'!$A:$N,9,FALSE)</f>
        <v>0</v>
      </c>
      <c r="J298" s="139">
        <f>VLOOKUP(A298,'Billing Dimensions'!$A:$N,10,FALSE)-VLOOKUP(A298,'Audit Dimensions'!$A:$N,10,FALSE)</f>
        <v>0</v>
      </c>
      <c r="K298" s="140">
        <f>VLOOKUP(A298,'Billing Dimensions'!$A:$N,11,FALSE)-VLOOKUP(A298,'Audit Dimensions'!$A:$N,11,FALSE)</f>
        <v>0</v>
      </c>
      <c r="L298" s="140">
        <f>VLOOKUP(A298,'Billing Dimensions'!$A:$N,12,FALSE)-VLOOKUP(A298,'Audit Dimensions'!$A:$N,12,FALSE)</f>
        <v>0</v>
      </c>
      <c r="M298" s="140">
        <f>VLOOKUP(A298,'Billing Dimensions'!$A:$N,13,FALSE)-VLOOKUP(A298,'Audit Dimensions'!$A:$N,13,FALSE)</f>
        <v>0</v>
      </c>
      <c r="N298" s="140">
        <f>VLOOKUP(A298,'Billing Dimensions'!$A:$N,14,FALSE)-VLOOKUP(A298,'Audit Dimensions'!$A:$N,14,FALSE)</f>
        <v>0</v>
      </c>
      <c r="O298" s="147">
        <f>VLOOKUP(A298,'Billing Dimensions'!A:Q,16,FALSE)-VLOOKUP('Audit VAR'!A298,'Audit Dimensions'!A:P,16,FALSE)</f>
        <v>0</v>
      </c>
      <c r="P298" s="148">
        <f t="shared" si="30"/>
        <v>0</v>
      </c>
      <c r="Q298" s="151">
        <f t="shared" si="31"/>
        <v>3.5320000000000001E-5</v>
      </c>
      <c r="R298" s="80">
        <f t="shared" si="32"/>
        <v>0</v>
      </c>
    </row>
    <row r="299" spans="1:18" hidden="1">
      <c r="A299" s="240" t="s">
        <v>342</v>
      </c>
      <c r="B299" s="242" t="s">
        <v>56</v>
      </c>
      <c r="C299" s="238">
        <v>1</v>
      </c>
      <c r="D299" s="239">
        <v>1</v>
      </c>
      <c r="E299" s="239">
        <v>1</v>
      </c>
      <c r="F299" s="246">
        <v>56000</v>
      </c>
      <c r="G299" s="138">
        <f>VLOOKUP(A299,'Billing Dimensions'!$A:$N,7,FALSE)-VLOOKUP(A299,'Audit Dimensions'!$A:$N,7,FALSE)</f>
        <v>0</v>
      </c>
      <c r="H299" s="138">
        <f>VLOOKUP(A299,'Billing Dimensions'!$A:$N,8,FALSE)-VLOOKUP(A299,'Audit Dimensions'!$A:$N,8,FALSE)</f>
        <v>0</v>
      </c>
      <c r="I299" s="138">
        <f>VLOOKUP(A299,'Billing Dimensions'!$A:$N,9,FALSE)-VLOOKUP(A299,'Audit Dimensions'!$A:$N,9,FALSE)</f>
        <v>0</v>
      </c>
      <c r="J299" s="139">
        <f>VLOOKUP(A299,'Billing Dimensions'!$A:$N,10,FALSE)-VLOOKUP(A299,'Audit Dimensions'!$A:$N,10,FALSE)</f>
        <v>0</v>
      </c>
      <c r="K299" s="140">
        <f>VLOOKUP(A299,'Billing Dimensions'!$A:$N,11,FALSE)-VLOOKUP(A299,'Audit Dimensions'!$A:$N,11,FALSE)</f>
        <v>0</v>
      </c>
      <c r="L299" s="140">
        <f>VLOOKUP(A299,'Billing Dimensions'!$A:$N,12,FALSE)-VLOOKUP(A299,'Audit Dimensions'!$A:$N,12,FALSE)</f>
        <v>0</v>
      </c>
      <c r="M299" s="140">
        <f>VLOOKUP(A299,'Billing Dimensions'!$A:$N,13,FALSE)-VLOOKUP(A299,'Audit Dimensions'!$A:$N,13,FALSE)</f>
        <v>0</v>
      </c>
      <c r="N299" s="140">
        <f>VLOOKUP(A299,'Billing Dimensions'!$A:$N,14,FALSE)-VLOOKUP(A299,'Audit Dimensions'!$A:$N,14,FALSE)</f>
        <v>0</v>
      </c>
      <c r="O299" s="147">
        <f>VLOOKUP(A299,'Billing Dimensions'!A:Q,16,FALSE)-VLOOKUP('Audit VAR'!A299,'Audit Dimensions'!A:P,16,FALSE)</f>
        <v>0</v>
      </c>
      <c r="P299" s="148">
        <f t="shared" si="30"/>
        <v>0</v>
      </c>
      <c r="Q299" s="151">
        <f t="shared" si="31"/>
        <v>3.5320000000000001E-5</v>
      </c>
      <c r="R299" s="80">
        <f t="shared" si="32"/>
        <v>0</v>
      </c>
    </row>
    <row r="300" spans="1:18" ht="15" hidden="1">
      <c r="A300" s="302" t="s">
        <v>343</v>
      </c>
      <c r="B300" s="242" t="s">
        <v>56</v>
      </c>
      <c r="C300" s="238">
        <v>1</v>
      </c>
      <c r="D300" s="239">
        <v>1</v>
      </c>
      <c r="E300" s="239">
        <v>1</v>
      </c>
      <c r="F300" s="246">
        <v>5500</v>
      </c>
      <c r="G300" s="138">
        <f>VLOOKUP(A300,'Billing Dimensions'!$A:$N,7,FALSE)-VLOOKUP(A300,'Audit Dimensions'!$A:$N,7,FALSE)</f>
        <v>0</v>
      </c>
      <c r="H300" s="138">
        <f>VLOOKUP(A300,'Billing Dimensions'!$A:$N,8,FALSE)-VLOOKUP(A300,'Audit Dimensions'!$A:$N,8,FALSE)</f>
        <v>0</v>
      </c>
      <c r="I300" s="138">
        <f>VLOOKUP(A300,'Billing Dimensions'!$A:$N,9,FALSE)-VLOOKUP(A300,'Audit Dimensions'!$A:$N,9,FALSE)</f>
        <v>0</v>
      </c>
      <c r="J300" s="139">
        <f>VLOOKUP(A300,'Billing Dimensions'!$A:$N,10,FALSE)-VLOOKUP(A300,'Audit Dimensions'!$A:$N,10,FALSE)</f>
        <v>0</v>
      </c>
      <c r="K300" s="140">
        <f>VLOOKUP(A300,'Billing Dimensions'!$A:$N,11,FALSE)-VLOOKUP(A300,'Audit Dimensions'!$A:$N,11,FALSE)</f>
        <v>0</v>
      </c>
      <c r="L300" s="140">
        <f>VLOOKUP(A300,'Billing Dimensions'!$A:$N,12,FALSE)-VLOOKUP(A300,'Audit Dimensions'!$A:$N,12,FALSE)</f>
        <v>0</v>
      </c>
      <c r="M300" s="140">
        <f>VLOOKUP(A300,'Billing Dimensions'!$A:$N,13,FALSE)-VLOOKUP(A300,'Audit Dimensions'!$A:$N,13,FALSE)</f>
        <v>0</v>
      </c>
      <c r="N300" s="140">
        <f>VLOOKUP(A300,'Billing Dimensions'!$A:$N,14,FALSE)-VLOOKUP(A300,'Audit Dimensions'!$A:$N,14,FALSE)</f>
        <v>0</v>
      </c>
      <c r="O300" s="147">
        <f>VLOOKUP(A300,'Billing Dimensions'!A:Q,16,FALSE)-VLOOKUP('Audit VAR'!A300,'Audit Dimensions'!A:P,16,FALSE)</f>
        <v>-1850</v>
      </c>
      <c r="P300" s="148">
        <f t="shared" ref="P300" si="33">O300/1000</f>
        <v>-1.85</v>
      </c>
      <c r="Q300" s="151">
        <f t="shared" ref="Q300" si="34">(((C300*D300*E300)+(G300*H300*I300)+(K300*L300*M300))/1000000)*35.32</f>
        <v>3.5320000000000001E-5</v>
      </c>
      <c r="R300" s="80">
        <f t="shared" ref="R300" si="35">P300/Q300</f>
        <v>-52378.255945639867</v>
      </c>
    </row>
  </sheetData>
  <autoFilter ref="A3:R300" xr:uid="{00000000-0001-0000-0000-000000000000}">
    <filterColumn colId="0">
      <filters>
        <filter val="SR-CLM-2"/>
        <filter val="SR-CLM-3"/>
        <filter val="SR-CLM-T  "/>
      </filters>
    </filterColumn>
  </autoFilter>
  <mergeCells count="4">
    <mergeCell ref="C1:F1"/>
    <mergeCell ref="G1:J1"/>
    <mergeCell ref="K1:N1"/>
    <mergeCell ref="O1:P1"/>
  </mergeCells>
  <conditionalFormatting sqref="A13">
    <cfRule type="duplicateValues" dxfId="178" priority="48"/>
    <cfRule type="duplicateValues" dxfId="177" priority="47"/>
  </conditionalFormatting>
  <conditionalFormatting sqref="A217">
    <cfRule type="duplicateValues" dxfId="176" priority="12"/>
    <cfRule type="duplicateValues" dxfId="175" priority="13"/>
    <cfRule type="duplicateValues" dxfId="174" priority="14"/>
    <cfRule type="duplicateValues" dxfId="173" priority="15"/>
  </conditionalFormatting>
  <conditionalFormatting sqref="A218">
    <cfRule type="duplicateValues" dxfId="172" priority="40"/>
    <cfRule type="duplicateValues" dxfId="171" priority="41"/>
    <cfRule type="duplicateValues" dxfId="170" priority="42"/>
  </conditionalFormatting>
  <conditionalFormatting sqref="A219:A221">
    <cfRule type="duplicateValues" dxfId="169" priority="39"/>
  </conditionalFormatting>
  <conditionalFormatting sqref="A222">
    <cfRule type="duplicateValues" dxfId="168" priority="38"/>
    <cfRule type="duplicateValues" dxfId="167" priority="37"/>
    <cfRule type="duplicateValues" dxfId="166" priority="36"/>
  </conditionalFormatting>
  <conditionalFormatting sqref="A223">
    <cfRule type="duplicateValues" dxfId="165" priority="35"/>
  </conditionalFormatting>
  <conditionalFormatting sqref="A230">
    <cfRule type="duplicateValues" dxfId="164" priority="34"/>
  </conditionalFormatting>
  <conditionalFormatting sqref="A231">
    <cfRule type="duplicateValues" dxfId="163" priority="33"/>
  </conditionalFormatting>
  <conditionalFormatting sqref="A232">
    <cfRule type="duplicateValues" dxfId="162" priority="11"/>
  </conditionalFormatting>
  <conditionalFormatting sqref="A233">
    <cfRule type="duplicateValues" dxfId="161" priority="31"/>
  </conditionalFormatting>
  <conditionalFormatting sqref="A233:A236 A218:A231">
    <cfRule type="duplicateValues" dxfId="160" priority="44"/>
  </conditionalFormatting>
  <conditionalFormatting sqref="A236">
    <cfRule type="duplicateValues" dxfId="159" priority="29"/>
    <cfRule type="duplicateValues" dxfId="158" priority="30"/>
  </conditionalFormatting>
  <conditionalFormatting sqref="A237">
    <cfRule type="duplicateValues" dxfId="157" priority="28"/>
    <cfRule type="duplicateValues" dxfId="156" priority="27"/>
    <cfRule type="duplicateValues" dxfId="155" priority="26"/>
  </conditionalFormatting>
  <conditionalFormatting sqref="A238">
    <cfRule type="duplicateValues" dxfId="154" priority="24"/>
    <cfRule type="duplicateValues" dxfId="153" priority="23"/>
    <cfRule type="duplicateValues" dxfId="152" priority="25"/>
  </conditionalFormatting>
  <conditionalFormatting sqref="A248">
    <cfRule type="duplicateValues" dxfId="151" priority="17"/>
    <cfRule type="duplicateValues" dxfId="150" priority="16"/>
  </conditionalFormatting>
  <conditionalFormatting sqref="A249:A255">
    <cfRule type="duplicateValues" dxfId="149" priority="8"/>
  </conditionalFormatting>
  <conditionalFormatting sqref="A257">
    <cfRule type="duplicateValues" dxfId="148" priority="6"/>
  </conditionalFormatting>
  <conditionalFormatting sqref="A273">
    <cfRule type="duplicateValues" dxfId="147" priority="4"/>
    <cfRule type="duplicateValues" dxfId="146" priority="3"/>
  </conditionalFormatting>
  <conditionalFormatting sqref="A274:A275 A1:A12 A148:A216 A15:A146 A301:A1048576">
    <cfRule type="duplicateValues" dxfId="145" priority="82"/>
  </conditionalFormatting>
  <conditionalFormatting sqref="A276:A280">
    <cfRule type="duplicateValues" dxfId="144" priority="2"/>
    <cfRule type="duplicateValues" dxfId="143" priority="1"/>
  </conditionalFormatting>
  <conditionalFormatting sqref="R1:R1048576">
    <cfRule type="cellIs" dxfId="142" priority="5" operator="lessThan">
      <formula>6</formula>
    </cfRule>
  </conditionalFormatting>
  <hyperlinks>
    <hyperlink ref="A184" r:id="rId1" display="https://sellercentral.amazon.in/skucentral?mSku=TU-PMP-SWF&amp;ref=myi_skuc" xr:uid="{44F073AA-4C04-45B0-84D9-DCE860F6297B}"/>
  </hyperlinks>
  <pageMargins left="0.7" right="0.7" top="0.75" bottom="0.75" header="0.3" footer="0.3"/>
  <pageSetup orientation="portrait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267C-3685-4B9A-9F4C-DFC0342EDA82}">
  <sheetPr>
    <tabColor theme="3" tint="0.59999389629810485"/>
  </sheetPr>
  <dimension ref="A1:A5"/>
  <sheetViews>
    <sheetView workbookViewId="0">
      <selection activeCell="J5" sqref="J5"/>
    </sheetView>
  </sheetViews>
  <sheetFormatPr defaultRowHeight="15"/>
  <sheetData>
    <row r="1" spans="1:1">
      <c r="A1" t="s">
        <v>396</v>
      </c>
    </row>
    <row r="2" spans="1:1">
      <c r="A2" s="1" t="s">
        <v>397</v>
      </c>
    </row>
    <row r="3" spans="1:1">
      <c r="A3" s="1" t="s">
        <v>398</v>
      </c>
    </row>
    <row r="4" spans="1:1">
      <c r="A4" s="1" t="s">
        <v>399</v>
      </c>
    </row>
    <row r="5" spans="1:1">
      <c r="A5" t="s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K263"/>
  <sheetViews>
    <sheetView zoomScaleNormal="100" workbookViewId="0">
      <pane ySplit="3" topLeftCell="A4" activePane="bottomLeft" state="frozen"/>
      <selection pane="bottomLeft" activeCell="J11" sqref="J11"/>
    </sheetView>
  </sheetViews>
  <sheetFormatPr defaultColWidth="9.140625" defaultRowHeight="15"/>
  <cols>
    <col min="2" max="2" width="17" style="1" bestFit="1" customWidth="1"/>
    <col min="3" max="3" width="5.5703125" style="1" bestFit="1" customWidth="1"/>
    <col min="4" max="4" width="5.5703125" style="21" bestFit="1" customWidth="1"/>
    <col min="5" max="5" width="5.5703125" style="1" bestFit="1" customWidth="1"/>
    <col min="6" max="6" width="6.140625" style="19" bestFit="1" customWidth="1"/>
    <col min="7" max="7" width="7.140625" style="19" customWidth="1"/>
    <col min="8" max="8" width="5.5703125" style="19" bestFit="1" customWidth="1"/>
    <col min="9" max="9" width="9.28515625" style="19" bestFit="1" customWidth="1"/>
    <col min="10" max="10" width="9.140625" style="29"/>
    <col min="11" max="11" width="6.5703125" style="37" customWidth="1"/>
    <col min="12" max="12" width="6.28515625" style="37" customWidth="1"/>
    <col min="13" max="13" width="5.7109375" style="37" customWidth="1"/>
    <col min="14" max="14" width="9.7109375" style="37" customWidth="1"/>
    <col min="15" max="15" width="4" customWidth="1"/>
    <col min="16" max="16" width="14" bestFit="1" customWidth="1"/>
    <col min="17" max="17" width="9.140625" style="33"/>
    <col min="19" max="20" width="9.140625" style="47"/>
    <col min="22" max="25" width="9.140625" style="19"/>
    <col min="26" max="26" width="9.140625" style="29"/>
  </cols>
  <sheetData>
    <row r="1" spans="2:37">
      <c r="K1" s="34">
        <v>0.39370100000000002</v>
      </c>
      <c r="L1" s="34">
        <v>0.39370100000000002</v>
      </c>
      <c r="M1" s="34">
        <v>0.39370100000000002</v>
      </c>
      <c r="N1" s="34">
        <v>1E-3</v>
      </c>
    </row>
    <row r="2" spans="2:37" s="1" customFormat="1">
      <c r="B2" s="5"/>
      <c r="C2" s="5"/>
      <c r="D2" s="17"/>
      <c r="E2" s="5"/>
      <c r="F2" s="17" t="s">
        <v>8</v>
      </c>
      <c r="G2" s="17" t="s">
        <v>9</v>
      </c>
      <c r="H2" s="17" t="s">
        <v>10</v>
      </c>
      <c r="I2" s="30" t="s">
        <v>401</v>
      </c>
      <c r="J2" s="26"/>
      <c r="K2" s="35" t="s">
        <v>8</v>
      </c>
      <c r="L2" s="35" t="s">
        <v>9</v>
      </c>
      <c r="M2" s="35" t="s">
        <v>10</v>
      </c>
      <c r="N2" s="35" t="s">
        <v>402</v>
      </c>
      <c r="P2" s="354" t="s">
        <v>403</v>
      </c>
      <c r="Q2" s="354"/>
      <c r="S2" s="48">
        <v>7</v>
      </c>
      <c r="T2" s="48"/>
      <c r="V2" s="17" t="s">
        <v>8</v>
      </c>
      <c r="W2" s="17" t="s">
        <v>9</v>
      </c>
      <c r="X2" s="17" t="s">
        <v>10</v>
      </c>
      <c r="Y2" s="30" t="s">
        <v>404</v>
      </c>
      <c r="Z2" s="26"/>
      <c r="AB2" s="5" t="s">
        <v>8</v>
      </c>
      <c r="AC2" s="5" t="s">
        <v>9</v>
      </c>
      <c r="AD2" s="5" t="s">
        <v>10</v>
      </c>
      <c r="AE2" s="24">
        <v>43435</v>
      </c>
      <c r="AF2" s="16" t="s">
        <v>42</v>
      </c>
      <c r="AG2" s="5" t="s">
        <v>8</v>
      </c>
      <c r="AH2" s="5" t="s">
        <v>9</v>
      </c>
      <c r="AI2" s="5" t="s">
        <v>10</v>
      </c>
      <c r="AJ2" s="16" t="s">
        <v>405</v>
      </c>
      <c r="AK2" s="1" t="s">
        <v>42</v>
      </c>
    </row>
    <row r="3" spans="2:37" s="1" customFormat="1">
      <c r="B3" s="5" t="s">
        <v>406</v>
      </c>
      <c r="C3" s="5" t="s">
        <v>407</v>
      </c>
      <c r="D3" s="21" t="s">
        <v>408</v>
      </c>
      <c r="E3" s="5" t="s">
        <v>409</v>
      </c>
      <c r="F3" s="17" t="s">
        <v>21</v>
      </c>
      <c r="G3" s="17" t="s">
        <v>22</v>
      </c>
      <c r="H3" s="17" t="s">
        <v>23</v>
      </c>
      <c r="I3" s="17" t="s">
        <v>24</v>
      </c>
      <c r="J3" s="27" t="s">
        <v>410</v>
      </c>
      <c r="K3" s="35" t="s">
        <v>411</v>
      </c>
      <c r="L3" s="35" t="s">
        <v>412</v>
      </c>
      <c r="M3" s="35" t="s">
        <v>413</v>
      </c>
      <c r="N3" s="35" t="s">
        <v>414</v>
      </c>
      <c r="P3" s="17" t="s">
        <v>415</v>
      </c>
      <c r="Q3" s="31" t="s">
        <v>416</v>
      </c>
      <c r="S3" s="48" t="s">
        <v>417</v>
      </c>
      <c r="T3" s="48" t="s">
        <v>418</v>
      </c>
      <c r="V3" s="17" t="s">
        <v>21</v>
      </c>
      <c r="W3" s="17" t="s">
        <v>22</v>
      </c>
      <c r="X3" s="17" t="s">
        <v>23</v>
      </c>
      <c r="Y3" s="17" t="s">
        <v>24</v>
      </c>
      <c r="Z3" s="27" t="s">
        <v>410</v>
      </c>
      <c r="AB3" s="5" t="s">
        <v>21</v>
      </c>
      <c r="AC3" s="5" t="s">
        <v>22</v>
      </c>
      <c r="AD3" s="5" t="s">
        <v>23</v>
      </c>
      <c r="AE3" s="5" t="s">
        <v>24</v>
      </c>
      <c r="AF3" s="5"/>
      <c r="AG3" s="5" t="s">
        <v>21</v>
      </c>
      <c r="AH3" s="5" t="s">
        <v>22</v>
      </c>
      <c r="AI3" s="5" t="s">
        <v>23</v>
      </c>
      <c r="AJ3" s="5" t="s">
        <v>24</v>
      </c>
    </row>
    <row r="4" spans="2:37">
      <c r="B4" s="2" t="s">
        <v>61</v>
      </c>
      <c r="C4" s="2">
        <v>10</v>
      </c>
      <c r="D4" s="17">
        <v>4.68</v>
      </c>
      <c r="E4" s="5" t="e">
        <v>#REF!</v>
      </c>
      <c r="F4" s="14">
        <v>43</v>
      </c>
      <c r="G4" s="14">
        <v>41</v>
      </c>
      <c r="H4" s="14">
        <v>6</v>
      </c>
      <c r="I4" s="14">
        <v>4680</v>
      </c>
      <c r="J4" s="28">
        <v>1.0578000000000001E-2</v>
      </c>
      <c r="K4" s="36">
        <v>16.929143</v>
      </c>
      <c r="L4" s="36">
        <v>16.141741</v>
      </c>
      <c r="M4" s="36">
        <v>2.362206</v>
      </c>
      <c r="N4" s="36">
        <v>4.68</v>
      </c>
      <c r="P4" s="25">
        <v>4672.1494006487801</v>
      </c>
      <c r="Q4" s="32">
        <v>-1.6802971561931978E-3</v>
      </c>
      <c r="S4" s="47">
        <v>2.7424444444444447</v>
      </c>
      <c r="T4" s="47">
        <v>1.937555555555555</v>
      </c>
      <c r="V4" s="14">
        <v>43</v>
      </c>
      <c r="W4" s="14">
        <v>40</v>
      </c>
      <c r="X4" s="14">
        <v>8.5</v>
      </c>
      <c r="Y4" s="14">
        <v>2350</v>
      </c>
      <c r="Z4" s="28">
        <v>1.4619999999999999E-2</v>
      </c>
      <c r="AB4" s="14">
        <v>42</v>
      </c>
      <c r="AC4" s="14">
        <v>38</v>
      </c>
      <c r="AD4" s="14">
        <v>11</v>
      </c>
      <c r="AE4" s="14">
        <v>4680</v>
      </c>
      <c r="AF4" s="7"/>
      <c r="AG4" s="14"/>
      <c r="AH4" s="14"/>
      <c r="AI4" s="14"/>
      <c r="AJ4" s="14"/>
    </row>
    <row r="5" spans="2:37">
      <c r="B5" s="5" t="s">
        <v>62</v>
      </c>
      <c r="C5" s="2">
        <v>1</v>
      </c>
      <c r="D5" s="17">
        <v>8.76</v>
      </c>
      <c r="E5" s="5" t="e">
        <v>#REF!</v>
      </c>
      <c r="F5" s="14">
        <v>60</v>
      </c>
      <c r="G5" s="14">
        <v>46</v>
      </c>
      <c r="H5" s="14">
        <v>7.5</v>
      </c>
      <c r="I5" s="14">
        <v>8760</v>
      </c>
      <c r="J5" s="28">
        <v>2.8072E-2</v>
      </c>
      <c r="K5" s="36">
        <v>22.834658000000001</v>
      </c>
      <c r="L5" s="36">
        <v>17.322844</v>
      </c>
      <c r="M5" s="36">
        <v>4.330711</v>
      </c>
      <c r="N5" s="36">
        <v>9.1</v>
      </c>
      <c r="P5" s="25">
        <v>8813.4698117100979</v>
      </c>
      <c r="Q5" s="32">
        <v>-3.2510486154862767E-2</v>
      </c>
      <c r="S5" s="47">
        <v>5.3666666666666671</v>
      </c>
      <c r="T5" s="47">
        <v>3.3933333333333326</v>
      </c>
      <c r="V5" s="7">
        <v>59</v>
      </c>
      <c r="W5" s="7">
        <v>44.5</v>
      </c>
      <c r="X5" s="7">
        <v>10.5</v>
      </c>
      <c r="Y5" s="7">
        <v>8900</v>
      </c>
      <c r="Z5" s="28">
        <v>2.7567749999999999E-2</v>
      </c>
      <c r="AB5" s="7"/>
      <c r="AC5" s="7"/>
      <c r="AD5" s="7"/>
      <c r="AE5" s="6"/>
      <c r="AF5" s="7"/>
      <c r="AG5" s="7"/>
      <c r="AH5" s="7"/>
      <c r="AI5" s="7"/>
      <c r="AJ5" s="7"/>
    </row>
    <row r="6" spans="2:37">
      <c r="B6" s="5" t="s">
        <v>64</v>
      </c>
      <c r="C6" s="2">
        <v>2</v>
      </c>
      <c r="D6" s="17">
        <v>9.1</v>
      </c>
      <c r="E6" s="5" t="e">
        <v>#REF!</v>
      </c>
      <c r="F6" s="14">
        <v>58</v>
      </c>
      <c r="G6" s="14">
        <v>44</v>
      </c>
      <c r="H6" s="14">
        <v>11</v>
      </c>
      <c r="I6" s="14">
        <v>9100</v>
      </c>
      <c r="J6" s="28">
        <v>2.07E-2</v>
      </c>
      <c r="K6" s="36">
        <v>23.622060000000001</v>
      </c>
      <c r="L6" s="36">
        <v>18.110246</v>
      </c>
      <c r="M6" s="36">
        <v>2.9527575000000001</v>
      </c>
      <c r="N6" s="36">
        <v>8.76</v>
      </c>
      <c r="P6" s="25">
        <v>14057.127069192025</v>
      </c>
      <c r="Q6" s="32">
        <v>0.37682856839228196</v>
      </c>
      <c r="S6" s="47">
        <v>7.2779259259259268</v>
      </c>
      <c r="T6" s="47">
        <v>1.8220740740740728</v>
      </c>
      <c r="V6" s="7">
        <v>65</v>
      </c>
      <c r="W6" s="7">
        <v>57.5</v>
      </c>
      <c r="X6" s="7">
        <v>11.5</v>
      </c>
      <c r="Y6" s="7">
        <v>14500</v>
      </c>
      <c r="Z6" s="28">
        <v>4.2981249999999999E-2</v>
      </c>
      <c r="AB6" s="7"/>
      <c r="AC6" s="7"/>
      <c r="AD6" s="7"/>
      <c r="AE6" s="7"/>
      <c r="AF6" s="7"/>
      <c r="AG6" s="7">
        <v>64</v>
      </c>
      <c r="AH6" s="7">
        <v>58</v>
      </c>
      <c r="AI6" s="7">
        <v>12.5</v>
      </c>
      <c r="AJ6" s="7">
        <v>14365</v>
      </c>
    </row>
    <row r="7" spans="2:37">
      <c r="B7" s="5" t="s">
        <v>65</v>
      </c>
      <c r="C7" s="2">
        <v>83</v>
      </c>
      <c r="D7" s="17">
        <v>7.68</v>
      </c>
      <c r="E7" s="5" t="e">
        <v>#REF!</v>
      </c>
      <c r="F7" s="14">
        <v>46</v>
      </c>
      <c r="G7" s="14">
        <v>48.6</v>
      </c>
      <c r="H7" s="14">
        <v>7.3</v>
      </c>
      <c r="I7" s="14">
        <v>7680</v>
      </c>
      <c r="J7" s="28">
        <v>1.6319879999999998E-2</v>
      </c>
      <c r="K7" s="36">
        <v>18.110246</v>
      </c>
      <c r="L7" s="36">
        <v>19.133868600000003</v>
      </c>
      <c r="M7" s="36">
        <v>2.8740173000000002</v>
      </c>
      <c r="N7" s="36">
        <v>7.68</v>
      </c>
      <c r="P7" s="25">
        <v>8064.5757226067726</v>
      </c>
      <c r="Q7" s="32">
        <v>4.7687037214955104E-2</v>
      </c>
      <c r="S7" s="47">
        <v>4.2310799999999995</v>
      </c>
      <c r="T7" s="47">
        <v>3.4489200000000002</v>
      </c>
      <c r="V7" s="7">
        <v>50</v>
      </c>
      <c r="W7" s="7">
        <v>42.5</v>
      </c>
      <c r="X7" s="7">
        <v>10</v>
      </c>
      <c r="Y7" s="7">
        <v>8000</v>
      </c>
      <c r="Z7" s="28">
        <v>2.1250000000000002E-2</v>
      </c>
      <c r="AB7" s="7">
        <v>48.5</v>
      </c>
      <c r="AC7" s="7">
        <v>45</v>
      </c>
      <c r="AD7" s="7">
        <v>7</v>
      </c>
      <c r="AE7" s="7">
        <v>7785</v>
      </c>
      <c r="AF7" s="7"/>
      <c r="AG7" s="7"/>
      <c r="AH7" s="7"/>
      <c r="AI7" s="7"/>
      <c r="AJ7" s="7"/>
    </row>
    <row r="8" spans="2:37">
      <c r="B8" s="5" t="s">
        <v>419</v>
      </c>
      <c r="C8" s="2">
        <v>1</v>
      </c>
      <c r="D8" s="17">
        <v>0.27</v>
      </c>
      <c r="E8" s="5" t="e">
        <v>#REF!</v>
      </c>
      <c r="F8" s="14">
        <v>14</v>
      </c>
      <c r="G8" s="14">
        <v>14</v>
      </c>
      <c r="H8" s="14">
        <v>9</v>
      </c>
      <c r="I8" s="14">
        <v>270</v>
      </c>
      <c r="J8" s="28">
        <v>1.7639999999999999E-3</v>
      </c>
      <c r="K8" s="36">
        <v>5.5118140000000002</v>
      </c>
      <c r="L8" s="36">
        <v>5.5118140000000002</v>
      </c>
      <c r="M8" s="36">
        <v>3.5433090000000003</v>
      </c>
      <c r="N8" s="36">
        <v>0.27</v>
      </c>
      <c r="P8" s="25">
        <v>245.83520000000001</v>
      </c>
      <c r="Q8" s="32">
        <v>-9.8296745136579239E-2</v>
      </c>
      <c r="S8" s="47">
        <v>0.45733333333333326</v>
      </c>
      <c r="T8" s="47">
        <v>-0.18733333333333324</v>
      </c>
      <c r="V8" s="7">
        <v>13.5</v>
      </c>
      <c r="W8" s="7">
        <v>13</v>
      </c>
      <c r="X8" s="7">
        <v>9</v>
      </c>
      <c r="Y8" s="7">
        <v>280</v>
      </c>
      <c r="Z8" s="28">
        <v>1.5795E-3</v>
      </c>
      <c r="AB8" s="7"/>
      <c r="AC8" s="7"/>
      <c r="AD8" s="7"/>
      <c r="AE8" s="7"/>
      <c r="AF8" s="7"/>
      <c r="AG8" s="7">
        <v>14</v>
      </c>
      <c r="AH8" s="7">
        <v>14</v>
      </c>
      <c r="AI8" s="7">
        <v>9</v>
      </c>
      <c r="AJ8" s="7">
        <v>280</v>
      </c>
    </row>
    <row r="9" spans="2:37">
      <c r="B9" s="5" t="s">
        <v>420</v>
      </c>
      <c r="C9" s="2">
        <v>5</v>
      </c>
      <c r="D9" s="17">
        <v>0.46</v>
      </c>
      <c r="E9" s="5" t="e">
        <v>#REF!</v>
      </c>
      <c r="F9" s="14">
        <v>14</v>
      </c>
      <c r="G9" s="14">
        <v>14</v>
      </c>
      <c r="H9" s="14">
        <v>8.9</v>
      </c>
      <c r="I9" s="14">
        <v>460</v>
      </c>
      <c r="J9" s="28">
        <v>1.7444000000000001E-3</v>
      </c>
      <c r="K9" s="36">
        <v>5.5118140000000002</v>
      </c>
      <c r="L9" s="36">
        <v>5.5118140000000002</v>
      </c>
      <c r="M9" s="36">
        <v>3.5039389000000005</v>
      </c>
      <c r="N9" s="36">
        <v>0.46</v>
      </c>
      <c r="P9" s="25">
        <v>429.61198592000005</v>
      </c>
      <c r="Q9" s="32">
        <v>-7.0733627263506182E-2</v>
      </c>
      <c r="S9" s="47">
        <v>0.45225185185185185</v>
      </c>
      <c r="T9" s="47">
        <v>7.7481481481481707E-3</v>
      </c>
      <c r="V9" s="7">
        <v>13.5</v>
      </c>
      <c r="W9" s="7">
        <v>13</v>
      </c>
      <c r="X9" s="7">
        <v>9</v>
      </c>
      <c r="Y9" s="7">
        <v>400</v>
      </c>
      <c r="Z9" s="28">
        <v>1.5795E-3</v>
      </c>
      <c r="AB9" s="7"/>
      <c r="AC9" s="7"/>
      <c r="AD9" s="7"/>
      <c r="AE9" s="7"/>
      <c r="AF9" s="7"/>
      <c r="AG9" s="7">
        <v>14</v>
      </c>
      <c r="AH9" s="7">
        <v>14</v>
      </c>
      <c r="AI9" s="7">
        <v>9</v>
      </c>
      <c r="AJ9" s="7">
        <v>410</v>
      </c>
    </row>
    <row r="10" spans="2:37">
      <c r="B10" s="5" t="s">
        <v>79</v>
      </c>
      <c r="C10" s="2">
        <v>15</v>
      </c>
      <c r="D10" s="17">
        <v>17.785</v>
      </c>
      <c r="E10" s="5" t="e">
        <v>#REF!</v>
      </c>
      <c r="F10" s="14">
        <v>120</v>
      </c>
      <c r="G10" s="14">
        <v>57.5</v>
      </c>
      <c r="H10" s="14">
        <v>6.5</v>
      </c>
      <c r="I10" s="14">
        <v>17785</v>
      </c>
      <c r="J10" s="28">
        <v>4.4850000000000001E-2</v>
      </c>
      <c r="K10" s="36">
        <v>47.244120000000002</v>
      </c>
      <c r="L10" s="36">
        <v>22.637807500000001</v>
      </c>
      <c r="M10" s="36">
        <v>2.5590565000000001</v>
      </c>
      <c r="N10" s="36">
        <v>17.785</v>
      </c>
      <c r="P10" s="25">
        <v>18973.920355932853</v>
      </c>
      <c r="Q10" s="32">
        <v>6.2660764545746359E-2</v>
      </c>
      <c r="S10" s="47">
        <v>11.627777777777778</v>
      </c>
      <c r="T10" s="47">
        <v>6.1572222222222219</v>
      </c>
      <c r="V10" s="7">
        <v>132</v>
      </c>
      <c r="W10" s="7">
        <v>56.5</v>
      </c>
      <c r="X10" s="7">
        <v>8</v>
      </c>
      <c r="Y10" s="7">
        <v>20300</v>
      </c>
      <c r="Z10" s="28">
        <v>5.9664000000000002E-2</v>
      </c>
      <c r="AB10" s="7"/>
      <c r="AC10" s="7"/>
      <c r="AD10" s="7"/>
      <c r="AE10" s="7"/>
      <c r="AF10" s="7"/>
      <c r="AG10" s="7">
        <v>132.5</v>
      </c>
      <c r="AH10" s="7">
        <v>60</v>
      </c>
      <c r="AI10" s="7">
        <v>9</v>
      </c>
      <c r="AJ10" s="7">
        <v>20410</v>
      </c>
    </row>
    <row r="11" spans="2:37">
      <c r="B11" s="5" t="s">
        <v>85</v>
      </c>
      <c r="C11" s="2">
        <v>204</v>
      </c>
      <c r="D11" s="17">
        <v>13.35</v>
      </c>
      <c r="E11" s="5" t="e">
        <v>#REF!</v>
      </c>
      <c r="F11" s="14">
        <v>99</v>
      </c>
      <c r="G11" s="14">
        <v>50.5</v>
      </c>
      <c r="H11" s="14">
        <v>5.5</v>
      </c>
      <c r="I11" s="14">
        <v>13350</v>
      </c>
      <c r="J11" s="28">
        <v>2.7497250000000001E-2</v>
      </c>
      <c r="K11" s="36">
        <v>38.976399000000001</v>
      </c>
      <c r="L11" s="36">
        <v>19.8819005</v>
      </c>
      <c r="M11" s="36">
        <v>2.1653555</v>
      </c>
      <c r="N11" s="36">
        <v>13.35</v>
      </c>
      <c r="P11" s="25">
        <v>20355.199599351323</v>
      </c>
      <c r="Q11" s="32">
        <v>0.34414791980593323</v>
      </c>
      <c r="S11" s="47">
        <v>7.128916666666667</v>
      </c>
      <c r="T11" s="47">
        <v>6.2210833333333326</v>
      </c>
      <c r="V11" s="7">
        <v>100</v>
      </c>
      <c r="W11" s="7">
        <v>49</v>
      </c>
      <c r="X11" s="7">
        <v>8</v>
      </c>
      <c r="Y11" s="7">
        <v>13400</v>
      </c>
      <c r="Z11" s="28">
        <v>3.9199999999999999E-2</v>
      </c>
      <c r="AB11" s="7">
        <v>99</v>
      </c>
      <c r="AC11" s="7">
        <v>50</v>
      </c>
      <c r="AD11" s="7">
        <v>5</v>
      </c>
      <c r="AE11" s="7">
        <v>13335</v>
      </c>
      <c r="AF11" s="7"/>
      <c r="AG11" s="7">
        <v>100</v>
      </c>
      <c r="AH11" s="7">
        <v>49.5</v>
      </c>
      <c r="AI11" s="7">
        <v>8</v>
      </c>
      <c r="AJ11" s="7">
        <v>14325</v>
      </c>
    </row>
    <row r="12" spans="2:37">
      <c r="B12" s="5" t="s">
        <v>86</v>
      </c>
      <c r="C12" s="2">
        <v>46</v>
      </c>
      <c r="D12" s="17">
        <v>14.725</v>
      </c>
      <c r="E12" s="5" t="e">
        <v>#REF!</v>
      </c>
      <c r="F12" s="14">
        <v>76</v>
      </c>
      <c r="G12" s="14">
        <v>76</v>
      </c>
      <c r="H12" s="14">
        <v>5</v>
      </c>
      <c r="I12" s="14">
        <v>14725</v>
      </c>
      <c r="J12" s="28">
        <v>2.8879999999999999E-2</v>
      </c>
      <c r="K12" s="36">
        <v>29.921276000000002</v>
      </c>
      <c r="L12" s="36">
        <v>29.921276000000002</v>
      </c>
      <c r="M12" s="36">
        <v>1.9685050000000002</v>
      </c>
      <c r="N12" s="36">
        <v>14.725</v>
      </c>
      <c r="P12" s="25">
        <v>21649.338044536413</v>
      </c>
      <c r="Q12" s="32">
        <v>0.31984063578719396</v>
      </c>
      <c r="S12" s="47">
        <v>7.4874074074074084</v>
      </c>
      <c r="T12" s="47">
        <v>7.2375925925925912</v>
      </c>
      <c r="V12" s="7">
        <v>77</v>
      </c>
      <c r="W12" s="7">
        <v>77</v>
      </c>
      <c r="X12" s="7">
        <v>8</v>
      </c>
      <c r="Y12" s="7">
        <v>14990</v>
      </c>
      <c r="Z12" s="28">
        <v>4.7432000000000002E-2</v>
      </c>
      <c r="AB12" s="7">
        <v>76</v>
      </c>
      <c r="AC12" s="7">
        <v>76</v>
      </c>
      <c r="AD12" s="7">
        <v>5</v>
      </c>
      <c r="AE12" s="7">
        <v>14725</v>
      </c>
      <c r="AF12" s="7"/>
      <c r="AG12" s="7">
        <v>78</v>
      </c>
      <c r="AH12" s="7">
        <v>78</v>
      </c>
      <c r="AI12" s="7">
        <v>9</v>
      </c>
      <c r="AJ12" s="7">
        <v>15995</v>
      </c>
    </row>
    <row r="13" spans="2:37">
      <c r="B13" s="5" t="s">
        <v>87</v>
      </c>
      <c r="C13" s="2">
        <v>19</v>
      </c>
      <c r="D13" s="17">
        <v>12.994999999999999</v>
      </c>
      <c r="E13" s="5" t="e">
        <v>#REF!</v>
      </c>
      <c r="F13" s="14">
        <v>103</v>
      </c>
      <c r="G13" s="14">
        <v>48.02</v>
      </c>
      <c r="H13" s="14">
        <v>5.4</v>
      </c>
      <c r="I13" s="14">
        <v>12995</v>
      </c>
      <c r="J13" s="28">
        <v>2.6708724000000007E-2</v>
      </c>
      <c r="K13" s="36">
        <v>40.551203000000001</v>
      </c>
      <c r="L13" s="36">
        <v>18.905522020000003</v>
      </c>
      <c r="M13" s="36">
        <v>2.1259854000000002</v>
      </c>
      <c r="N13" s="36">
        <v>12.995000000000001</v>
      </c>
      <c r="P13" s="25">
        <v>13128.201719169632</v>
      </c>
      <c r="Q13" s="32">
        <v>1.0146227337071826E-2</v>
      </c>
      <c r="S13" s="47">
        <v>6.9244840000000014</v>
      </c>
      <c r="T13" s="47">
        <v>6.0705159999999978</v>
      </c>
      <c r="V13" s="7">
        <v>104.5</v>
      </c>
      <c r="W13" s="7">
        <v>46.5</v>
      </c>
      <c r="X13" s="7">
        <v>8</v>
      </c>
      <c r="Y13" s="7">
        <v>13950</v>
      </c>
      <c r="Z13" s="28">
        <v>3.8873999999999999E-2</v>
      </c>
      <c r="AB13" s="7"/>
      <c r="AC13" s="7"/>
      <c r="AD13" s="7"/>
      <c r="AE13" s="7"/>
      <c r="AF13" s="7"/>
      <c r="AG13" s="7"/>
      <c r="AH13" s="7"/>
      <c r="AI13" s="7"/>
      <c r="AJ13" s="7"/>
    </row>
    <row r="14" spans="2:37">
      <c r="B14" s="5" t="s">
        <v>88</v>
      </c>
      <c r="C14" s="2">
        <v>51</v>
      </c>
      <c r="D14" s="17">
        <v>8.56</v>
      </c>
      <c r="E14" s="5" t="e">
        <v>#REF!</v>
      </c>
      <c r="F14" s="14">
        <v>106</v>
      </c>
      <c r="G14" s="14">
        <v>63</v>
      </c>
      <c r="H14" s="14">
        <v>5</v>
      </c>
      <c r="I14" s="14">
        <v>8560</v>
      </c>
      <c r="J14" s="28">
        <v>3.3390000000000003E-2</v>
      </c>
      <c r="K14" s="36">
        <v>41.732306000000001</v>
      </c>
      <c r="L14" s="36">
        <v>24.803163000000001</v>
      </c>
      <c r="M14" s="36">
        <v>1.9685050000000002</v>
      </c>
      <c r="N14" s="36">
        <v>8.56</v>
      </c>
      <c r="P14" s="25">
        <v>10758.86038008904</v>
      </c>
      <c r="Q14" s="32">
        <v>0.20437669998565797</v>
      </c>
      <c r="S14" s="47">
        <v>8.6566666666666663</v>
      </c>
      <c r="T14" s="47">
        <v>-9.666666666666579E-2</v>
      </c>
      <c r="V14" s="7">
        <v>106</v>
      </c>
      <c r="W14" s="7">
        <v>63</v>
      </c>
      <c r="X14" s="7">
        <v>6.5</v>
      </c>
      <c r="Y14" s="7">
        <v>10100</v>
      </c>
      <c r="Z14" s="28">
        <v>4.3407000000000001E-2</v>
      </c>
      <c r="AB14" s="7">
        <v>106</v>
      </c>
      <c r="AC14" s="7">
        <v>58</v>
      </c>
      <c r="AD14" s="7">
        <v>5.5</v>
      </c>
      <c r="AE14" s="7">
        <v>8900</v>
      </c>
      <c r="AF14" s="6"/>
      <c r="AG14" s="6"/>
      <c r="AH14" s="6"/>
      <c r="AI14" s="6"/>
      <c r="AJ14" s="6"/>
    </row>
    <row r="15" spans="2:37">
      <c r="B15" s="5" t="s">
        <v>89</v>
      </c>
      <c r="C15" s="2">
        <v>137</v>
      </c>
      <c r="D15" s="17">
        <v>9.9700000000000006</v>
      </c>
      <c r="E15" s="5" t="e">
        <v>#REF!</v>
      </c>
      <c r="F15" s="14">
        <v>105</v>
      </c>
      <c r="G15" s="14">
        <v>60</v>
      </c>
      <c r="H15" s="14">
        <v>4</v>
      </c>
      <c r="I15" s="14">
        <v>9970</v>
      </c>
      <c r="J15" s="28">
        <v>2.52E-2</v>
      </c>
      <c r="K15" s="36">
        <v>41.338605000000001</v>
      </c>
      <c r="L15" s="36">
        <v>23.622060000000001</v>
      </c>
      <c r="M15" s="36">
        <v>1.5748040000000001</v>
      </c>
      <c r="N15" s="36">
        <v>9.9700000000000006</v>
      </c>
      <c r="P15" s="25">
        <v>9960.2864138324931</v>
      </c>
      <c r="Q15" s="32">
        <v>-9.7523161121321384E-4</v>
      </c>
      <c r="S15" s="47">
        <v>6.5333333333333332</v>
      </c>
      <c r="T15" s="47">
        <v>3.4366666666666674</v>
      </c>
      <c r="V15" s="7">
        <v>106</v>
      </c>
      <c r="W15" s="7">
        <v>58</v>
      </c>
      <c r="X15" s="7">
        <v>6.5</v>
      </c>
      <c r="Y15" s="7">
        <v>9800</v>
      </c>
      <c r="Z15" s="28">
        <v>3.9961999999999998E-2</v>
      </c>
      <c r="AB15" s="7">
        <v>127</v>
      </c>
      <c r="AC15" s="7">
        <v>64</v>
      </c>
      <c r="AD15" s="7">
        <v>10</v>
      </c>
      <c r="AE15" s="7">
        <v>29710</v>
      </c>
      <c r="AF15" s="6"/>
      <c r="AG15" s="6"/>
      <c r="AH15" s="6"/>
      <c r="AI15" s="6"/>
      <c r="AJ15" s="6"/>
    </row>
    <row r="16" spans="2:37">
      <c r="B16" s="5" t="s">
        <v>91</v>
      </c>
      <c r="C16" s="2">
        <v>80</v>
      </c>
      <c r="D16" s="17">
        <v>17.22</v>
      </c>
      <c r="E16" s="5" t="e">
        <v>#REF!</v>
      </c>
      <c r="F16" s="14">
        <v>80</v>
      </c>
      <c r="G16" s="14">
        <v>80</v>
      </c>
      <c r="H16" s="14">
        <v>12</v>
      </c>
      <c r="I16" s="14">
        <v>17220</v>
      </c>
      <c r="J16" s="28">
        <v>7.6799999999999993E-2</v>
      </c>
      <c r="K16" s="36">
        <v>31.496080000000003</v>
      </c>
      <c r="L16" s="36">
        <v>31.496080000000003</v>
      </c>
      <c r="M16" s="36">
        <v>4.7244120000000001</v>
      </c>
      <c r="N16" s="36">
        <v>17.22</v>
      </c>
      <c r="P16" s="25">
        <v>17241.887526996583</v>
      </c>
      <c r="Q16" s="32">
        <v>1.269439147095257E-3</v>
      </c>
      <c r="S16" s="47">
        <v>19.911111111111111</v>
      </c>
      <c r="T16" s="47">
        <v>-2.6911111111111126</v>
      </c>
      <c r="V16" s="7">
        <v>89</v>
      </c>
      <c r="W16" s="7">
        <v>82</v>
      </c>
      <c r="X16" s="7">
        <v>9</v>
      </c>
      <c r="Y16" s="7">
        <v>19000</v>
      </c>
      <c r="Z16" s="28">
        <v>6.5682000000000004E-2</v>
      </c>
      <c r="AB16" s="7"/>
      <c r="AC16" s="7"/>
      <c r="AD16" s="7"/>
      <c r="AE16" s="7"/>
      <c r="AF16" s="7"/>
      <c r="AG16" s="7">
        <v>90</v>
      </c>
      <c r="AH16" s="7">
        <v>83</v>
      </c>
      <c r="AI16" s="7">
        <v>9</v>
      </c>
      <c r="AJ16" s="7">
        <v>18220</v>
      </c>
    </row>
    <row r="17" spans="2:36">
      <c r="B17" s="5" t="s">
        <v>96</v>
      </c>
      <c r="C17" s="2">
        <v>60</v>
      </c>
      <c r="D17" s="17">
        <v>19.085000000000001</v>
      </c>
      <c r="E17" s="5" t="e">
        <v>#REF!</v>
      </c>
      <c r="F17" s="14">
        <v>107</v>
      </c>
      <c r="G17" s="14">
        <v>49</v>
      </c>
      <c r="H17" s="14">
        <v>8.3000000000000007</v>
      </c>
      <c r="I17" s="14">
        <v>19085</v>
      </c>
      <c r="J17" s="28">
        <v>4.3516900000000004E-2</v>
      </c>
      <c r="K17" s="36">
        <v>42.126007000000001</v>
      </c>
      <c r="L17" s="36">
        <v>19.291349</v>
      </c>
      <c r="M17" s="36">
        <v>3.2677183000000003</v>
      </c>
      <c r="N17" s="36">
        <v>19.085000000000001</v>
      </c>
      <c r="P17" s="25">
        <v>20027.406993897621</v>
      </c>
      <c r="Q17" s="32">
        <v>4.7055866702303176E-2</v>
      </c>
      <c r="S17" s="47">
        <v>11.282159259259259</v>
      </c>
      <c r="T17" s="47">
        <v>7.8028407407407414</v>
      </c>
      <c r="V17" s="7">
        <v>106.5</v>
      </c>
      <c r="W17" s="7">
        <v>48</v>
      </c>
      <c r="X17" s="7">
        <v>11.5</v>
      </c>
      <c r="Y17" s="7">
        <v>21940</v>
      </c>
      <c r="Z17" s="28">
        <v>5.8788E-2</v>
      </c>
      <c r="AB17" s="7">
        <v>106</v>
      </c>
      <c r="AC17" s="7">
        <v>49.5</v>
      </c>
      <c r="AD17" s="7">
        <v>8</v>
      </c>
      <c r="AE17" s="7">
        <v>19370</v>
      </c>
      <c r="AF17" s="7"/>
      <c r="AG17" s="7"/>
      <c r="AH17" s="7"/>
      <c r="AI17" s="7"/>
      <c r="AJ17" s="7"/>
    </row>
    <row r="18" spans="2:36">
      <c r="B18" s="39" t="s">
        <v>101</v>
      </c>
      <c r="C18" s="2">
        <v>8</v>
      </c>
      <c r="D18" s="17">
        <v>10.79</v>
      </c>
      <c r="E18" s="5" t="e">
        <v>#REF!</v>
      </c>
      <c r="F18" s="14">
        <v>85</v>
      </c>
      <c r="G18" s="14">
        <v>85</v>
      </c>
      <c r="H18" s="14">
        <v>4.5</v>
      </c>
      <c r="I18" s="14">
        <v>10790</v>
      </c>
      <c r="J18" s="28">
        <v>3.25125E-2</v>
      </c>
      <c r="K18" s="36">
        <v>33.464585</v>
      </c>
      <c r="L18" s="36">
        <v>33.464585</v>
      </c>
      <c r="M18" s="36">
        <v>1.7716545000000001</v>
      </c>
      <c r="N18" s="36">
        <v>10.790000000000001</v>
      </c>
      <c r="P18" s="25">
        <v>10689.305154032916</v>
      </c>
      <c r="Q18" s="32">
        <v>-9.4201488792836283E-3</v>
      </c>
      <c r="S18" s="47">
        <v>8.4291666666666671</v>
      </c>
      <c r="T18" s="47">
        <v>2.360833333333332</v>
      </c>
      <c r="V18" s="14">
        <v>87</v>
      </c>
      <c r="W18" s="14">
        <v>87</v>
      </c>
      <c r="X18" s="14">
        <v>5</v>
      </c>
      <c r="Y18" s="14">
        <v>10000</v>
      </c>
      <c r="Z18" s="28">
        <v>3.7844999999999997E-2</v>
      </c>
      <c r="AB18" s="14"/>
      <c r="AC18" s="14"/>
      <c r="AD18" s="14"/>
      <c r="AE18" s="14"/>
      <c r="AF18" s="14"/>
      <c r="AG18" s="14"/>
      <c r="AH18" s="14"/>
      <c r="AI18" s="14"/>
      <c r="AJ18" s="14"/>
    </row>
    <row r="19" spans="2:36">
      <c r="B19" s="2" t="s">
        <v>102</v>
      </c>
      <c r="C19" s="2">
        <v>7</v>
      </c>
      <c r="D19" s="17">
        <v>18</v>
      </c>
      <c r="E19" s="5" t="e">
        <v>#REF!</v>
      </c>
      <c r="F19" s="14">
        <v>158.5</v>
      </c>
      <c r="G19" s="14">
        <v>84</v>
      </c>
      <c r="H19" s="14">
        <v>4.5</v>
      </c>
      <c r="I19" s="14">
        <v>18000</v>
      </c>
      <c r="J19" s="28">
        <v>5.9913000000000001E-2</v>
      </c>
      <c r="K19" s="36">
        <v>62.401608500000002</v>
      </c>
      <c r="L19" s="36">
        <v>33.070884</v>
      </c>
      <c r="M19" s="36">
        <v>1.7716545000000001</v>
      </c>
      <c r="N19" s="36">
        <v>18</v>
      </c>
      <c r="P19" s="25">
        <v>14397.451499999997</v>
      </c>
      <c r="Q19" s="32">
        <v>-0.2502212631172957</v>
      </c>
      <c r="S19" s="47">
        <v>15.532999999999999</v>
      </c>
      <c r="T19" s="47">
        <v>2.4670000000000005</v>
      </c>
      <c r="V19" s="14">
        <v>158</v>
      </c>
      <c r="W19" s="14">
        <v>80</v>
      </c>
      <c r="X19" s="14">
        <v>5</v>
      </c>
      <c r="Y19" s="14">
        <v>16500</v>
      </c>
      <c r="Z19" s="28">
        <v>6.3200000000000006E-2</v>
      </c>
      <c r="AB19" s="14"/>
      <c r="AC19" s="14"/>
      <c r="AD19" s="14"/>
      <c r="AE19" s="14"/>
      <c r="AF19" s="14"/>
      <c r="AG19" s="14"/>
      <c r="AH19" s="14"/>
      <c r="AI19" s="14"/>
      <c r="AJ19" s="14"/>
    </row>
    <row r="20" spans="2:36">
      <c r="B20" s="3" t="s">
        <v>103</v>
      </c>
      <c r="C20" s="2">
        <v>16</v>
      </c>
      <c r="D20" s="17">
        <v>5.94</v>
      </c>
      <c r="E20" s="5" t="e">
        <v>#REF!</v>
      </c>
      <c r="F20" s="14">
        <v>107</v>
      </c>
      <c r="G20" s="14">
        <v>41</v>
      </c>
      <c r="H20" s="14">
        <v>6.5</v>
      </c>
      <c r="I20" s="14">
        <v>5940</v>
      </c>
      <c r="J20" s="28">
        <v>2.8515499999999999E-2</v>
      </c>
      <c r="K20" s="36">
        <v>42.126007000000001</v>
      </c>
      <c r="L20" s="36">
        <v>16.141741</v>
      </c>
      <c r="M20" s="36">
        <v>2.5590565000000001</v>
      </c>
      <c r="N20" s="36">
        <v>5.94</v>
      </c>
      <c r="P20" s="25">
        <v>5685.1456513415069</v>
      </c>
      <c r="Q20" s="32">
        <v>-4.4828112468561977E-2</v>
      </c>
      <c r="S20" s="47">
        <v>7.3929074074074075</v>
      </c>
      <c r="T20" s="47">
        <v>-1.4529074074074071</v>
      </c>
      <c r="V20" s="14">
        <v>117</v>
      </c>
      <c r="W20" s="14">
        <v>42</v>
      </c>
      <c r="X20" s="14">
        <v>6</v>
      </c>
      <c r="Y20" s="14">
        <v>5300</v>
      </c>
      <c r="Z20" s="28">
        <v>2.9484E-2</v>
      </c>
      <c r="AB20" s="14"/>
      <c r="AC20" s="14"/>
      <c r="AD20" s="14"/>
      <c r="AE20" s="14"/>
      <c r="AF20" s="14"/>
      <c r="AG20" s="14"/>
      <c r="AH20" s="14"/>
      <c r="AI20" s="14"/>
      <c r="AJ20" s="14"/>
    </row>
    <row r="21" spans="2:36">
      <c r="B21" s="3" t="s">
        <v>105</v>
      </c>
      <c r="C21" s="2">
        <v>29</v>
      </c>
      <c r="D21" s="17">
        <v>3.18</v>
      </c>
      <c r="E21" s="5" t="e">
        <v>#REF!</v>
      </c>
      <c r="F21" s="14">
        <v>85</v>
      </c>
      <c r="G21" s="14">
        <v>34</v>
      </c>
      <c r="H21" s="14">
        <v>4.5</v>
      </c>
      <c r="I21" s="14">
        <v>3180</v>
      </c>
      <c r="J21" s="28">
        <v>1.3004999999999999E-2</v>
      </c>
      <c r="K21" s="36">
        <v>33.464585</v>
      </c>
      <c r="L21" s="36">
        <v>13.385834000000001</v>
      </c>
      <c r="M21" s="36">
        <v>1.7716545000000001</v>
      </c>
      <c r="N21" s="36">
        <v>3.18</v>
      </c>
      <c r="P21" s="25">
        <v>3124.0480160000002</v>
      </c>
      <c r="Q21" s="32">
        <v>-1.7910090918397653E-2</v>
      </c>
      <c r="S21" s="47">
        <v>3.371666666666667</v>
      </c>
      <c r="T21" s="47">
        <v>-0.19166666666666687</v>
      </c>
      <c r="V21" s="14">
        <v>84</v>
      </c>
      <c r="W21" s="14">
        <v>34</v>
      </c>
      <c r="X21" s="14">
        <v>6</v>
      </c>
      <c r="Y21" s="14">
        <v>3610</v>
      </c>
      <c r="Z21" s="28">
        <v>1.7135999999999998E-2</v>
      </c>
      <c r="AB21" s="14">
        <v>83</v>
      </c>
      <c r="AC21" s="14">
        <v>37</v>
      </c>
      <c r="AD21" s="14">
        <v>10</v>
      </c>
      <c r="AE21" s="14">
        <v>3120</v>
      </c>
      <c r="AF21" s="14"/>
      <c r="AG21" s="14"/>
      <c r="AH21" s="14"/>
      <c r="AI21" s="14"/>
      <c r="AJ21" s="14"/>
    </row>
    <row r="22" spans="2:36">
      <c r="B22" s="3" t="s">
        <v>106</v>
      </c>
      <c r="C22" s="2">
        <v>87</v>
      </c>
      <c r="D22" s="17">
        <v>1.425</v>
      </c>
      <c r="E22" s="5" t="e">
        <v>#REF!</v>
      </c>
      <c r="F22" s="14">
        <v>30</v>
      </c>
      <c r="G22" s="14">
        <v>25</v>
      </c>
      <c r="H22" s="14">
        <v>4</v>
      </c>
      <c r="I22" s="14">
        <v>1425</v>
      </c>
      <c r="J22" s="28">
        <v>3.0000000000000001E-3</v>
      </c>
      <c r="K22" s="36">
        <v>11.811030000000001</v>
      </c>
      <c r="L22" s="36">
        <v>9.8425250000000002</v>
      </c>
      <c r="M22" s="36">
        <v>1.5748040000000001</v>
      </c>
      <c r="N22" s="36">
        <v>1.425</v>
      </c>
      <c r="P22" s="25">
        <v>1358.1118625961267</v>
      </c>
      <c r="Q22" s="32">
        <v>-4.9250830690788547E-2</v>
      </c>
      <c r="S22" s="47">
        <v>0.77777777777777768</v>
      </c>
      <c r="T22" s="47">
        <v>0.64722222222222237</v>
      </c>
      <c r="V22" s="14">
        <v>31</v>
      </c>
      <c r="W22" s="14">
        <v>27</v>
      </c>
      <c r="X22" s="14">
        <v>6</v>
      </c>
      <c r="Y22" s="14">
        <v>1170</v>
      </c>
      <c r="Z22" s="28">
        <v>5.0220000000000004E-3</v>
      </c>
      <c r="AB22" s="14">
        <v>30</v>
      </c>
      <c r="AC22" s="14">
        <v>26.5</v>
      </c>
      <c r="AD22" s="14">
        <v>6</v>
      </c>
      <c r="AE22" s="14">
        <v>1225</v>
      </c>
      <c r="AF22" s="14"/>
      <c r="AG22" s="14"/>
      <c r="AH22" s="14"/>
      <c r="AI22" s="14"/>
      <c r="AJ22" s="14"/>
    </row>
    <row r="23" spans="2:36">
      <c r="B23" s="5" t="s">
        <v>385</v>
      </c>
      <c r="C23" s="2">
        <v>9</v>
      </c>
      <c r="D23" s="17">
        <v>0.57999999999999996</v>
      </c>
      <c r="E23" s="5" t="e">
        <v>#REF!</v>
      </c>
      <c r="F23" s="14">
        <v>25</v>
      </c>
      <c r="G23" s="14">
        <v>20</v>
      </c>
      <c r="H23" s="14">
        <v>6</v>
      </c>
      <c r="I23" s="14">
        <v>580</v>
      </c>
      <c r="J23" s="28">
        <v>3.0000000000000001E-3</v>
      </c>
      <c r="K23" s="36">
        <v>9.8425250000000002</v>
      </c>
      <c r="L23" s="36">
        <v>7.8740200000000007</v>
      </c>
      <c r="M23" s="36">
        <v>2.362206</v>
      </c>
      <c r="N23" s="36">
        <v>0.57999999999999996</v>
      </c>
      <c r="P23" s="25">
        <v>395.25271200000003</v>
      </c>
      <c r="Q23" s="32">
        <v>-0.46741561130641895</v>
      </c>
      <c r="S23" s="47">
        <v>0.77777777777777768</v>
      </c>
      <c r="T23" s="47">
        <v>-0.19777777777777772</v>
      </c>
      <c r="V23" s="7">
        <v>28</v>
      </c>
      <c r="W23" s="7">
        <v>20</v>
      </c>
      <c r="X23" s="7">
        <v>7.5</v>
      </c>
      <c r="Y23" s="7">
        <v>475</v>
      </c>
      <c r="Z23" s="28">
        <v>4.1999999999999997E-3</v>
      </c>
      <c r="AB23" s="7">
        <v>25</v>
      </c>
      <c r="AC23" s="7">
        <v>20</v>
      </c>
      <c r="AD23" s="7">
        <v>7</v>
      </c>
      <c r="AE23" s="7">
        <v>425</v>
      </c>
      <c r="AF23" s="7"/>
      <c r="AG23" s="7">
        <v>28</v>
      </c>
      <c r="AH23" s="7">
        <v>20</v>
      </c>
      <c r="AI23" s="7">
        <v>7.5</v>
      </c>
      <c r="AJ23" s="7">
        <v>490</v>
      </c>
    </row>
    <row r="24" spans="2:36">
      <c r="B24" s="8" t="s">
        <v>421</v>
      </c>
      <c r="C24" s="2">
        <v>27</v>
      </c>
      <c r="D24" s="17" t="e">
        <v>#N/A</v>
      </c>
      <c r="E24" s="5" t="e">
        <v>#REF!</v>
      </c>
      <c r="F24" s="14" t="e">
        <v>#N/A</v>
      </c>
      <c r="G24" s="14" t="e">
        <v>#N/A</v>
      </c>
      <c r="H24" s="14" t="e">
        <v>#N/A</v>
      </c>
      <c r="I24" s="14" t="e">
        <v>#N/A</v>
      </c>
      <c r="J24" s="28" t="e">
        <v>#N/A</v>
      </c>
      <c r="K24" s="36" t="e">
        <v>#N/A</v>
      </c>
      <c r="L24" s="36" t="e">
        <v>#N/A</v>
      </c>
      <c r="M24" s="36" t="e">
        <v>#N/A</v>
      </c>
      <c r="N24" s="36" t="e">
        <v>#N/A</v>
      </c>
      <c r="P24" s="25">
        <v>375.93308279999991</v>
      </c>
      <c r="Q24" s="32" t="e">
        <v>#N/A</v>
      </c>
      <c r="S24" s="47" t="e">
        <v>#N/A</v>
      </c>
      <c r="T24" s="47" t="e">
        <v>#N/A</v>
      </c>
      <c r="V24" s="9">
        <v>24</v>
      </c>
      <c r="W24" s="9">
        <v>16</v>
      </c>
      <c r="X24" s="9">
        <v>5.5</v>
      </c>
      <c r="Y24" s="9">
        <v>350</v>
      </c>
      <c r="Z24" s="28">
        <v>2.1120000000000002E-3</v>
      </c>
      <c r="AB24" s="9">
        <v>28</v>
      </c>
      <c r="AC24" s="9">
        <v>18.5</v>
      </c>
      <c r="AD24" s="9">
        <v>6</v>
      </c>
      <c r="AE24" s="9">
        <v>520</v>
      </c>
      <c r="AF24" s="9"/>
      <c r="AG24" s="9">
        <v>28</v>
      </c>
      <c r="AH24" s="9">
        <v>19</v>
      </c>
      <c r="AI24" s="9">
        <v>6</v>
      </c>
      <c r="AJ24" s="9">
        <v>490</v>
      </c>
    </row>
    <row r="25" spans="2:36">
      <c r="B25" s="8" t="s">
        <v>422</v>
      </c>
      <c r="C25" s="2">
        <v>4</v>
      </c>
      <c r="D25" s="17">
        <v>0.32</v>
      </c>
      <c r="E25" s="5" t="e">
        <v>#REF!</v>
      </c>
      <c r="F25" s="14">
        <v>37</v>
      </c>
      <c r="G25" s="14">
        <v>10</v>
      </c>
      <c r="H25" s="14">
        <v>6</v>
      </c>
      <c r="I25" s="14">
        <v>320</v>
      </c>
      <c r="J25" s="28">
        <v>2.2200000000000002E-3</v>
      </c>
      <c r="K25" s="36">
        <v>14.566937000000001</v>
      </c>
      <c r="L25" s="36">
        <v>3.9370100000000003</v>
      </c>
      <c r="M25" s="36">
        <v>2.362206</v>
      </c>
      <c r="N25" s="36">
        <v>0.32</v>
      </c>
      <c r="P25" s="25">
        <v>230.26220479999998</v>
      </c>
      <c r="Q25" s="32">
        <v>-0.38972003797993698</v>
      </c>
      <c r="S25" s="47">
        <v>0.5755555555555556</v>
      </c>
      <c r="T25" s="47">
        <v>-0.25555555555555559</v>
      </c>
      <c r="V25" s="9">
        <v>24</v>
      </c>
      <c r="W25" s="9">
        <v>11</v>
      </c>
      <c r="X25" s="9">
        <v>5.5</v>
      </c>
      <c r="Y25" s="9">
        <v>210</v>
      </c>
      <c r="Z25" s="28">
        <v>1.4519999999999999E-3</v>
      </c>
      <c r="AB25" s="9">
        <v>37</v>
      </c>
      <c r="AC25" s="9">
        <v>10</v>
      </c>
      <c r="AD25" s="9">
        <v>6</v>
      </c>
      <c r="AE25" s="9">
        <v>320</v>
      </c>
      <c r="AF25" s="9"/>
      <c r="AG25" s="9">
        <v>37</v>
      </c>
      <c r="AH25" s="9">
        <v>10</v>
      </c>
      <c r="AI25" s="9">
        <v>6</v>
      </c>
      <c r="AJ25" s="9">
        <v>325</v>
      </c>
    </row>
    <row r="26" spans="2:36">
      <c r="B26" s="3" t="s">
        <v>110</v>
      </c>
      <c r="C26" s="2">
        <v>59</v>
      </c>
      <c r="D26" s="17">
        <v>0.9</v>
      </c>
      <c r="E26" s="5" t="e">
        <v>#REF!</v>
      </c>
      <c r="F26" s="14">
        <v>34</v>
      </c>
      <c r="G26" s="14">
        <v>32</v>
      </c>
      <c r="H26" s="14">
        <v>6.5</v>
      </c>
      <c r="I26" s="14">
        <v>900</v>
      </c>
      <c r="J26" s="28">
        <v>7.0720000000000002E-3</v>
      </c>
      <c r="K26" s="36">
        <v>13.385834000000001</v>
      </c>
      <c r="L26" s="36">
        <v>12.598432000000001</v>
      </c>
      <c r="M26" s="36">
        <v>2.5590565000000001</v>
      </c>
      <c r="N26" s="36">
        <v>0.9</v>
      </c>
      <c r="P26" s="25">
        <v>597.40916799999991</v>
      </c>
      <c r="Q26" s="32">
        <v>-0.50650516966957582</v>
      </c>
      <c r="S26" s="47">
        <v>1.8334814814814817</v>
      </c>
      <c r="T26" s="47">
        <v>-0.93348148148148169</v>
      </c>
      <c r="V26" s="14">
        <v>34</v>
      </c>
      <c r="W26" s="14">
        <v>23</v>
      </c>
      <c r="X26" s="14">
        <v>8</v>
      </c>
      <c r="Y26" s="14">
        <v>865</v>
      </c>
      <c r="Z26" s="28">
        <v>6.2560000000000003E-3</v>
      </c>
      <c r="AB26" s="14">
        <v>34</v>
      </c>
      <c r="AC26" s="14">
        <v>33</v>
      </c>
      <c r="AD26" s="14">
        <v>6.5</v>
      </c>
      <c r="AE26" s="14">
        <v>910</v>
      </c>
      <c r="AF26" s="14"/>
      <c r="AG26" s="14">
        <v>34</v>
      </c>
      <c r="AH26" s="14">
        <v>24</v>
      </c>
      <c r="AI26" s="14">
        <v>8</v>
      </c>
      <c r="AJ26" s="14">
        <v>620</v>
      </c>
    </row>
    <row r="27" spans="2:36">
      <c r="B27" s="5" t="s">
        <v>423</v>
      </c>
      <c r="C27" s="2">
        <v>1</v>
      </c>
      <c r="D27" s="17">
        <v>0.755</v>
      </c>
      <c r="E27" s="5" t="e">
        <v>#REF!</v>
      </c>
      <c r="F27" s="14">
        <v>28</v>
      </c>
      <c r="G27" s="14">
        <v>19</v>
      </c>
      <c r="H27" s="14">
        <v>6</v>
      </c>
      <c r="I27" s="14">
        <v>755</v>
      </c>
      <c r="J27" s="28">
        <v>3.192E-3</v>
      </c>
      <c r="K27" s="36">
        <v>11.023628</v>
      </c>
      <c r="L27" s="36">
        <v>7.4803190000000006</v>
      </c>
      <c r="M27" s="36">
        <v>2.362206</v>
      </c>
      <c r="N27" s="36">
        <v>0.755</v>
      </c>
      <c r="P27" s="25">
        <v>490.67320960000001</v>
      </c>
      <c r="Q27" s="32">
        <v>-0.53870230782618211</v>
      </c>
      <c r="S27" s="47">
        <v>0.8275555555555556</v>
      </c>
      <c r="T27" s="47">
        <v>-7.2555555555555595E-2</v>
      </c>
      <c r="V27" s="7">
        <v>28</v>
      </c>
      <c r="W27" s="7">
        <v>20</v>
      </c>
      <c r="X27" s="7">
        <v>8</v>
      </c>
      <c r="Y27" s="7">
        <v>585</v>
      </c>
      <c r="Z27" s="28">
        <v>4.4799999999999996E-3</v>
      </c>
      <c r="AB27" s="7">
        <v>28</v>
      </c>
      <c r="AC27" s="7">
        <v>20</v>
      </c>
      <c r="AD27" s="7">
        <v>8</v>
      </c>
      <c r="AE27" s="7">
        <v>580</v>
      </c>
      <c r="AF27" s="7"/>
      <c r="AG27" s="7">
        <v>25</v>
      </c>
      <c r="AH27" s="7">
        <v>20</v>
      </c>
      <c r="AI27" s="7">
        <v>8</v>
      </c>
      <c r="AJ27" s="7">
        <v>580</v>
      </c>
    </row>
    <row r="28" spans="2:36">
      <c r="B28" s="5" t="s">
        <v>424</v>
      </c>
      <c r="C28" s="2">
        <v>8</v>
      </c>
      <c r="D28" s="17">
        <v>1.7250000000000001</v>
      </c>
      <c r="E28" s="5" t="e">
        <v>#REF!</v>
      </c>
      <c r="F28" s="14">
        <v>33.5</v>
      </c>
      <c r="G28" s="14">
        <v>32.5</v>
      </c>
      <c r="H28" s="14">
        <v>6</v>
      </c>
      <c r="I28" s="14">
        <v>1725</v>
      </c>
      <c r="J28" s="28">
        <v>6.5325000000000001E-3</v>
      </c>
      <c r="K28" s="36">
        <v>13.188983500000001</v>
      </c>
      <c r="L28" s="36">
        <v>12.795282500000001</v>
      </c>
      <c r="M28" s="36">
        <v>2.362206</v>
      </c>
      <c r="N28" s="36">
        <v>1.7250000000000001</v>
      </c>
      <c r="P28" s="25">
        <v>993.55902399999991</v>
      </c>
      <c r="Q28" s="32">
        <v>-0.73618271117428868</v>
      </c>
      <c r="S28" s="47">
        <v>1.693611111111111</v>
      </c>
      <c r="T28" s="47">
        <v>3.1388888888889133E-2</v>
      </c>
      <c r="V28" s="7">
        <v>35</v>
      </c>
      <c r="W28" s="7">
        <v>32</v>
      </c>
      <c r="X28" s="7">
        <v>6.5</v>
      </c>
      <c r="Y28" s="7">
        <v>1600</v>
      </c>
      <c r="Z28" s="28">
        <v>7.28E-3</v>
      </c>
      <c r="AB28" s="7">
        <v>33.5</v>
      </c>
      <c r="AC28" s="7">
        <v>32.5</v>
      </c>
      <c r="AD28" s="7">
        <v>6</v>
      </c>
      <c r="AE28" s="7">
        <v>1725</v>
      </c>
      <c r="AF28" s="7"/>
      <c r="AG28" s="7">
        <v>34</v>
      </c>
      <c r="AH28" s="7">
        <v>33</v>
      </c>
      <c r="AI28" s="7">
        <v>7</v>
      </c>
      <c r="AJ28" s="7">
        <v>1620</v>
      </c>
    </row>
    <row r="29" spans="2:36">
      <c r="B29" s="5" t="s">
        <v>111</v>
      </c>
      <c r="C29" s="2">
        <v>78</v>
      </c>
      <c r="D29" s="17">
        <v>0.8</v>
      </c>
      <c r="E29" s="5" t="e">
        <v>#REF!</v>
      </c>
      <c r="F29" s="14">
        <v>28</v>
      </c>
      <c r="G29" s="14">
        <v>19.5</v>
      </c>
      <c r="H29" s="14">
        <v>5.8</v>
      </c>
      <c r="I29" s="14">
        <v>800</v>
      </c>
      <c r="J29" s="28">
        <v>3.1667999999999996E-3</v>
      </c>
      <c r="K29" s="36">
        <v>11.023628</v>
      </c>
      <c r="L29" s="36">
        <v>7.6771695000000006</v>
      </c>
      <c r="M29" s="36">
        <v>2.2834658000000001</v>
      </c>
      <c r="N29" s="36">
        <v>0.8</v>
      </c>
      <c r="P29" s="25">
        <v>640.95739000000003</v>
      </c>
      <c r="Q29" s="32">
        <v>-0.24813289070588601</v>
      </c>
      <c r="S29" s="47">
        <v>0.8210222222222221</v>
      </c>
      <c r="T29" s="47">
        <v>-2.1022222222222053E-2</v>
      </c>
      <c r="V29" s="7">
        <v>28</v>
      </c>
      <c r="W29" s="7">
        <v>19</v>
      </c>
      <c r="X29" s="7">
        <v>6</v>
      </c>
      <c r="Y29" s="7">
        <v>855</v>
      </c>
      <c r="Z29" s="28">
        <v>3.192E-3</v>
      </c>
      <c r="AB29" s="7">
        <v>28</v>
      </c>
      <c r="AC29" s="7">
        <v>19</v>
      </c>
      <c r="AD29" s="7">
        <v>6</v>
      </c>
      <c r="AE29" s="7">
        <v>880</v>
      </c>
      <c r="AF29" s="7"/>
      <c r="AG29" s="7">
        <v>28</v>
      </c>
      <c r="AH29" s="7">
        <v>19</v>
      </c>
      <c r="AI29" s="7">
        <v>6</v>
      </c>
      <c r="AJ29" s="7">
        <v>835</v>
      </c>
    </row>
    <row r="30" spans="2:36">
      <c r="B30" s="5" t="s">
        <v>112</v>
      </c>
      <c r="C30" s="2">
        <v>124</v>
      </c>
      <c r="D30" s="17">
        <v>0.65500000000000003</v>
      </c>
      <c r="E30" s="5" t="e">
        <v>#REF!</v>
      </c>
      <c r="F30" s="14">
        <v>25.2</v>
      </c>
      <c r="G30" s="14">
        <v>24.5</v>
      </c>
      <c r="H30" s="14">
        <v>5.5</v>
      </c>
      <c r="I30" s="14">
        <v>655</v>
      </c>
      <c r="J30" s="28">
        <v>3.3956999999999998E-3</v>
      </c>
      <c r="K30" s="36">
        <v>9.9212652000000006</v>
      </c>
      <c r="L30" s="36">
        <v>9.6456745000000002</v>
      </c>
      <c r="M30" s="36">
        <v>2.1653555</v>
      </c>
      <c r="N30" s="36">
        <v>0.65500000000000003</v>
      </c>
      <c r="P30" s="25">
        <v>460.54061124543853</v>
      </c>
      <c r="Q30" s="32">
        <v>-0.4222415656866515</v>
      </c>
      <c r="S30" s="47">
        <v>0.88036666666666663</v>
      </c>
      <c r="T30" s="47">
        <v>-0.2253666666666666</v>
      </c>
      <c r="V30" s="7">
        <v>24</v>
      </c>
      <c r="W30" s="7">
        <v>24</v>
      </c>
      <c r="X30" s="7">
        <v>6.5</v>
      </c>
      <c r="Y30" s="7">
        <v>570</v>
      </c>
      <c r="Z30" s="28">
        <v>3.7439999999999999E-3</v>
      </c>
      <c r="AB30" s="7">
        <v>24</v>
      </c>
      <c r="AC30" s="7">
        <v>24</v>
      </c>
      <c r="AD30" s="7">
        <v>6.5</v>
      </c>
      <c r="AE30" s="7">
        <v>480</v>
      </c>
      <c r="AF30" s="7"/>
      <c r="AG30" s="7">
        <v>24</v>
      </c>
      <c r="AH30" s="7">
        <v>24</v>
      </c>
      <c r="AI30" s="7">
        <v>7</v>
      </c>
      <c r="AJ30" s="7">
        <v>530</v>
      </c>
    </row>
    <row r="31" spans="2:36">
      <c r="B31" s="5" t="s">
        <v>113</v>
      </c>
      <c r="C31" s="2">
        <v>59</v>
      </c>
      <c r="D31" s="17">
        <v>1.2749999999999999</v>
      </c>
      <c r="E31" s="5" t="e">
        <v>#REF!</v>
      </c>
      <c r="F31" s="14">
        <v>34.5</v>
      </c>
      <c r="G31" s="14">
        <v>32</v>
      </c>
      <c r="H31" s="14">
        <v>6.3</v>
      </c>
      <c r="I31" s="14">
        <v>1275</v>
      </c>
      <c r="J31" s="28">
        <v>6.9551999999999999E-3</v>
      </c>
      <c r="K31" s="36">
        <v>13.582684500000001</v>
      </c>
      <c r="L31" s="36">
        <v>12.598432000000001</v>
      </c>
      <c r="M31" s="36">
        <v>2.4803163000000001</v>
      </c>
      <c r="N31" s="36">
        <v>1.2750000000000001</v>
      </c>
      <c r="P31" s="25">
        <v>901.93999999999994</v>
      </c>
      <c r="Q31" s="32">
        <v>-0.41361953123267631</v>
      </c>
      <c r="S31" s="47">
        <v>1.8031999999999999</v>
      </c>
      <c r="T31" s="47">
        <v>-0.5282</v>
      </c>
      <c r="V31" s="7">
        <v>34.5</v>
      </c>
      <c r="W31" s="7">
        <v>33</v>
      </c>
      <c r="X31" s="7">
        <v>6.5</v>
      </c>
      <c r="Y31" s="7">
        <v>1300</v>
      </c>
      <c r="Z31" s="28">
        <v>7.4002499999999997E-3</v>
      </c>
      <c r="AB31" s="7">
        <v>34</v>
      </c>
      <c r="AC31" s="7">
        <v>32.5</v>
      </c>
      <c r="AD31" s="7">
        <v>7</v>
      </c>
      <c r="AE31" s="7">
        <v>1260</v>
      </c>
      <c r="AF31" s="7"/>
      <c r="AG31" s="7">
        <v>34</v>
      </c>
      <c r="AH31" s="7">
        <v>33</v>
      </c>
      <c r="AI31" s="7">
        <v>6</v>
      </c>
      <c r="AJ31" s="7">
        <v>1300</v>
      </c>
    </row>
    <row r="32" spans="2:36">
      <c r="B32" s="5" t="s">
        <v>114</v>
      </c>
      <c r="C32" s="2">
        <v>85</v>
      </c>
      <c r="D32" s="17">
        <v>0.33500000000000002</v>
      </c>
      <c r="E32" s="5" t="e">
        <v>#REF!</v>
      </c>
      <c r="F32" s="14">
        <v>37.5</v>
      </c>
      <c r="G32" s="14">
        <v>10.5</v>
      </c>
      <c r="H32" s="14">
        <v>6</v>
      </c>
      <c r="I32" s="14">
        <v>335</v>
      </c>
      <c r="J32" s="28">
        <v>2.3625E-3</v>
      </c>
      <c r="K32" s="36">
        <v>14.763787500000001</v>
      </c>
      <c r="L32" s="36">
        <v>4.1338604999999999</v>
      </c>
      <c r="M32" s="36">
        <v>2.362206</v>
      </c>
      <c r="N32" s="36">
        <v>0.33500000000000002</v>
      </c>
      <c r="P32" s="25">
        <v>226.40714285714284</v>
      </c>
      <c r="Q32" s="32">
        <v>-0.47963529671577759</v>
      </c>
      <c r="S32" s="47">
        <v>0.61249999999999993</v>
      </c>
      <c r="T32" s="47">
        <v>-0.27749999999999991</v>
      </c>
      <c r="V32" s="7">
        <v>36.5</v>
      </c>
      <c r="W32" s="7">
        <v>10</v>
      </c>
      <c r="X32" s="7">
        <v>5.5</v>
      </c>
      <c r="Y32" s="7">
        <v>305</v>
      </c>
      <c r="Z32" s="28">
        <v>2.0075000000000002E-3</v>
      </c>
      <c r="AB32" s="7"/>
      <c r="AC32" s="7"/>
      <c r="AD32" s="7"/>
      <c r="AE32" s="7"/>
      <c r="AF32" s="7"/>
      <c r="AG32" s="7">
        <v>37</v>
      </c>
      <c r="AH32" s="7">
        <v>10</v>
      </c>
      <c r="AI32" s="7">
        <v>6</v>
      </c>
      <c r="AJ32" s="7">
        <v>315</v>
      </c>
    </row>
    <row r="33" spans="2:36">
      <c r="B33" s="5" t="s">
        <v>425</v>
      </c>
      <c r="C33" s="2">
        <v>1</v>
      </c>
      <c r="D33" s="17" t="e">
        <v>#N/A</v>
      </c>
      <c r="E33" s="5" t="e">
        <v>#REF!</v>
      </c>
      <c r="F33" s="14" t="e">
        <v>#N/A</v>
      </c>
      <c r="G33" s="14" t="e">
        <v>#N/A</v>
      </c>
      <c r="H33" s="14" t="e">
        <v>#N/A</v>
      </c>
      <c r="I33" s="14" t="e">
        <v>#N/A</v>
      </c>
      <c r="J33" s="28" t="e">
        <v>#N/A</v>
      </c>
      <c r="K33" s="36" t="e">
        <v>#N/A</v>
      </c>
      <c r="L33" s="36" t="e">
        <v>#N/A</v>
      </c>
      <c r="M33" s="36" t="e">
        <v>#N/A</v>
      </c>
      <c r="N33" s="36" t="e">
        <v>#N/A</v>
      </c>
      <c r="P33" s="25">
        <v>165.67809523809524</v>
      </c>
      <c r="Q33" s="32" t="e">
        <v>#N/A</v>
      </c>
      <c r="S33" s="47" t="e">
        <v>#N/A</v>
      </c>
      <c r="T33" s="47" t="e">
        <v>#N/A</v>
      </c>
      <c r="V33" s="7">
        <v>24</v>
      </c>
      <c r="W33" s="7">
        <v>6</v>
      </c>
      <c r="X33" s="7">
        <v>6</v>
      </c>
      <c r="Y33" s="7">
        <v>200</v>
      </c>
      <c r="Z33" s="28">
        <v>8.6399999999999997E-4</v>
      </c>
      <c r="AB33" s="7"/>
      <c r="AC33" s="7"/>
      <c r="AD33" s="7"/>
      <c r="AE33" s="7"/>
      <c r="AF33" s="7"/>
      <c r="AG33" s="7">
        <v>24</v>
      </c>
      <c r="AH33" s="7">
        <v>6</v>
      </c>
      <c r="AI33" s="7">
        <v>6</v>
      </c>
      <c r="AJ33" s="7">
        <v>200</v>
      </c>
    </row>
    <row r="34" spans="2:36">
      <c r="B34" s="5" t="s">
        <v>117</v>
      </c>
      <c r="C34" s="2">
        <v>15</v>
      </c>
      <c r="D34" s="17">
        <v>0.28999999999999998</v>
      </c>
      <c r="E34" s="5" t="e">
        <v>#REF!</v>
      </c>
      <c r="F34" s="14">
        <v>24.5</v>
      </c>
      <c r="G34" s="14">
        <v>18.5</v>
      </c>
      <c r="H34" s="14">
        <v>5</v>
      </c>
      <c r="I34" s="14">
        <v>290</v>
      </c>
      <c r="J34" s="28">
        <v>2.26625E-3</v>
      </c>
      <c r="K34" s="36">
        <v>9.6456745000000002</v>
      </c>
      <c r="L34" s="36">
        <v>7.2834685000000006</v>
      </c>
      <c r="M34" s="36">
        <v>1.9685050000000002</v>
      </c>
      <c r="N34" s="36">
        <v>0.28999999999999998</v>
      </c>
      <c r="P34" s="25">
        <v>287.50323999999995</v>
      </c>
      <c r="Q34" s="32">
        <v>-8.6842847405825836E-3</v>
      </c>
      <c r="S34" s="47">
        <v>0.58754629629629629</v>
      </c>
      <c r="T34" s="47">
        <v>-0.29754629629629631</v>
      </c>
      <c r="V34" s="7">
        <v>25</v>
      </c>
      <c r="W34" s="7">
        <v>16.5</v>
      </c>
      <c r="X34" s="7">
        <v>7</v>
      </c>
      <c r="Y34" s="7">
        <v>350</v>
      </c>
      <c r="Z34" s="28">
        <v>2.8874999999999999E-3</v>
      </c>
      <c r="AB34" s="7">
        <v>24</v>
      </c>
      <c r="AC34" s="7">
        <v>16</v>
      </c>
      <c r="AD34" s="7">
        <v>6</v>
      </c>
      <c r="AE34" s="7">
        <v>340</v>
      </c>
      <c r="AF34" s="7"/>
      <c r="AG34" s="7">
        <v>24</v>
      </c>
      <c r="AH34" s="7">
        <v>16</v>
      </c>
      <c r="AI34" s="7">
        <v>6.5</v>
      </c>
      <c r="AJ34" s="7">
        <v>310</v>
      </c>
    </row>
    <row r="35" spans="2:36">
      <c r="B35" s="5" t="s">
        <v>119</v>
      </c>
      <c r="C35" s="2" t="e">
        <v>#N/A</v>
      </c>
      <c r="D35" s="17">
        <v>7.47</v>
      </c>
      <c r="E35" s="5" t="e">
        <v>#REF!</v>
      </c>
      <c r="F35" s="14">
        <v>83.5</v>
      </c>
      <c r="G35" s="14">
        <v>21</v>
      </c>
      <c r="H35" s="14">
        <v>10</v>
      </c>
      <c r="I35" s="14">
        <v>7470</v>
      </c>
      <c r="J35" s="28">
        <v>1.7534999999999999E-2</v>
      </c>
      <c r="K35" s="36">
        <v>32.874033500000003</v>
      </c>
      <c r="L35" s="36">
        <v>8.2677209999999999</v>
      </c>
      <c r="M35" s="36">
        <v>3.9370100000000003</v>
      </c>
      <c r="N35" s="36">
        <v>7.47</v>
      </c>
      <c r="P35" s="25">
        <v>7640.4544389809589</v>
      </c>
      <c r="Q35" s="32">
        <v>2.2309463441246982E-2</v>
      </c>
      <c r="S35" s="47">
        <v>4.5461111111111112</v>
      </c>
      <c r="T35" s="47">
        <v>2.9238888888888885</v>
      </c>
      <c r="V35" s="7"/>
      <c r="W35" s="7"/>
      <c r="X35" s="7"/>
      <c r="Y35" s="7"/>
      <c r="Z35" s="43"/>
      <c r="AB35" s="7">
        <v>106</v>
      </c>
      <c r="AC35" s="7">
        <v>63</v>
      </c>
      <c r="AD35" s="7">
        <v>5</v>
      </c>
      <c r="AE35" s="7">
        <v>8560</v>
      </c>
      <c r="AF35" s="6"/>
      <c r="AG35" s="6"/>
      <c r="AH35" s="6"/>
      <c r="AI35" s="6"/>
      <c r="AJ35" s="6"/>
    </row>
    <row r="36" spans="2:36">
      <c r="B36" s="5" t="s">
        <v>426</v>
      </c>
      <c r="C36" s="2">
        <v>26</v>
      </c>
      <c r="D36" s="17">
        <v>2.7650000000000001</v>
      </c>
      <c r="E36" s="5" t="e">
        <v>#REF!</v>
      </c>
      <c r="F36" s="14">
        <v>67</v>
      </c>
      <c r="G36" s="14">
        <v>42</v>
      </c>
      <c r="H36" s="14">
        <v>7</v>
      </c>
      <c r="I36" s="14">
        <v>2765</v>
      </c>
      <c r="J36" s="28">
        <v>1.9698E-2</v>
      </c>
      <c r="K36" s="36">
        <v>26.377967000000002</v>
      </c>
      <c r="L36" s="36">
        <v>16.535442</v>
      </c>
      <c r="M36" s="36">
        <v>2.7559070000000001</v>
      </c>
      <c r="N36" s="36">
        <v>2.7650000000000001</v>
      </c>
      <c r="P36" s="25">
        <v>3390.7068220776505</v>
      </c>
      <c r="Q36" s="32">
        <v>0.18453580769753769</v>
      </c>
      <c r="S36" s="47">
        <v>5.1068888888888884</v>
      </c>
      <c r="T36" s="47">
        <v>-2.3418888888888882</v>
      </c>
      <c r="V36" s="7">
        <v>67</v>
      </c>
      <c r="W36" s="7">
        <v>34</v>
      </c>
      <c r="X36" s="7">
        <v>5.5</v>
      </c>
      <c r="Y36" s="7">
        <v>3350</v>
      </c>
      <c r="Z36" s="28">
        <v>1.2529E-2</v>
      </c>
      <c r="AB36" s="7"/>
      <c r="AC36" s="7"/>
      <c r="AD36" s="7"/>
      <c r="AE36" s="7"/>
      <c r="AF36" s="9"/>
      <c r="AG36" s="9">
        <v>67</v>
      </c>
      <c r="AH36" s="9">
        <v>42</v>
      </c>
      <c r="AI36" s="9">
        <v>7</v>
      </c>
      <c r="AJ36" s="9">
        <v>2970</v>
      </c>
    </row>
    <row r="37" spans="2:36">
      <c r="B37" s="5" t="s">
        <v>427</v>
      </c>
      <c r="C37" s="2">
        <v>20</v>
      </c>
      <c r="D37" s="17">
        <v>2.87</v>
      </c>
      <c r="E37" s="5" t="e">
        <v>#REF!</v>
      </c>
      <c r="F37" s="14">
        <v>66</v>
      </c>
      <c r="G37" s="14">
        <v>34</v>
      </c>
      <c r="H37" s="14">
        <v>6</v>
      </c>
      <c r="I37" s="14">
        <v>2870</v>
      </c>
      <c r="J37" s="28">
        <v>1.3464E-2</v>
      </c>
      <c r="K37" s="36">
        <v>25.984266000000002</v>
      </c>
      <c r="L37" s="36">
        <v>13.385834000000001</v>
      </c>
      <c r="M37" s="36">
        <v>2.362206</v>
      </c>
      <c r="N37" s="36">
        <v>2.87</v>
      </c>
      <c r="P37" s="25">
        <v>2908.7769830900934</v>
      </c>
      <c r="Q37" s="32">
        <v>1.33310265157899E-2</v>
      </c>
      <c r="S37" s="47">
        <v>3.4906666666666664</v>
      </c>
      <c r="T37" s="47">
        <v>-0.62066666666666626</v>
      </c>
      <c r="V37" s="7">
        <v>65</v>
      </c>
      <c r="W37" s="7">
        <v>36.5</v>
      </c>
      <c r="X37" s="7">
        <v>6</v>
      </c>
      <c r="Y37" s="7">
        <v>2650</v>
      </c>
      <c r="Z37" s="28">
        <v>1.4234999999999999E-2</v>
      </c>
      <c r="AB37" s="7"/>
      <c r="AC37" s="7"/>
      <c r="AD37" s="7"/>
      <c r="AE37" s="7"/>
      <c r="AF37" s="7"/>
      <c r="AG37" s="7"/>
      <c r="AH37" s="7"/>
      <c r="AI37" s="7"/>
      <c r="AJ37" s="7"/>
    </row>
    <row r="38" spans="2:36">
      <c r="B38" s="5" t="s">
        <v>388</v>
      </c>
      <c r="C38" s="2">
        <v>10</v>
      </c>
      <c r="D38" s="17">
        <v>19.5</v>
      </c>
      <c r="E38" s="5" t="e">
        <v>#REF!</v>
      </c>
      <c r="F38" s="14">
        <v>168</v>
      </c>
      <c r="G38" s="14">
        <v>62</v>
      </c>
      <c r="H38" s="14">
        <v>4</v>
      </c>
      <c r="I38" s="14">
        <v>19500</v>
      </c>
      <c r="J38" s="28">
        <v>4.1664E-2</v>
      </c>
      <c r="K38" s="36">
        <v>66.141767999999999</v>
      </c>
      <c r="L38" s="36">
        <v>24.409462000000001</v>
      </c>
      <c r="M38" s="36">
        <v>1.5748040000000001</v>
      </c>
      <c r="N38" s="36">
        <v>19.5</v>
      </c>
      <c r="P38" s="25">
        <v>13852.569520103985</v>
      </c>
      <c r="Q38" s="32">
        <v>-0.40768107835156503</v>
      </c>
      <c r="S38" s="47">
        <v>10.801777777777778</v>
      </c>
      <c r="T38" s="47">
        <v>8.6982222222222223</v>
      </c>
      <c r="V38" s="7">
        <v>172.5</v>
      </c>
      <c r="W38" s="7">
        <v>65</v>
      </c>
      <c r="X38" s="7">
        <v>6</v>
      </c>
      <c r="Y38" s="7">
        <v>20300</v>
      </c>
      <c r="Z38" s="28">
        <v>6.7275000000000001E-2</v>
      </c>
      <c r="AB38" s="7"/>
      <c r="AC38" s="7"/>
      <c r="AD38" s="7"/>
      <c r="AE38" s="7"/>
      <c r="AF38" s="7"/>
      <c r="AG38" s="7">
        <v>172</v>
      </c>
      <c r="AH38" s="7">
        <v>65</v>
      </c>
      <c r="AI38" s="7">
        <v>6</v>
      </c>
      <c r="AJ38" s="7">
        <v>20460</v>
      </c>
    </row>
    <row r="39" spans="2:36">
      <c r="B39" s="5" t="s">
        <v>428</v>
      </c>
      <c r="C39" s="2" t="e">
        <v>#N/A</v>
      </c>
      <c r="D39" s="17" t="e">
        <v>#N/A</v>
      </c>
      <c r="E39" s="5" t="e">
        <v>#REF!</v>
      </c>
      <c r="F39" s="14" t="e">
        <v>#N/A</v>
      </c>
      <c r="G39" s="14" t="e">
        <v>#N/A</v>
      </c>
      <c r="H39" s="14" t="e">
        <v>#N/A</v>
      </c>
      <c r="I39" s="14" t="e">
        <v>#N/A</v>
      </c>
      <c r="J39" s="28" t="e">
        <v>#N/A</v>
      </c>
      <c r="K39" s="36" t="e">
        <v>#N/A</v>
      </c>
      <c r="L39" s="36" t="e">
        <v>#N/A</v>
      </c>
      <c r="M39" s="36" t="e">
        <v>#N/A</v>
      </c>
      <c r="N39" s="36" t="e">
        <v>#N/A</v>
      </c>
      <c r="P39" s="25">
        <v>4549.7770869199994</v>
      </c>
      <c r="Q39" s="32" t="e">
        <v>#N/A</v>
      </c>
      <c r="S39" s="47" t="e">
        <v>#N/A</v>
      </c>
      <c r="T39" s="47" t="e">
        <v>#N/A</v>
      </c>
      <c r="V39" s="7">
        <v>79</v>
      </c>
      <c r="W39" s="7">
        <v>62.5</v>
      </c>
      <c r="X39" s="7">
        <v>5.5</v>
      </c>
      <c r="Y39" s="7">
        <v>8000</v>
      </c>
      <c r="Z39" s="28">
        <v>2.715625E-2</v>
      </c>
      <c r="AB39" s="7"/>
      <c r="AC39" s="7"/>
      <c r="AD39" s="7"/>
      <c r="AE39" s="7"/>
      <c r="AF39" s="7"/>
      <c r="AG39" s="7"/>
      <c r="AH39" s="7"/>
      <c r="AI39" s="7"/>
      <c r="AJ39" s="7"/>
    </row>
    <row r="40" spans="2:36">
      <c r="B40" s="5" t="s">
        <v>429</v>
      </c>
      <c r="C40" s="2">
        <v>56</v>
      </c>
      <c r="D40" s="17">
        <v>0</v>
      </c>
      <c r="E40" s="5" t="e">
        <v>#REF!</v>
      </c>
      <c r="F40" s="14">
        <v>0</v>
      </c>
      <c r="G40" s="14">
        <v>0</v>
      </c>
      <c r="H40" s="14">
        <v>0</v>
      </c>
      <c r="I40" s="14">
        <v>0</v>
      </c>
      <c r="J40" s="28">
        <v>0</v>
      </c>
      <c r="K40" s="36">
        <v>0</v>
      </c>
      <c r="L40" s="36">
        <v>0</v>
      </c>
      <c r="M40" s="36">
        <v>0</v>
      </c>
      <c r="N40" s="36">
        <v>0</v>
      </c>
      <c r="P40" s="25" t="e">
        <v>#N/A</v>
      </c>
      <c r="Q40" s="32" t="e">
        <v>#N/A</v>
      </c>
      <c r="S40" s="47">
        <v>0</v>
      </c>
      <c r="T40" s="47">
        <v>0</v>
      </c>
      <c r="V40" s="7">
        <v>15</v>
      </c>
      <c r="W40" s="7">
        <v>11</v>
      </c>
      <c r="X40" s="7">
        <v>10</v>
      </c>
      <c r="Y40" s="7">
        <v>150</v>
      </c>
      <c r="Z40" s="28">
        <v>1.65E-3</v>
      </c>
      <c r="AB40" s="7"/>
      <c r="AC40" s="7"/>
      <c r="AD40" s="7"/>
      <c r="AE40" s="7"/>
      <c r="AF40" s="7"/>
      <c r="AG40" s="7">
        <v>22</v>
      </c>
      <c r="AH40" s="7">
        <v>14</v>
      </c>
      <c r="AI40" s="7">
        <v>8</v>
      </c>
      <c r="AJ40" s="7">
        <v>250</v>
      </c>
    </row>
    <row r="41" spans="2:36">
      <c r="B41" s="5" t="s">
        <v>430</v>
      </c>
      <c r="C41" s="2">
        <v>7</v>
      </c>
      <c r="D41" s="17" t="e">
        <v>#N/A</v>
      </c>
      <c r="E41" s="5" t="e">
        <v>#REF!</v>
      </c>
      <c r="F41" s="14" t="e">
        <v>#N/A</v>
      </c>
      <c r="G41" s="14" t="e">
        <v>#N/A</v>
      </c>
      <c r="H41" s="14" t="e">
        <v>#N/A</v>
      </c>
      <c r="I41" s="14" t="e">
        <v>#N/A</v>
      </c>
      <c r="J41" s="28" t="e">
        <v>#N/A</v>
      </c>
      <c r="K41" s="36" t="e">
        <v>#N/A</v>
      </c>
      <c r="L41" s="36" t="e">
        <v>#N/A</v>
      </c>
      <c r="M41" s="36" t="e">
        <v>#N/A</v>
      </c>
      <c r="N41" s="36" t="e">
        <v>#N/A</v>
      </c>
      <c r="P41" s="25" t="e">
        <v>#N/A</v>
      </c>
      <c r="Q41" s="32" t="e">
        <v>#N/A</v>
      </c>
      <c r="S41" s="47" t="e">
        <v>#N/A</v>
      </c>
      <c r="T41" s="47" t="e">
        <v>#N/A</v>
      </c>
      <c r="V41" s="7">
        <v>13</v>
      </c>
      <c r="W41" s="7">
        <v>13</v>
      </c>
      <c r="X41" s="7">
        <v>9</v>
      </c>
      <c r="Y41" s="7">
        <v>200</v>
      </c>
      <c r="Z41" s="28">
        <v>1.521E-3</v>
      </c>
      <c r="AB41" s="7"/>
      <c r="AC41" s="7"/>
      <c r="AD41" s="7"/>
      <c r="AE41" s="7"/>
      <c r="AF41" s="7"/>
      <c r="AG41" s="7"/>
      <c r="AH41" s="7"/>
      <c r="AI41" s="7"/>
      <c r="AJ41" s="7"/>
    </row>
    <row r="42" spans="2:36">
      <c r="B42" s="5" t="s">
        <v>431</v>
      </c>
      <c r="C42" s="2" t="e">
        <v>#N/A</v>
      </c>
      <c r="D42" s="17" t="e">
        <v>#N/A</v>
      </c>
      <c r="E42" s="5" t="e">
        <v>#REF!</v>
      </c>
      <c r="F42" s="14" t="e">
        <v>#N/A</v>
      </c>
      <c r="G42" s="14" t="e">
        <v>#N/A</v>
      </c>
      <c r="H42" s="14" t="e">
        <v>#N/A</v>
      </c>
      <c r="I42" s="14" t="e">
        <v>#N/A</v>
      </c>
      <c r="J42" s="28" t="e">
        <v>#N/A</v>
      </c>
      <c r="K42" s="36" t="e">
        <v>#N/A</v>
      </c>
      <c r="L42" s="36" t="e">
        <v>#N/A</v>
      </c>
      <c r="M42" s="36" t="e">
        <v>#N/A</v>
      </c>
      <c r="N42" s="36" t="e">
        <v>#N/A</v>
      </c>
      <c r="P42" s="25" t="e">
        <v>#N/A</v>
      </c>
      <c r="Q42" s="32" t="e">
        <v>#N/A</v>
      </c>
      <c r="S42" s="47" t="e">
        <v>#N/A</v>
      </c>
      <c r="T42" s="47" t="e">
        <v>#N/A</v>
      </c>
      <c r="V42" s="7">
        <v>13</v>
      </c>
      <c r="W42" s="7">
        <v>13</v>
      </c>
      <c r="X42" s="7">
        <v>9</v>
      </c>
      <c r="Y42" s="7">
        <v>250</v>
      </c>
      <c r="Z42" s="28">
        <v>1.521E-3</v>
      </c>
      <c r="AB42" s="7"/>
      <c r="AC42" s="7"/>
      <c r="AD42" s="7"/>
      <c r="AE42" s="7"/>
      <c r="AF42" s="7"/>
      <c r="AG42" s="7"/>
      <c r="AH42" s="7"/>
      <c r="AI42" s="7"/>
      <c r="AJ42" s="7"/>
    </row>
    <row r="43" spans="2:36">
      <c r="B43" s="5" t="s">
        <v>432</v>
      </c>
      <c r="C43" s="2">
        <v>14</v>
      </c>
      <c r="D43" s="17">
        <v>0.28999999999999998</v>
      </c>
      <c r="E43" s="5" t="e">
        <v>#REF!</v>
      </c>
      <c r="F43" s="14">
        <v>13</v>
      </c>
      <c r="G43" s="14">
        <v>13</v>
      </c>
      <c r="H43" s="14">
        <v>7</v>
      </c>
      <c r="I43" s="14">
        <v>290</v>
      </c>
      <c r="J43" s="28">
        <v>1.183E-3</v>
      </c>
      <c r="K43" s="36">
        <v>5.1181130000000001</v>
      </c>
      <c r="L43" s="36">
        <v>5.1181130000000001</v>
      </c>
      <c r="M43" s="36">
        <v>2.7559070000000001</v>
      </c>
      <c r="N43" s="36">
        <v>0.28999999999999998</v>
      </c>
      <c r="P43" s="25">
        <v>269.05259999999998</v>
      </c>
      <c r="Q43" s="32">
        <v>-7.7856151548061664E-2</v>
      </c>
      <c r="S43" s="47">
        <v>0.3067037037037037</v>
      </c>
      <c r="T43" s="47">
        <v>-1.6703703703703721E-2</v>
      </c>
      <c r="V43" s="9">
        <v>13.5</v>
      </c>
      <c r="W43" s="9">
        <v>13</v>
      </c>
      <c r="X43" s="9">
        <v>9.5</v>
      </c>
      <c r="Y43" s="9">
        <v>232</v>
      </c>
      <c r="Z43" s="28">
        <v>1.6672499999999999E-3</v>
      </c>
      <c r="AB43" s="9"/>
      <c r="AC43" s="9"/>
      <c r="AD43" s="9"/>
      <c r="AE43" s="9"/>
      <c r="AF43" s="9"/>
      <c r="AG43" s="9"/>
      <c r="AH43" s="9"/>
      <c r="AI43" s="9"/>
      <c r="AJ43" s="9"/>
    </row>
    <row r="44" spans="2:36">
      <c r="B44" s="5" t="s">
        <v>433</v>
      </c>
      <c r="C44" s="2">
        <v>5</v>
      </c>
      <c r="D44" s="17" t="e">
        <v>#N/A</v>
      </c>
      <c r="E44" s="5" t="e">
        <v>#REF!</v>
      </c>
      <c r="F44" s="14" t="e">
        <v>#N/A</v>
      </c>
      <c r="G44" s="14" t="e">
        <v>#N/A</v>
      </c>
      <c r="H44" s="14" t="e">
        <v>#N/A</v>
      </c>
      <c r="I44" s="14" t="e">
        <v>#N/A</v>
      </c>
      <c r="J44" s="28" t="e">
        <v>#N/A</v>
      </c>
      <c r="K44" s="36" t="e">
        <v>#N/A</v>
      </c>
      <c r="L44" s="36" t="e">
        <v>#N/A</v>
      </c>
      <c r="M44" s="36" t="e">
        <v>#N/A</v>
      </c>
      <c r="N44" s="36" t="e">
        <v>#N/A</v>
      </c>
      <c r="P44" s="25">
        <v>144.14400000000001</v>
      </c>
      <c r="Q44" s="32" t="e">
        <v>#N/A</v>
      </c>
      <c r="S44" s="47" t="e">
        <v>#N/A</v>
      </c>
      <c r="T44" s="47" t="e">
        <v>#N/A</v>
      </c>
      <c r="V44" s="9">
        <v>18</v>
      </c>
      <c r="W44" s="9">
        <v>18</v>
      </c>
      <c r="X44" s="9">
        <v>7</v>
      </c>
      <c r="Y44" s="9">
        <v>304</v>
      </c>
      <c r="Z44" s="28">
        <v>2.2680000000000001E-3</v>
      </c>
      <c r="AB44" s="9">
        <v>13</v>
      </c>
      <c r="AC44" s="9">
        <v>13</v>
      </c>
      <c r="AD44" s="9">
        <v>9</v>
      </c>
      <c r="AE44" s="9">
        <v>240</v>
      </c>
      <c r="AF44" s="9"/>
      <c r="AG44" s="9"/>
      <c r="AH44" s="9"/>
      <c r="AI44" s="9"/>
      <c r="AJ44" s="9"/>
    </row>
    <row r="45" spans="2:36">
      <c r="B45" s="2" t="s">
        <v>389</v>
      </c>
      <c r="C45" s="2">
        <v>6</v>
      </c>
      <c r="D45" s="17">
        <v>0.27</v>
      </c>
      <c r="E45" s="5" t="e">
        <v>#REF!</v>
      </c>
      <c r="F45" s="14">
        <v>19.5</v>
      </c>
      <c r="G45" s="14">
        <v>19.5</v>
      </c>
      <c r="H45" s="14">
        <v>4.5</v>
      </c>
      <c r="I45" s="14">
        <v>270</v>
      </c>
      <c r="J45" s="28">
        <v>1.711125E-3</v>
      </c>
      <c r="K45" s="36">
        <v>7.6771695000000006</v>
      </c>
      <c r="L45" s="36">
        <v>7.6771695000000006</v>
      </c>
      <c r="M45" s="36">
        <v>1.7716545000000001</v>
      </c>
      <c r="N45" s="36">
        <v>0.27</v>
      </c>
      <c r="P45" s="25">
        <v>146.25142112</v>
      </c>
      <c r="Q45" s="32">
        <v>-0.84613590714078379</v>
      </c>
      <c r="S45" s="47">
        <v>0.44362499999999999</v>
      </c>
      <c r="T45" s="47">
        <v>-0.17362499999999997</v>
      </c>
      <c r="V45" s="14">
        <v>18</v>
      </c>
      <c r="W45" s="14">
        <v>18</v>
      </c>
      <c r="X45" s="14">
        <v>6.5</v>
      </c>
      <c r="Y45" s="14">
        <v>250</v>
      </c>
      <c r="Z45" s="28">
        <v>2.1059999999999998E-3</v>
      </c>
      <c r="AB45" s="14">
        <v>14</v>
      </c>
      <c r="AC45" s="14">
        <v>14</v>
      </c>
      <c r="AD45" s="14">
        <v>9</v>
      </c>
      <c r="AE45" s="14">
        <v>175</v>
      </c>
      <c r="AF45" s="14"/>
      <c r="AG45" s="14">
        <v>18</v>
      </c>
      <c r="AH45" s="14">
        <v>18</v>
      </c>
      <c r="AI45" s="14">
        <v>6.5</v>
      </c>
      <c r="AJ45" s="14">
        <v>180</v>
      </c>
    </row>
    <row r="46" spans="2:36">
      <c r="B46" s="2" t="s">
        <v>390</v>
      </c>
      <c r="C46" s="2">
        <v>6</v>
      </c>
      <c r="D46" s="17">
        <v>0.18</v>
      </c>
      <c r="E46" s="5" t="e">
        <v>#REF!</v>
      </c>
      <c r="F46" s="14">
        <v>13</v>
      </c>
      <c r="G46" s="14">
        <v>13</v>
      </c>
      <c r="H46" s="14">
        <v>9</v>
      </c>
      <c r="I46" s="14">
        <v>180</v>
      </c>
      <c r="J46" s="28">
        <v>1.521E-3</v>
      </c>
      <c r="K46" s="36">
        <v>5.1181130000000001</v>
      </c>
      <c r="L46" s="36">
        <v>5.1181130000000001</v>
      </c>
      <c r="M46" s="36">
        <v>3.5433090000000003</v>
      </c>
      <c r="N46" s="36">
        <v>0.18</v>
      </c>
      <c r="P46" s="25">
        <v>149.05910112000001</v>
      </c>
      <c r="Q46" s="32">
        <v>-0.2075747045803733</v>
      </c>
      <c r="S46" s="47">
        <v>0.39433333333333331</v>
      </c>
      <c r="T46" s="47">
        <v>-0.21433333333333332</v>
      </c>
      <c r="V46" s="14">
        <v>13</v>
      </c>
      <c r="W46" s="14">
        <v>13</v>
      </c>
      <c r="X46" s="14">
        <v>7</v>
      </c>
      <c r="Y46" s="14">
        <v>200</v>
      </c>
      <c r="Z46" s="28">
        <v>1.183E-3</v>
      </c>
      <c r="AB46" s="14"/>
      <c r="AC46" s="14"/>
      <c r="AD46" s="14"/>
      <c r="AE46" s="14"/>
      <c r="AF46" s="14"/>
      <c r="AG46" s="14">
        <v>13.5</v>
      </c>
      <c r="AH46" s="14">
        <v>13</v>
      </c>
      <c r="AI46" s="14">
        <v>9</v>
      </c>
      <c r="AJ46" s="14">
        <v>180</v>
      </c>
    </row>
    <row r="47" spans="2:36">
      <c r="B47" s="5" t="s">
        <v>434</v>
      </c>
      <c r="C47" s="2" t="e">
        <v>#N/A</v>
      </c>
      <c r="D47" s="17">
        <v>0.4</v>
      </c>
      <c r="E47" s="5" t="e">
        <v>#REF!</v>
      </c>
      <c r="F47" s="14">
        <v>20</v>
      </c>
      <c r="G47" s="14">
        <v>13</v>
      </c>
      <c r="H47" s="14">
        <v>9</v>
      </c>
      <c r="I47" s="14">
        <v>400</v>
      </c>
      <c r="J47" s="28">
        <v>2.3400000000000001E-3</v>
      </c>
      <c r="K47" s="36">
        <v>7.8740200000000007</v>
      </c>
      <c r="L47" s="36">
        <v>5.1181130000000001</v>
      </c>
      <c r="M47" s="36">
        <v>3.5433090000000003</v>
      </c>
      <c r="N47" s="36">
        <v>0.4</v>
      </c>
      <c r="P47" s="25">
        <v>329.18428399999993</v>
      </c>
      <c r="Q47" s="32">
        <v>-0.21512483870584806</v>
      </c>
      <c r="S47" s="47">
        <v>0.60666666666666669</v>
      </c>
      <c r="T47" s="47">
        <v>-0.20666666666666667</v>
      </c>
      <c r="V47" s="7">
        <v>22</v>
      </c>
      <c r="W47" s="7">
        <v>13</v>
      </c>
      <c r="X47" s="7">
        <v>9</v>
      </c>
      <c r="Y47" s="7">
        <v>350</v>
      </c>
      <c r="Z47" s="28">
        <v>2.5739999999999999E-3</v>
      </c>
      <c r="AB47" s="7"/>
      <c r="AC47" s="7"/>
      <c r="AD47" s="7"/>
      <c r="AE47" s="7"/>
      <c r="AF47" s="7"/>
      <c r="AG47" s="7"/>
      <c r="AH47" s="7"/>
      <c r="AI47" s="7"/>
      <c r="AJ47" s="7"/>
    </row>
    <row r="48" spans="2:36">
      <c r="B48" s="5" t="s">
        <v>435</v>
      </c>
      <c r="C48" s="2" t="e">
        <v>#N/A</v>
      </c>
      <c r="D48" s="17" t="e">
        <v>#N/A</v>
      </c>
      <c r="E48" s="5" t="e">
        <v>#REF!</v>
      </c>
      <c r="F48" s="14" t="e">
        <v>#N/A</v>
      </c>
      <c r="G48" s="14" t="e">
        <v>#N/A</v>
      </c>
      <c r="H48" s="14" t="e">
        <v>#N/A</v>
      </c>
      <c r="I48" s="14" t="e">
        <v>#N/A</v>
      </c>
      <c r="J48" s="28" t="e">
        <v>#N/A</v>
      </c>
      <c r="K48" s="36" t="e">
        <v>#N/A</v>
      </c>
      <c r="L48" s="36" t="e">
        <v>#N/A</v>
      </c>
      <c r="M48" s="36" t="e">
        <v>#N/A</v>
      </c>
      <c r="N48" s="36" t="e">
        <v>#N/A</v>
      </c>
      <c r="P48" s="25">
        <v>313.13515999999993</v>
      </c>
      <c r="Q48" s="32" t="e">
        <v>#N/A</v>
      </c>
      <c r="S48" s="47" t="e">
        <v>#N/A</v>
      </c>
      <c r="T48" s="47" t="e">
        <v>#N/A</v>
      </c>
      <c r="V48" s="7">
        <v>22</v>
      </c>
      <c r="W48" s="7">
        <v>13</v>
      </c>
      <c r="X48" s="7">
        <v>9</v>
      </c>
      <c r="Y48" s="7">
        <v>270</v>
      </c>
      <c r="Z48" s="28">
        <v>2.5739999999999999E-3</v>
      </c>
      <c r="AB48" s="7"/>
      <c r="AC48" s="7"/>
      <c r="AD48" s="7"/>
      <c r="AE48" s="7"/>
      <c r="AF48" s="7"/>
      <c r="AG48" s="7"/>
      <c r="AH48" s="7"/>
      <c r="AI48" s="7"/>
      <c r="AJ48" s="7"/>
    </row>
    <row r="49" spans="2:36">
      <c r="B49" s="5" t="s">
        <v>436</v>
      </c>
      <c r="C49" s="2">
        <v>53</v>
      </c>
      <c r="D49" s="17">
        <v>0.29499999999999998</v>
      </c>
      <c r="E49" s="5" t="e">
        <v>#REF!</v>
      </c>
      <c r="F49" s="14">
        <v>23</v>
      </c>
      <c r="G49" s="14">
        <v>12</v>
      </c>
      <c r="H49" s="14">
        <v>9</v>
      </c>
      <c r="I49" s="14">
        <v>295</v>
      </c>
      <c r="J49" s="28">
        <v>2.4840000000000001E-3</v>
      </c>
      <c r="K49" s="36">
        <v>9.055123</v>
      </c>
      <c r="L49" s="36">
        <v>4.7244120000000001</v>
      </c>
      <c r="M49" s="36">
        <v>3.5433090000000003</v>
      </c>
      <c r="N49" s="36">
        <v>0.29499999999999998</v>
      </c>
      <c r="P49" s="25">
        <v>172.616704</v>
      </c>
      <c r="Q49" s="32">
        <v>-0.70898871988657597</v>
      </c>
      <c r="S49" s="47">
        <v>0.64400000000000002</v>
      </c>
      <c r="T49" s="47">
        <v>-0.34900000000000003</v>
      </c>
      <c r="V49" s="7">
        <v>22</v>
      </c>
      <c r="W49" s="7">
        <v>13</v>
      </c>
      <c r="X49" s="7">
        <v>9</v>
      </c>
      <c r="Y49" s="7">
        <v>270</v>
      </c>
      <c r="Z49" s="28">
        <v>2.5739999999999999E-3</v>
      </c>
      <c r="AB49" s="7"/>
      <c r="AC49" s="7"/>
      <c r="AD49" s="7"/>
      <c r="AE49" s="7"/>
      <c r="AF49" s="7"/>
      <c r="AG49" s="7"/>
      <c r="AH49" s="7"/>
      <c r="AI49" s="7"/>
      <c r="AJ49" s="7"/>
    </row>
    <row r="50" spans="2:36">
      <c r="B50" s="5" t="s">
        <v>437</v>
      </c>
      <c r="C50" s="2" t="e">
        <v>#N/A</v>
      </c>
      <c r="D50" s="17" t="e">
        <v>#N/A</v>
      </c>
      <c r="E50" s="5" t="e">
        <v>#REF!</v>
      </c>
      <c r="F50" s="14" t="e">
        <v>#N/A</v>
      </c>
      <c r="G50" s="14" t="e">
        <v>#N/A</v>
      </c>
      <c r="H50" s="14" t="e">
        <v>#N/A</v>
      </c>
      <c r="I50" s="14" t="e">
        <v>#N/A</v>
      </c>
      <c r="J50" s="28" t="e">
        <v>#N/A</v>
      </c>
      <c r="K50" s="36" t="e">
        <v>#N/A</v>
      </c>
      <c r="L50" s="36" t="e">
        <v>#N/A</v>
      </c>
      <c r="M50" s="36" t="e">
        <v>#N/A</v>
      </c>
      <c r="N50" s="36" t="e">
        <v>#N/A</v>
      </c>
      <c r="P50" s="25">
        <v>257.15014285714284</v>
      </c>
      <c r="Q50" s="32" t="e">
        <v>#N/A</v>
      </c>
      <c r="S50" s="47" t="e">
        <v>#N/A</v>
      </c>
      <c r="T50" s="47" t="e">
        <v>#N/A</v>
      </c>
      <c r="V50" s="7">
        <v>37</v>
      </c>
      <c r="W50" s="7">
        <v>10</v>
      </c>
      <c r="X50" s="7">
        <v>6</v>
      </c>
      <c r="Y50" s="7">
        <v>360</v>
      </c>
      <c r="Z50" s="28">
        <v>2.2200000000000002E-3</v>
      </c>
      <c r="AB50" s="7"/>
      <c r="AC50" s="7"/>
      <c r="AD50" s="7"/>
      <c r="AE50" s="7"/>
      <c r="AF50" s="7"/>
      <c r="AG50" s="7">
        <v>37</v>
      </c>
      <c r="AH50" s="7">
        <v>10</v>
      </c>
      <c r="AI50" s="7">
        <v>6</v>
      </c>
      <c r="AJ50" s="7">
        <v>320</v>
      </c>
    </row>
    <row r="51" spans="2:36">
      <c r="B51" s="5" t="s">
        <v>438</v>
      </c>
      <c r="C51" s="2">
        <v>4</v>
      </c>
      <c r="D51" s="17" t="e">
        <v>#N/A</v>
      </c>
      <c r="E51" s="5" t="e">
        <v>#REF!</v>
      </c>
      <c r="F51" s="14" t="e">
        <v>#N/A</v>
      </c>
      <c r="G51" s="14" t="e">
        <v>#N/A</v>
      </c>
      <c r="H51" s="14" t="e">
        <v>#N/A</v>
      </c>
      <c r="I51" s="14" t="e">
        <v>#N/A</v>
      </c>
      <c r="J51" s="28" t="e">
        <v>#N/A</v>
      </c>
      <c r="K51" s="36" t="e">
        <v>#N/A</v>
      </c>
      <c r="L51" s="36" t="e">
        <v>#N/A</v>
      </c>
      <c r="M51" s="36" t="e">
        <v>#N/A</v>
      </c>
      <c r="N51" s="36" t="e">
        <v>#N/A</v>
      </c>
      <c r="P51" s="25">
        <v>377.03904347826085</v>
      </c>
      <c r="Q51" s="32" t="e">
        <v>#N/A</v>
      </c>
      <c r="S51" s="47" t="e">
        <v>#N/A</v>
      </c>
      <c r="T51" s="47" t="e">
        <v>#N/A</v>
      </c>
      <c r="V51" s="7">
        <v>37</v>
      </c>
      <c r="W51" s="7">
        <v>10</v>
      </c>
      <c r="X51" s="7">
        <v>6</v>
      </c>
      <c r="Y51" s="7">
        <v>435</v>
      </c>
      <c r="Z51" s="28">
        <v>2.2200000000000002E-3</v>
      </c>
      <c r="AB51" s="7"/>
      <c r="AC51" s="7"/>
      <c r="AD51" s="7"/>
      <c r="AE51" s="7"/>
      <c r="AF51" s="7"/>
      <c r="AG51" s="7">
        <v>37</v>
      </c>
      <c r="AH51" s="7">
        <v>10</v>
      </c>
      <c r="AI51" s="7">
        <v>6</v>
      </c>
      <c r="AJ51" s="7">
        <v>455</v>
      </c>
    </row>
    <row r="52" spans="2:36">
      <c r="B52" s="5" t="s">
        <v>439</v>
      </c>
      <c r="C52" s="2">
        <v>2</v>
      </c>
      <c r="D52" s="17" t="e">
        <v>#N/A</v>
      </c>
      <c r="E52" s="5" t="e">
        <v>#REF!</v>
      </c>
      <c r="F52" s="14" t="e">
        <v>#N/A</v>
      </c>
      <c r="G52" s="14" t="e">
        <v>#N/A</v>
      </c>
      <c r="H52" s="14" t="e">
        <v>#N/A</v>
      </c>
      <c r="I52" s="14" t="e">
        <v>#N/A</v>
      </c>
      <c r="J52" s="28" t="e">
        <v>#N/A</v>
      </c>
      <c r="K52" s="36" t="e">
        <v>#N/A</v>
      </c>
      <c r="L52" s="36" t="e">
        <v>#N/A</v>
      </c>
      <c r="M52" s="36" t="e">
        <v>#N/A</v>
      </c>
      <c r="N52" s="36" t="e">
        <v>#N/A</v>
      </c>
      <c r="P52" s="25">
        <v>752.22529999999995</v>
      </c>
      <c r="Q52" s="32" t="e">
        <v>#N/A</v>
      </c>
      <c r="S52" s="47" t="e">
        <v>#N/A</v>
      </c>
      <c r="T52" s="47" t="e">
        <v>#N/A</v>
      </c>
      <c r="V52" s="7">
        <v>34</v>
      </c>
      <c r="W52" s="7">
        <v>34</v>
      </c>
      <c r="X52" s="7">
        <v>6.5</v>
      </c>
      <c r="Y52" s="7">
        <v>1200</v>
      </c>
      <c r="Z52" s="28">
        <v>7.5139999999999998E-3</v>
      </c>
      <c r="AB52" s="7"/>
      <c r="AC52" s="7"/>
      <c r="AD52" s="7"/>
      <c r="AE52" s="7"/>
      <c r="AF52" s="7"/>
      <c r="AG52" s="7">
        <v>36</v>
      </c>
      <c r="AH52" s="7">
        <v>34</v>
      </c>
      <c r="AI52" s="7">
        <v>6</v>
      </c>
      <c r="AJ52" s="7">
        <v>1200</v>
      </c>
    </row>
    <row r="53" spans="2:36">
      <c r="B53" s="5" t="s">
        <v>440</v>
      </c>
      <c r="C53" s="2">
        <v>6</v>
      </c>
      <c r="D53" s="17" t="e">
        <v>#N/A</v>
      </c>
      <c r="E53" s="5" t="e">
        <v>#REF!</v>
      </c>
      <c r="F53" s="14" t="e">
        <v>#N/A</v>
      </c>
      <c r="G53" s="14" t="e">
        <v>#N/A</v>
      </c>
      <c r="H53" s="14" t="e">
        <v>#N/A</v>
      </c>
      <c r="I53" s="14" t="e">
        <v>#N/A</v>
      </c>
      <c r="J53" s="28" t="e">
        <v>#N/A</v>
      </c>
      <c r="K53" s="36" t="e">
        <v>#N/A</v>
      </c>
      <c r="L53" s="36" t="e">
        <v>#N/A</v>
      </c>
      <c r="M53" s="36" t="e">
        <v>#N/A</v>
      </c>
      <c r="N53" s="36" t="e">
        <v>#N/A</v>
      </c>
      <c r="P53" s="25">
        <v>1147.0835173999997</v>
      </c>
      <c r="Q53" s="32" t="e">
        <v>#N/A</v>
      </c>
      <c r="S53" s="47" t="e">
        <v>#N/A</v>
      </c>
      <c r="T53" s="47" t="e">
        <v>#N/A</v>
      </c>
      <c r="V53" s="7">
        <v>51</v>
      </c>
      <c r="W53" s="7">
        <v>25.5</v>
      </c>
      <c r="X53" s="7">
        <v>4.5</v>
      </c>
      <c r="Y53" s="7">
        <v>1420</v>
      </c>
      <c r="Z53" s="28">
        <v>5.8522499999999998E-3</v>
      </c>
      <c r="AB53" s="7"/>
      <c r="AC53" s="7"/>
      <c r="AD53" s="7"/>
      <c r="AE53" s="7"/>
      <c r="AF53" s="7"/>
      <c r="AG53" s="7"/>
      <c r="AH53" s="7"/>
      <c r="AI53" s="7"/>
      <c r="AJ53" s="7"/>
    </row>
    <row r="54" spans="2:36">
      <c r="B54" s="5" t="s">
        <v>441</v>
      </c>
      <c r="C54" s="2" t="e">
        <v>#N/A</v>
      </c>
      <c r="D54" s="17" t="e">
        <v>#N/A</v>
      </c>
      <c r="E54" s="5" t="e">
        <v>#REF!</v>
      </c>
      <c r="F54" s="14" t="e">
        <v>#N/A</v>
      </c>
      <c r="G54" s="14" t="e">
        <v>#N/A</v>
      </c>
      <c r="H54" s="14" t="e">
        <v>#N/A</v>
      </c>
      <c r="I54" s="14" t="e">
        <v>#N/A</v>
      </c>
      <c r="J54" s="28" t="e">
        <v>#N/A</v>
      </c>
      <c r="K54" s="36" t="e">
        <v>#N/A</v>
      </c>
      <c r="L54" s="36" t="e">
        <v>#N/A</v>
      </c>
      <c r="M54" s="36" t="e">
        <v>#N/A</v>
      </c>
      <c r="N54" s="36" t="e">
        <v>#N/A</v>
      </c>
      <c r="P54" s="25">
        <v>1490.0749680000004</v>
      </c>
      <c r="Q54" s="32" t="e">
        <v>#N/A</v>
      </c>
      <c r="S54" s="47" t="e">
        <v>#N/A</v>
      </c>
      <c r="T54" s="47" t="e">
        <v>#N/A</v>
      </c>
      <c r="V54" s="7">
        <v>66.5</v>
      </c>
      <c r="W54" s="7">
        <v>26</v>
      </c>
      <c r="X54" s="7">
        <v>4.5</v>
      </c>
      <c r="Y54" s="7">
        <v>1800</v>
      </c>
      <c r="Z54" s="28">
        <v>7.7805000000000001E-3</v>
      </c>
      <c r="AB54" s="7"/>
      <c r="AC54" s="7"/>
      <c r="AD54" s="7"/>
      <c r="AE54" s="7"/>
      <c r="AF54" s="7"/>
      <c r="AG54" s="7"/>
      <c r="AH54" s="7"/>
      <c r="AI54" s="7"/>
      <c r="AJ54" s="7"/>
    </row>
    <row r="55" spans="2:36">
      <c r="B55" s="5" t="s">
        <v>442</v>
      </c>
      <c r="C55" s="2">
        <v>2</v>
      </c>
      <c r="D55" s="17" t="e">
        <v>#N/A</v>
      </c>
      <c r="E55" s="5" t="e">
        <v>#REF!</v>
      </c>
      <c r="F55" s="14" t="e">
        <v>#N/A</v>
      </c>
      <c r="G55" s="14" t="e">
        <v>#N/A</v>
      </c>
      <c r="H55" s="14" t="e">
        <v>#N/A</v>
      </c>
      <c r="I55" s="14" t="e">
        <v>#N/A</v>
      </c>
      <c r="J55" s="28" t="e">
        <v>#N/A</v>
      </c>
      <c r="K55" s="36" t="e">
        <v>#N/A</v>
      </c>
      <c r="L55" s="36" t="e">
        <v>#N/A</v>
      </c>
      <c r="M55" s="36" t="e">
        <v>#N/A</v>
      </c>
      <c r="N55" s="36" t="e">
        <v>#N/A</v>
      </c>
      <c r="P55" s="25">
        <v>1844.8937099999996</v>
      </c>
      <c r="Q55" s="32" t="e">
        <v>#N/A</v>
      </c>
      <c r="S55" s="47" t="e">
        <v>#N/A</v>
      </c>
      <c r="T55" s="47" t="e">
        <v>#N/A</v>
      </c>
      <c r="V55" s="7">
        <v>66.5</v>
      </c>
      <c r="W55" s="7">
        <v>25</v>
      </c>
      <c r="X55" s="7">
        <v>4.5</v>
      </c>
      <c r="Y55" s="7">
        <v>2400</v>
      </c>
      <c r="Z55" s="28">
        <v>7.4812500000000001E-3</v>
      </c>
      <c r="AB55" s="7"/>
      <c r="AC55" s="7"/>
      <c r="AD55" s="7"/>
      <c r="AE55" s="7"/>
      <c r="AF55" s="7"/>
      <c r="AG55" s="7"/>
      <c r="AH55" s="7"/>
      <c r="AI55" s="7"/>
      <c r="AJ55" s="7"/>
    </row>
    <row r="56" spans="2:36">
      <c r="B56" s="5" t="s">
        <v>126</v>
      </c>
      <c r="C56" s="2">
        <v>92</v>
      </c>
      <c r="D56" s="17">
        <v>0.96199999999999997</v>
      </c>
      <c r="E56" s="5" t="e">
        <v>#REF!</v>
      </c>
      <c r="F56" s="14">
        <v>25</v>
      </c>
      <c r="G56" s="14">
        <v>22</v>
      </c>
      <c r="H56" s="14">
        <v>11</v>
      </c>
      <c r="I56" s="14">
        <v>962</v>
      </c>
      <c r="J56" s="28">
        <v>6.0499999999999998E-3</v>
      </c>
      <c r="K56" s="36">
        <v>9.8425250000000002</v>
      </c>
      <c r="L56" s="36">
        <v>8.661422</v>
      </c>
      <c r="M56" s="36">
        <v>4.330711</v>
      </c>
      <c r="N56" s="36">
        <v>0.96199999999999997</v>
      </c>
      <c r="P56" s="25">
        <v>885.49457951999989</v>
      </c>
      <c r="Q56" s="32">
        <v>-8.6398519256291106E-2</v>
      </c>
      <c r="S56" s="47">
        <v>1.5685185185185184</v>
      </c>
      <c r="T56" s="47">
        <v>-0.60651851851851846</v>
      </c>
      <c r="V56" s="7">
        <v>25</v>
      </c>
      <c r="W56" s="7">
        <v>21</v>
      </c>
      <c r="X56" s="7">
        <v>12</v>
      </c>
      <c r="Y56" s="7">
        <v>740</v>
      </c>
      <c r="Z56" s="28">
        <v>6.3E-3</v>
      </c>
      <c r="AB56" s="7">
        <v>25</v>
      </c>
      <c r="AC56" s="7">
        <v>21</v>
      </c>
      <c r="AD56" s="7">
        <v>10</v>
      </c>
      <c r="AE56" s="7">
        <v>920</v>
      </c>
      <c r="AF56" s="7"/>
      <c r="AG56" s="7">
        <v>25</v>
      </c>
      <c r="AH56" s="7">
        <v>20</v>
      </c>
      <c r="AI56" s="7">
        <v>12</v>
      </c>
      <c r="AJ56" s="7">
        <v>680</v>
      </c>
    </row>
    <row r="57" spans="2:36">
      <c r="B57" s="5" t="s">
        <v>127</v>
      </c>
      <c r="C57" s="2">
        <v>23</v>
      </c>
      <c r="D57" s="17">
        <v>0.71</v>
      </c>
      <c r="E57" s="5" t="e">
        <v>#REF!</v>
      </c>
      <c r="F57" s="14">
        <v>21.5</v>
      </c>
      <c r="G57" s="14">
        <v>19</v>
      </c>
      <c r="H57" s="14">
        <v>13.5</v>
      </c>
      <c r="I57" s="14">
        <v>710</v>
      </c>
      <c r="J57" s="28">
        <v>5.5147499999999997E-3</v>
      </c>
      <c r="K57" s="36">
        <v>8.4645714999999999</v>
      </c>
      <c r="L57" s="36">
        <v>7.4803190000000006</v>
      </c>
      <c r="M57" s="36">
        <v>5.3149635000000002</v>
      </c>
      <c r="N57" s="36">
        <v>0.71</v>
      </c>
      <c r="P57" s="25">
        <v>737.1058028651853</v>
      </c>
      <c r="Q57" s="32">
        <v>3.6773286494046063E-2</v>
      </c>
      <c r="S57" s="47">
        <v>1.4297499999999999</v>
      </c>
      <c r="T57" s="47">
        <v>-0.71974999999999989</v>
      </c>
      <c r="V57" s="7">
        <v>20</v>
      </c>
      <c r="W57" s="7">
        <v>16.5</v>
      </c>
      <c r="X57" s="7">
        <v>15.5</v>
      </c>
      <c r="Y57" s="7">
        <v>540</v>
      </c>
      <c r="Z57" s="28">
        <v>5.1149999999999998E-3</v>
      </c>
      <c r="AB57" s="7"/>
      <c r="AC57" s="7"/>
      <c r="AD57" s="7"/>
      <c r="AE57" s="7"/>
      <c r="AF57" s="7"/>
      <c r="AG57" s="7"/>
      <c r="AH57" s="7"/>
      <c r="AI57" s="7"/>
      <c r="AJ57" s="7"/>
    </row>
    <row r="58" spans="2:36">
      <c r="B58" s="5" t="s">
        <v>128</v>
      </c>
      <c r="C58" s="2">
        <v>3</v>
      </c>
      <c r="D58" s="17">
        <v>0.44</v>
      </c>
      <c r="E58" s="5" t="e">
        <v>#REF!</v>
      </c>
      <c r="F58" s="14">
        <v>38</v>
      </c>
      <c r="G58" s="14">
        <v>13</v>
      </c>
      <c r="H58" s="14">
        <v>7</v>
      </c>
      <c r="I58" s="14">
        <v>440</v>
      </c>
      <c r="J58" s="28">
        <v>3.4580000000000001E-3</v>
      </c>
      <c r="K58" s="36">
        <v>14.960638000000001</v>
      </c>
      <c r="L58" s="36">
        <v>5.1181130000000001</v>
      </c>
      <c r="M58" s="36">
        <v>2.7559070000000001</v>
      </c>
      <c r="N58" s="36">
        <v>0.44</v>
      </c>
      <c r="P58" s="25">
        <v>287.35574400000002</v>
      </c>
      <c r="Q58" s="32">
        <v>-0.53120307906564757</v>
      </c>
      <c r="S58" s="47">
        <v>0.89651851851851849</v>
      </c>
      <c r="T58" s="47">
        <v>-0.45651851851851849</v>
      </c>
      <c r="V58" s="7">
        <v>39</v>
      </c>
      <c r="W58" s="7">
        <v>13</v>
      </c>
      <c r="X58" s="7">
        <v>7</v>
      </c>
      <c r="Y58" s="7">
        <v>450</v>
      </c>
      <c r="Z58" s="28">
        <v>3.5490000000000001E-3</v>
      </c>
      <c r="AB58" s="7"/>
      <c r="AC58" s="7"/>
      <c r="AD58" s="7"/>
      <c r="AE58" s="7"/>
      <c r="AF58" s="7"/>
      <c r="AG58" s="7">
        <v>37.5</v>
      </c>
      <c r="AH58" s="7">
        <v>13</v>
      </c>
      <c r="AI58" s="7">
        <v>7</v>
      </c>
      <c r="AJ58" s="7">
        <v>445</v>
      </c>
    </row>
    <row r="59" spans="2:36">
      <c r="B59" s="5" t="s">
        <v>129</v>
      </c>
      <c r="C59" s="2">
        <v>16</v>
      </c>
      <c r="D59" s="17">
        <v>0.43</v>
      </c>
      <c r="E59" s="5" t="e">
        <v>#REF!</v>
      </c>
      <c r="F59" s="14">
        <v>38</v>
      </c>
      <c r="G59" s="14">
        <v>13</v>
      </c>
      <c r="H59" s="14">
        <v>7</v>
      </c>
      <c r="I59" s="14">
        <v>430</v>
      </c>
      <c r="J59" s="28">
        <v>3.4580000000000001E-3</v>
      </c>
      <c r="K59" s="36">
        <v>14.960638000000001</v>
      </c>
      <c r="L59" s="36">
        <v>5.1181130000000001</v>
      </c>
      <c r="M59" s="36">
        <v>2.7559070000000001</v>
      </c>
      <c r="N59" s="36">
        <v>0.43</v>
      </c>
      <c r="P59" s="25">
        <v>269.39600999999993</v>
      </c>
      <c r="Q59" s="32">
        <v>-0.59616320969267556</v>
      </c>
      <c r="S59" s="47">
        <v>0.89651851851851849</v>
      </c>
      <c r="T59" s="47">
        <v>-0.4665185185185185</v>
      </c>
      <c r="V59" s="7">
        <v>37.5</v>
      </c>
      <c r="W59" s="7">
        <v>13</v>
      </c>
      <c r="X59" s="7">
        <v>7</v>
      </c>
      <c r="Y59" s="7">
        <v>430</v>
      </c>
      <c r="Z59" s="28">
        <v>3.4125000000000002E-3</v>
      </c>
      <c r="AB59" s="7">
        <v>37.5</v>
      </c>
      <c r="AC59" s="7">
        <v>13</v>
      </c>
      <c r="AD59" s="7">
        <v>7</v>
      </c>
      <c r="AE59" s="7">
        <v>430</v>
      </c>
      <c r="AF59" s="7"/>
      <c r="AG59" s="7">
        <v>38</v>
      </c>
      <c r="AH59" s="7">
        <v>13</v>
      </c>
      <c r="AI59" s="7">
        <v>7</v>
      </c>
      <c r="AJ59" s="7">
        <v>420</v>
      </c>
    </row>
    <row r="60" spans="2:36">
      <c r="B60" s="5" t="s">
        <v>133</v>
      </c>
      <c r="C60" s="2">
        <v>22</v>
      </c>
      <c r="D60" s="17">
        <v>22</v>
      </c>
      <c r="E60" s="5" t="e">
        <v>#REF!</v>
      </c>
      <c r="F60" s="14">
        <v>156</v>
      </c>
      <c r="G60" s="14">
        <v>68</v>
      </c>
      <c r="H60" s="14">
        <v>5</v>
      </c>
      <c r="I60" s="14">
        <v>22000</v>
      </c>
      <c r="J60" s="28">
        <v>5.3039999999999997E-2</v>
      </c>
      <c r="K60" s="36">
        <v>61.417356000000005</v>
      </c>
      <c r="L60" s="36">
        <v>26.771668000000002</v>
      </c>
      <c r="M60" s="36">
        <v>1.9685050000000002</v>
      </c>
      <c r="N60" s="36">
        <v>22</v>
      </c>
      <c r="P60" s="25">
        <v>18573.125058800004</v>
      </c>
      <c r="Q60" s="32">
        <v>-0.18450718068989322</v>
      </c>
      <c r="S60" s="47">
        <v>13.751111111111111</v>
      </c>
      <c r="T60" s="47">
        <v>8.2488888888888887</v>
      </c>
      <c r="V60" s="7">
        <v>168</v>
      </c>
      <c r="W60" s="7">
        <v>79</v>
      </c>
      <c r="X60" s="7">
        <v>7.5</v>
      </c>
      <c r="Y60" s="7">
        <v>24700</v>
      </c>
      <c r="Z60" s="28">
        <v>9.9540000000000003E-2</v>
      </c>
      <c r="AB60" s="7"/>
      <c r="AC60" s="7"/>
      <c r="AD60" s="7"/>
      <c r="AE60" s="7"/>
      <c r="AF60" s="7"/>
      <c r="AG60" s="7"/>
      <c r="AH60" s="7"/>
      <c r="AI60" s="7"/>
      <c r="AJ60" s="7"/>
    </row>
    <row r="61" spans="2:36">
      <c r="B61" s="5" t="s">
        <v>134</v>
      </c>
      <c r="C61" s="2">
        <v>74</v>
      </c>
      <c r="D61" s="17">
        <v>9.43</v>
      </c>
      <c r="E61" s="5" t="e">
        <v>#REF!</v>
      </c>
      <c r="F61" s="14">
        <v>103</v>
      </c>
      <c r="G61" s="14">
        <v>55.5</v>
      </c>
      <c r="H61" s="14">
        <v>4.5</v>
      </c>
      <c r="I61" s="14">
        <v>9430</v>
      </c>
      <c r="J61" s="28">
        <v>2.5724250000000001E-2</v>
      </c>
      <c r="K61" s="36">
        <v>40.551203000000001</v>
      </c>
      <c r="L61" s="36">
        <v>21.850405500000001</v>
      </c>
      <c r="M61" s="36">
        <v>1.7716545000000001</v>
      </c>
      <c r="N61" s="36">
        <v>9.43</v>
      </c>
      <c r="P61" s="25">
        <v>6979.9580870790614</v>
      </c>
      <c r="Q61" s="32">
        <v>-0.351010977767378</v>
      </c>
      <c r="S61" s="47">
        <v>6.6692499999999999</v>
      </c>
      <c r="T61" s="47">
        <v>2.7607499999999998</v>
      </c>
      <c r="V61" s="7">
        <v>105</v>
      </c>
      <c r="W61" s="7">
        <v>56</v>
      </c>
      <c r="X61" s="7">
        <v>7</v>
      </c>
      <c r="Y61" s="7">
        <v>9800</v>
      </c>
      <c r="Z61" s="28">
        <v>4.1160000000000002E-2</v>
      </c>
      <c r="AB61" s="7">
        <v>101</v>
      </c>
      <c r="AC61" s="7">
        <v>55</v>
      </c>
      <c r="AD61" s="7">
        <v>3.5</v>
      </c>
      <c r="AE61" s="7">
        <v>9600</v>
      </c>
      <c r="AF61" s="7"/>
      <c r="AG61" s="7"/>
      <c r="AH61" s="7"/>
      <c r="AI61" s="7"/>
      <c r="AJ61" s="7"/>
    </row>
    <row r="62" spans="2:36">
      <c r="B62" s="13" t="s">
        <v>136</v>
      </c>
      <c r="C62" s="2">
        <v>5</v>
      </c>
      <c r="D62" s="17">
        <v>1.0149999999999999</v>
      </c>
      <c r="E62" s="5" t="e">
        <v>#REF!</v>
      </c>
      <c r="F62" s="14">
        <v>51</v>
      </c>
      <c r="G62" s="14">
        <v>17</v>
      </c>
      <c r="H62" s="14">
        <v>3.5</v>
      </c>
      <c r="I62" s="14">
        <v>1015</v>
      </c>
      <c r="J62" s="28">
        <v>3.0344999999999999E-3</v>
      </c>
      <c r="K62" s="36">
        <v>20.078751</v>
      </c>
      <c r="L62" s="36">
        <v>6.6929170000000004</v>
      </c>
      <c r="M62" s="36">
        <v>1.3779535000000001</v>
      </c>
      <c r="N62" s="36">
        <v>1.0150000000000001</v>
      </c>
      <c r="P62" s="25" t="e">
        <v>#N/A</v>
      </c>
      <c r="Q62" s="32" t="e">
        <v>#N/A</v>
      </c>
      <c r="S62" s="47">
        <v>0.78672222222222221</v>
      </c>
      <c r="T62" s="47">
        <v>0.22827777777777769</v>
      </c>
      <c r="V62" s="14">
        <v>49.7</v>
      </c>
      <c r="W62" s="14">
        <v>15.5</v>
      </c>
      <c r="X62" s="14">
        <v>6.5</v>
      </c>
      <c r="Y62" s="14">
        <v>1500</v>
      </c>
      <c r="Z62" s="28">
        <v>5.0072750000000003E-3</v>
      </c>
      <c r="AB62" s="14"/>
      <c r="AC62" s="14"/>
      <c r="AD62" s="14"/>
      <c r="AE62" s="14"/>
      <c r="AF62" s="14"/>
      <c r="AG62" s="14"/>
      <c r="AH62" s="14"/>
      <c r="AI62" s="14"/>
      <c r="AJ62" s="14"/>
    </row>
    <row r="63" spans="2:36">
      <c r="B63" s="5" t="s">
        <v>137</v>
      </c>
      <c r="C63" s="2">
        <v>45</v>
      </c>
      <c r="D63" s="17">
        <v>5.83</v>
      </c>
      <c r="E63" s="5" t="e">
        <v>#REF!</v>
      </c>
      <c r="F63" s="14">
        <v>95</v>
      </c>
      <c r="G63" s="14">
        <v>34.5</v>
      </c>
      <c r="H63" s="14">
        <v>5</v>
      </c>
      <c r="I63" s="14">
        <v>5830</v>
      </c>
      <c r="J63" s="28">
        <v>1.6387499999999999E-2</v>
      </c>
      <c r="K63" s="36">
        <v>37.401595</v>
      </c>
      <c r="L63" s="36">
        <v>13.582684500000001</v>
      </c>
      <c r="M63" s="36">
        <v>1.9685050000000002</v>
      </c>
      <c r="N63" s="36">
        <v>5.83</v>
      </c>
      <c r="P63" s="25">
        <v>7140.658329727944</v>
      </c>
      <c r="Q63" s="32">
        <v>0.18354866865305955</v>
      </c>
      <c r="S63" s="47">
        <v>4.2486111111111109</v>
      </c>
      <c r="T63" s="47">
        <v>1.5813888888888892</v>
      </c>
      <c r="V63" s="7">
        <v>95</v>
      </c>
      <c r="W63" s="7">
        <v>33</v>
      </c>
      <c r="X63" s="7">
        <v>8</v>
      </c>
      <c r="Y63" s="7">
        <v>6100</v>
      </c>
      <c r="Z63" s="28">
        <v>2.5080000000000002E-2</v>
      </c>
      <c r="AB63" s="7">
        <v>94.5</v>
      </c>
      <c r="AC63" s="7">
        <v>34</v>
      </c>
      <c r="AD63" s="7">
        <v>5.5</v>
      </c>
      <c r="AE63" s="7">
        <v>5920</v>
      </c>
      <c r="AF63" s="7"/>
      <c r="AG63" s="7"/>
      <c r="AH63" s="7"/>
      <c r="AI63" s="7"/>
      <c r="AJ63" s="7"/>
    </row>
    <row r="64" spans="2:36">
      <c r="B64" s="5" t="s">
        <v>138</v>
      </c>
      <c r="C64" s="2">
        <v>12</v>
      </c>
      <c r="D64" s="17">
        <v>18.690000000000001</v>
      </c>
      <c r="E64" s="5" t="e">
        <v>#REF!</v>
      </c>
      <c r="F64" s="14">
        <v>187</v>
      </c>
      <c r="G64" s="14">
        <v>35</v>
      </c>
      <c r="H64" s="14">
        <v>6</v>
      </c>
      <c r="I64" s="14">
        <v>18690</v>
      </c>
      <c r="J64" s="28">
        <v>3.9269999999999999E-2</v>
      </c>
      <c r="K64" s="36">
        <v>73.622087000000008</v>
      </c>
      <c r="L64" s="36">
        <v>13.779535000000001</v>
      </c>
      <c r="M64" s="36">
        <v>2.362206</v>
      </c>
      <c r="N64" s="36">
        <v>18.690000000000001</v>
      </c>
      <c r="P64" s="25">
        <v>3178.4217057576179</v>
      </c>
      <c r="Q64" s="32">
        <v>-4.8802769834297361</v>
      </c>
      <c r="S64" s="47">
        <v>10.181111111111111</v>
      </c>
      <c r="T64" s="47">
        <v>8.5088888888888903</v>
      </c>
      <c r="V64" s="7">
        <v>187</v>
      </c>
      <c r="W64" s="7">
        <v>40</v>
      </c>
      <c r="X64" s="7">
        <v>11</v>
      </c>
      <c r="Y64" s="7">
        <v>22000</v>
      </c>
      <c r="Z64" s="28">
        <v>8.2280000000000006E-2</v>
      </c>
      <c r="AB64" s="7">
        <v>187</v>
      </c>
      <c r="AC64" s="7">
        <v>35</v>
      </c>
      <c r="AD64" s="7">
        <v>6</v>
      </c>
      <c r="AE64" s="7">
        <v>18690</v>
      </c>
      <c r="AF64" s="7"/>
      <c r="AG64" s="7"/>
      <c r="AH64" s="7"/>
      <c r="AI64" s="7"/>
      <c r="AJ64" s="7"/>
    </row>
    <row r="65" spans="2:36">
      <c r="B65" s="5" t="s">
        <v>140</v>
      </c>
      <c r="C65" s="2">
        <v>115</v>
      </c>
      <c r="D65" s="17">
        <v>5.66</v>
      </c>
      <c r="E65" s="5" t="e">
        <v>#REF!</v>
      </c>
      <c r="F65" s="14">
        <v>94</v>
      </c>
      <c r="G65" s="14">
        <v>26</v>
      </c>
      <c r="H65" s="14">
        <v>5.5</v>
      </c>
      <c r="I65" s="14">
        <v>5660</v>
      </c>
      <c r="J65" s="28">
        <v>1.3442000000000001E-2</v>
      </c>
      <c r="K65" s="36">
        <v>37.007894</v>
      </c>
      <c r="L65" s="36">
        <v>10.236226</v>
      </c>
      <c r="M65" s="36">
        <v>2.1653555</v>
      </c>
      <c r="N65" s="36">
        <v>5.66</v>
      </c>
      <c r="P65" s="25">
        <v>6381.0479074116665</v>
      </c>
      <c r="Q65" s="32">
        <v>0.11299835354223879</v>
      </c>
      <c r="S65" s="47">
        <v>3.484962962962963</v>
      </c>
      <c r="T65" s="47">
        <v>2.1750370370370371</v>
      </c>
      <c r="V65" s="7">
        <v>91</v>
      </c>
      <c r="W65" s="7">
        <v>25</v>
      </c>
      <c r="X65" s="7">
        <v>8</v>
      </c>
      <c r="Y65" s="7">
        <v>5700</v>
      </c>
      <c r="Z65" s="28">
        <v>1.8200000000000001E-2</v>
      </c>
      <c r="AB65" s="7">
        <v>84</v>
      </c>
      <c r="AC65" s="7">
        <v>26</v>
      </c>
      <c r="AD65" s="7">
        <v>5</v>
      </c>
      <c r="AE65" s="7">
        <v>5765</v>
      </c>
      <c r="AF65" s="7"/>
      <c r="AG65" s="7">
        <v>91</v>
      </c>
      <c r="AH65" s="7">
        <v>25</v>
      </c>
      <c r="AI65" s="7">
        <v>8</v>
      </c>
      <c r="AJ65" s="7">
        <v>5880</v>
      </c>
    </row>
    <row r="66" spans="2:36">
      <c r="B66" s="5" t="s">
        <v>443</v>
      </c>
      <c r="C66" s="2" t="e">
        <v>#N/A</v>
      </c>
      <c r="D66" s="17" t="e">
        <v>#N/A</v>
      </c>
      <c r="E66" s="5" t="e">
        <v>#REF!</v>
      </c>
      <c r="F66" s="14" t="e">
        <v>#N/A</v>
      </c>
      <c r="G66" s="14" t="e">
        <v>#N/A</v>
      </c>
      <c r="H66" s="14" t="e">
        <v>#N/A</v>
      </c>
      <c r="I66" s="14" t="e">
        <v>#N/A</v>
      </c>
      <c r="J66" s="28" t="e">
        <v>#N/A</v>
      </c>
      <c r="K66" s="36" t="e">
        <v>#N/A</v>
      </c>
      <c r="L66" s="36" t="e">
        <v>#N/A</v>
      </c>
      <c r="M66" s="36" t="e">
        <v>#N/A</v>
      </c>
      <c r="N66" s="36" t="e">
        <v>#N/A</v>
      </c>
      <c r="P66" s="25">
        <v>1898.6596999999999</v>
      </c>
      <c r="Q66" s="32" t="e">
        <v>#N/A</v>
      </c>
      <c r="S66" s="47" t="e">
        <v>#N/A</v>
      </c>
      <c r="T66" s="47" t="e">
        <v>#N/A</v>
      </c>
      <c r="V66" s="7">
        <v>56.5</v>
      </c>
      <c r="W66" s="7">
        <v>15.5</v>
      </c>
      <c r="X66" s="7">
        <v>8</v>
      </c>
      <c r="Y66" s="7">
        <v>1400</v>
      </c>
      <c r="Z66" s="28">
        <v>7.0060000000000001E-3</v>
      </c>
      <c r="AB66" s="7"/>
      <c r="AC66" s="7"/>
      <c r="AD66" s="7"/>
      <c r="AE66" s="7"/>
      <c r="AF66" s="7"/>
      <c r="AG66" s="7">
        <v>58</v>
      </c>
      <c r="AH66" s="7">
        <v>16</v>
      </c>
      <c r="AI66" s="7">
        <v>7</v>
      </c>
      <c r="AJ66" s="7">
        <v>1365</v>
      </c>
    </row>
    <row r="67" spans="2:36">
      <c r="B67" s="5" t="s">
        <v>142</v>
      </c>
      <c r="C67" s="2">
        <v>29</v>
      </c>
      <c r="D67" s="17">
        <v>1.59</v>
      </c>
      <c r="E67" s="5" t="e">
        <v>#REF!</v>
      </c>
      <c r="F67" s="14">
        <v>24</v>
      </c>
      <c r="G67" s="14">
        <v>18</v>
      </c>
      <c r="H67" s="14">
        <v>10</v>
      </c>
      <c r="I67" s="14">
        <v>1590</v>
      </c>
      <c r="J67" s="28">
        <v>4.3200000000000001E-3</v>
      </c>
      <c r="K67" s="36">
        <v>9.4488240000000001</v>
      </c>
      <c r="L67" s="36">
        <v>7.0866180000000005</v>
      </c>
      <c r="M67" s="36">
        <v>3.9370100000000003</v>
      </c>
      <c r="N67" s="36">
        <v>1.59</v>
      </c>
      <c r="P67" s="25">
        <v>1442.9062824999999</v>
      </c>
      <c r="Q67" s="32">
        <v>-0.10194266896193943</v>
      </c>
      <c r="S67" s="47">
        <v>1.1200000000000001</v>
      </c>
      <c r="T67" s="47">
        <v>0.47</v>
      </c>
      <c r="V67" s="7">
        <v>25.5</v>
      </c>
      <c r="W67" s="7">
        <v>16</v>
      </c>
      <c r="X67" s="7">
        <v>14.5</v>
      </c>
      <c r="Y67" s="7">
        <v>1650</v>
      </c>
      <c r="Z67" s="28">
        <v>5.9160000000000003E-3</v>
      </c>
      <c r="AB67" s="7"/>
      <c r="AC67" s="7"/>
      <c r="AD67" s="7"/>
      <c r="AE67" s="7"/>
      <c r="AF67" s="7"/>
      <c r="AG67" s="7">
        <v>26</v>
      </c>
      <c r="AH67" s="7">
        <v>16</v>
      </c>
      <c r="AI67" s="7">
        <v>14</v>
      </c>
      <c r="AJ67" s="7">
        <v>1650</v>
      </c>
    </row>
    <row r="68" spans="2:36">
      <c r="B68" s="3" t="s">
        <v>143</v>
      </c>
      <c r="C68" s="2">
        <v>56</v>
      </c>
      <c r="D68" s="17">
        <v>1.64</v>
      </c>
      <c r="E68" s="5" t="e">
        <v>#REF!</v>
      </c>
      <c r="F68" s="14">
        <v>23.5</v>
      </c>
      <c r="G68" s="14">
        <v>20</v>
      </c>
      <c r="H68" s="14">
        <v>10.5</v>
      </c>
      <c r="I68" s="14">
        <v>1640</v>
      </c>
      <c r="J68" s="28">
        <v>4.9350000000000002E-3</v>
      </c>
      <c r="K68" s="36">
        <v>9.2519735000000001</v>
      </c>
      <c r="L68" s="36">
        <v>7.8740200000000007</v>
      </c>
      <c r="M68" s="36">
        <v>4.1338604999999999</v>
      </c>
      <c r="N68" s="36">
        <v>1.6400000000000001</v>
      </c>
      <c r="P68" s="25">
        <v>1539.0564139999999</v>
      </c>
      <c r="Q68" s="32">
        <v>-6.5587970058646666E-2</v>
      </c>
      <c r="S68" s="47">
        <v>1.2794444444444446</v>
      </c>
      <c r="T68" s="47">
        <v>0.3605555555555553</v>
      </c>
      <c r="V68" s="14">
        <v>22.5</v>
      </c>
      <c r="W68" s="14">
        <v>18.5</v>
      </c>
      <c r="X68" s="14">
        <v>14</v>
      </c>
      <c r="Y68" s="14">
        <v>1500</v>
      </c>
      <c r="Z68" s="28">
        <v>5.8275000000000002E-3</v>
      </c>
      <c r="AB68" s="14"/>
      <c r="AC68" s="14"/>
      <c r="AD68" s="14"/>
      <c r="AE68" s="14"/>
      <c r="AF68" s="14"/>
      <c r="AG68" s="14"/>
      <c r="AH68" s="14"/>
      <c r="AI68" s="14"/>
      <c r="AJ68" s="14"/>
    </row>
    <row r="69" spans="2:36">
      <c r="B69" s="3" t="s">
        <v>144</v>
      </c>
      <c r="C69" s="2">
        <v>29</v>
      </c>
      <c r="D69" s="17">
        <v>3.3050000000000002</v>
      </c>
      <c r="E69" s="5" t="e">
        <v>#REF!</v>
      </c>
      <c r="F69" s="14">
        <v>24</v>
      </c>
      <c r="G69" s="14">
        <v>20</v>
      </c>
      <c r="H69" s="14">
        <v>21.5</v>
      </c>
      <c r="I69" s="14">
        <v>3305</v>
      </c>
      <c r="J69" s="28">
        <v>1.0319999999999999E-2</v>
      </c>
      <c r="K69" s="36">
        <v>9.4488240000000001</v>
      </c>
      <c r="L69" s="36">
        <v>7.8740200000000007</v>
      </c>
      <c r="M69" s="36">
        <v>8.4645714999999999</v>
      </c>
      <c r="N69" s="36">
        <v>3.3050000000000002</v>
      </c>
      <c r="P69" s="25">
        <v>3127.0688279999999</v>
      </c>
      <c r="Q69" s="32">
        <v>-5.6900305617449638E-2</v>
      </c>
      <c r="S69" s="47">
        <v>2.6755555555555555</v>
      </c>
      <c r="T69" s="47">
        <v>0.6294444444444447</v>
      </c>
      <c r="V69" s="14">
        <v>25.5</v>
      </c>
      <c r="W69" s="14">
        <v>19</v>
      </c>
      <c r="X69" s="14">
        <v>23.5</v>
      </c>
      <c r="Y69" s="14">
        <v>3000</v>
      </c>
      <c r="Z69" s="28">
        <v>1.138575E-2</v>
      </c>
      <c r="AB69" s="14"/>
      <c r="AC69" s="14"/>
      <c r="AD69" s="14"/>
      <c r="AE69" s="14"/>
      <c r="AF69" s="14"/>
      <c r="AG69" s="14"/>
      <c r="AH69" s="14"/>
      <c r="AI69" s="14"/>
      <c r="AJ69" s="14"/>
    </row>
    <row r="70" spans="2:36">
      <c r="B70" s="5" t="s">
        <v>444</v>
      </c>
      <c r="C70" s="2">
        <v>2</v>
      </c>
      <c r="D70" s="17" t="e">
        <v>#N/A</v>
      </c>
      <c r="E70" s="5" t="e">
        <v>#REF!</v>
      </c>
      <c r="F70" s="14" t="e">
        <v>#N/A</v>
      </c>
      <c r="G70" s="14" t="e">
        <v>#N/A</v>
      </c>
      <c r="H70" s="14" t="e">
        <v>#N/A</v>
      </c>
      <c r="I70" s="14" t="e">
        <v>#N/A</v>
      </c>
      <c r="J70" s="28" t="e">
        <v>#N/A</v>
      </c>
      <c r="K70" s="36" t="e">
        <v>#N/A</v>
      </c>
      <c r="L70" s="36" t="e">
        <v>#N/A</v>
      </c>
      <c r="M70" s="36" t="e">
        <v>#N/A</v>
      </c>
      <c r="N70" s="36" t="e">
        <v>#N/A</v>
      </c>
      <c r="P70" s="25">
        <v>14533.894301648279</v>
      </c>
      <c r="Q70" s="32" t="e">
        <v>#N/A</v>
      </c>
      <c r="S70" s="47" t="e">
        <v>#N/A</v>
      </c>
      <c r="T70" s="47" t="e">
        <v>#N/A</v>
      </c>
      <c r="V70" s="7">
        <v>87</v>
      </c>
      <c r="W70" s="7">
        <v>39</v>
      </c>
      <c r="X70" s="7">
        <v>14.5</v>
      </c>
      <c r="Y70" s="7">
        <v>18300</v>
      </c>
      <c r="Z70" s="28">
        <v>4.9198499999999999E-2</v>
      </c>
      <c r="AB70" s="7">
        <v>83</v>
      </c>
      <c r="AC70" s="7">
        <v>34</v>
      </c>
      <c r="AD70" s="7">
        <v>9</v>
      </c>
      <c r="AE70" s="7">
        <v>14320</v>
      </c>
      <c r="AF70" s="7"/>
      <c r="AG70" s="7"/>
      <c r="AH70" s="7"/>
      <c r="AI70" s="7"/>
      <c r="AJ70" s="7"/>
    </row>
    <row r="71" spans="2:36">
      <c r="B71" s="5" t="s">
        <v>445</v>
      </c>
      <c r="C71" s="2" t="e">
        <v>#N/A</v>
      </c>
      <c r="D71" s="17" t="e">
        <v>#N/A</v>
      </c>
      <c r="E71" s="5" t="e">
        <v>#REF!</v>
      </c>
      <c r="F71" s="14" t="e">
        <v>#N/A</v>
      </c>
      <c r="G71" s="14" t="e">
        <v>#N/A</v>
      </c>
      <c r="H71" s="14" t="e">
        <v>#N/A</v>
      </c>
      <c r="I71" s="14" t="e">
        <v>#N/A</v>
      </c>
      <c r="J71" s="28" t="e">
        <v>#N/A</v>
      </c>
      <c r="K71" s="36" t="e">
        <v>#N/A</v>
      </c>
      <c r="L71" s="36" t="e">
        <v>#N/A</v>
      </c>
      <c r="M71" s="36" t="e">
        <v>#N/A</v>
      </c>
      <c r="N71" s="36" t="e">
        <v>#N/A</v>
      </c>
      <c r="P71" s="25">
        <v>19020.411952959839</v>
      </c>
      <c r="Q71" s="32" t="e">
        <v>#N/A</v>
      </c>
      <c r="S71" s="47" t="e">
        <v>#N/A</v>
      </c>
      <c r="T71" s="47" t="e">
        <v>#N/A</v>
      </c>
      <c r="V71" s="7">
        <v>134</v>
      </c>
      <c r="W71" s="7">
        <v>44.5</v>
      </c>
      <c r="X71" s="7">
        <v>11.5</v>
      </c>
      <c r="Y71" s="7">
        <v>22800</v>
      </c>
      <c r="Z71" s="28">
        <v>6.8574499999999997E-2</v>
      </c>
      <c r="AB71" s="7"/>
      <c r="AC71" s="7"/>
      <c r="AD71" s="7"/>
      <c r="AE71" s="7"/>
      <c r="AF71" s="7"/>
      <c r="AG71" s="7"/>
      <c r="AH71" s="7"/>
      <c r="AI71" s="7"/>
      <c r="AJ71" s="7"/>
    </row>
    <row r="72" spans="2:36">
      <c r="B72" s="5" t="s">
        <v>446</v>
      </c>
      <c r="C72" s="2" t="e">
        <v>#N/A</v>
      </c>
      <c r="D72" s="17" t="e">
        <v>#N/A</v>
      </c>
      <c r="E72" s="5" t="e">
        <v>#REF!</v>
      </c>
      <c r="F72" s="14" t="e">
        <v>#N/A</v>
      </c>
      <c r="G72" s="14" t="e">
        <v>#N/A</v>
      </c>
      <c r="H72" s="14" t="e">
        <v>#N/A</v>
      </c>
      <c r="I72" s="14" t="e">
        <v>#N/A</v>
      </c>
      <c r="J72" s="28" t="e">
        <v>#N/A</v>
      </c>
      <c r="K72" s="36" t="e">
        <v>#N/A</v>
      </c>
      <c r="L72" s="36" t="e">
        <v>#N/A</v>
      </c>
      <c r="M72" s="36" t="e">
        <v>#N/A</v>
      </c>
      <c r="N72" s="36" t="e">
        <v>#N/A</v>
      </c>
      <c r="P72" s="25">
        <v>20101.230795745352</v>
      </c>
      <c r="Q72" s="32" t="e">
        <v>#N/A</v>
      </c>
      <c r="S72" s="47" t="e">
        <v>#N/A</v>
      </c>
      <c r="T72" s="47" t="e">
        <v>#N/A</v>
      </c>
      <c r="V72" s="7">
        <v>166</v>
      </c>
      <c r="W72" s="7">
        <v>36.5</v>
      </c>
      <c r="X72" s="7">
        <v>13</v>
      </c>
      <c r="Y72" s="7">
        <v>22500</v>
      </c>
      <c r="Z72" s="28">
        <v>7.8767000000000004E-2</v>
      </c>
      <c r="AB72" s="7"/>
      <c r="AC72" s="7"/>
      <c r="AD72" s="7"/>
      <c r="AE72" s="7"/>
      <c r="AF72" s="7"/>
      <c r="AG72" s="7"/>
      <c r="AH72" s="7"/>
      <c r="AI72" s="7"/>
      <c r="AJ72" s="7"/>
    </row>
    <row r="73" spans="2:36">
      <c r="B73" s="5" t="s">
        <v>146</v>
      </c>
      <c r="C73" s="2">
        <v>12</v>
      </c>
      <c r="D73" s="17">
        <v>24.48</v>
      </c>
      <c r="E73" s="5" t="e">
        <v>#REF!</v>
      </c>
      <c r="F73" s="14">
        <v>160</v>
      </c>
      <c r="G73" s="14">
        <v>33</v>
      </c>
      <c r="H73" s="14">
        <v>10</v>
      </c>
      <c r="I73" s="14">
        <v>24480</v>
      </c>
      <c r="J73" s="28">
        <v>5.28E-2</v>
      </c>
      <c r="K73" s="36">
        <v>62.992160000000005</v>
      </c>
      <c r="L73" s="36">
        <v>12.992133000000001</v>
      </c>
      <c r="M73" s="36">
        <v>3.9370100000000003</v>
      </c>
      <c r="N73" s="36">
        <v>24.48</v>
      </c>
      <c r="P73" s="25">
        <v>25312.099090365555</v>
      </c>
      <c r="Q73" s="32">
        <v>3.2873571148521352E-2</v>
      </c>
      <c r="S73" s="47">
        <v>13.688888888888888</v>
      </c>
      <c r="T73" s="47">
        <v>10.791111111111112</v>
      </c>
      <c r="V73" s="7">
        <v>164</v>
      </c>
      <c r="W73" s="7">
        <v>36.5</v>
      </c>
      <c r="X73" s="7">
        <v>13</v>
      </c>
      <c r="Y73" s="7">
        <v>27800</v>
      </c>
      <c r="Z73" s="28">
        <v>7.7817999999999998E-2</v>
      </c>
      <c r="AB73" s="7">
        <v>159</v>
      </c>
      <c r="AC73" s="7">
        <v>32.5</v>
      </c>
      <c r="AD73" s="7">
        <v>9.5</v>
      </c>
      <c r="AE73" s="7">
        <v>25750</v>
      </c>
      <c r="AF73" s="7"/>
      <c r="AG73" s="7"/>
      <c r="AH73" s="7"/>
      <c r="AI73" s="7"/>
      <c r="AJ73" s="7"/>
    </row>
    <row r="74" spans="2:36">
      <c r="B74" s="5" t="s">
        <v>147</v>
      </c>
      <c r="C74" s="2">
        <v>6</v>
      </c>
      <c r="D74" s="17">
        <v>20.37</v>
      </c>
      <c r="E74" s="5" t="e">
        <v>#REF!</v>
      </c>
      <c r="F74" s="14">
        <v>172</v>
      </c>
      <c r="G74" s="14">
        <v>33</v>
      </c>
      <c r="H74" s="14">
        <v>7</v>
      </c>
      <c r="I74" s="14">
        <v>20370</v>
      </c>
      <c r="J74" s="28">
        <v>3.9732000000000003E-2</v>
      </c>
      <c r="K74" s="36">
        <v>67.716571999999999</v>
      </c>
      <c r="L74" s="36">
        <v>12.992133000000001</v>
      </c>
      <c r="M74" s="36">
        <v>2.7559070000000001</v>
      </c>
      <c r="N74" s="36">
        <v>20.37</v>
      </c>
      <c r="P74" s="25">
        <v>20351.225598963283</v>
      </c>
      <c r="Q74" s="32">
        <v>-9.2251942987027144E-4</v>
      </c>
      <c r="S74" s="47">
        <v>10.300888888888888</v>
      </c>
      <c r="T74" s="47">
        <v>10.069111111111113</v>
      </c>
      <c r="V74" s="7">
        <v>172.5</v>
      </c>
      <c r="W74" s="7">
        <v>36.5</v>
      </c>
      <c r="X74" s="7">
        <v>11</v>
      </c>
      <c r="Y74" s="7">
        <v>22500</v>
      </c>
      <c r="Z74" s="28">
        <v>6.9258749999999994E-2</v>
      </c>
      <c r="AB74" s="7">
        <v>172</v>
      </c>
      <c r="AC74" s="7">
        <v>33</v>
      </c>
      <c r="AD74" s="7">
        <v>7</v>
      </c>
      <c r="AE74" s="7">
        <v>20370</v>
      </c>
      <c r="AF74" s="7"/>
      <c r="AG74" s="7"/>
      <c r="AH74" s="7"/>
      <c r="AI74" s="7"/>
      <c r="AJ74" s="7"/>
    </row>
    <row r="75" spans="2:36">
      <c r="B75" s="5" t="s">
        <v>148</v>
      </c>
      <c r="C75" s="2">
        <v>9</v>
      </c>
      <c r="D75" s="17">
        <v>32.5</v>
      </c>
      <c r="E75" s="5" t="e">
        <v>#REF!</v>
      </c>
      <c r="F75" s="14">
        <v>173</v>
      </c>
      <c r="G75" s="14">
        <v>37</v>
      </c>
      <c r="H75" s="14">
        <v>13.5</v>
      </c>
      <c r="I75" s="14">
        <v>32500</v>
      </c>
      <c r="J75" s="28">
        <v>8.6413500000000004E-2</v>
      </c>
      <c r="K75" s="36">
        <v>68.110273000000007</v>
      </c>
      <c r="L75" s="36">
        <v>14.566937000000001</v>
      </c>
      <c r="M75" s="36">
        <v>5.3149635000000002</v>
      </c>
      <c r="N75" s="36">
        <v>32.5</v>
      </c>
      <c r="P75" s="25">
        <v>30478.030471788152</v>
      </c>
      <c r="Q75" s="32">
        <v>-6.6341869763647462E-2</v>
      </c>
      <c r="S75" s="47">
        <v>22.403500000000001</v>
      </c>
      <c r="T75" s="47">
        <v>10.096499999999999</v>
      </c>
      <c r="V75" s="7">
        <v>172.3</v>
      </c>
      <c r="W75" s="7">
        <v>36.5</v>
      </c>
      <c r="X75" s="7">
        <v>13</v>
      </c>
      <c r="Y75" s="7">
        <v>35000</v>
      </c>
      <c r="Z75" s="28">
        <v>8.1756350000000005E-2</v>
      </c>
      <c r="AB75" s="7"/>
      <c r="AC75" s="7"/>
      <c r="AD75" s="7"/>
      <c r="AE75" s="7"/>
      <c r="AF75" s="7"/>
      <c r="AG75" s="7"/>
      <c r="AH75" s="7"/>
      <c r="AI75" s="7"/>
      <c r="AJ75" s="7"/>
    </row>
    <row r="76" spans="2:36">
      <c r="B76" s="5" t="s">
        <v>149</v>
      </c>
      <c r="C76" s="2">
        <v>146</v>
      </c>
      <c r="D76" s="17">
        <v>2.9449999999999998</v>
      </c>
      <c r="E76" s="5" t="e">
        <v>#REF!</v>
      </c>
      <c r="F76" s="14">
        <v>72</v>
      </c>
      <c r="G76" s="14">
        <v>17</v>
      </c>
      <c r="H76" s="14">
        <v>5.5</v>
      </c>
      <c r="I76" s="14">
        <v>2945</v>
      </c>
      <c r="J76" s="28">
        <v>6.7320000000000001E-3</v>
      </c>
      <c r="K76" s="36">
        <v>28.346472000000002</v>
      </c>
      <c r="L76" s="36">
        <v>6.6929170000000004</v>
      </c>
      <c r="M76" s="36">
        <v>2.1653555</v>
      </c>
      <c r="N76" s="36">
        <v>2.9449999999999998</v>
      </c>
      <c r="P76" s="25">
        <v>2966.9405766591499</v>
      </c>
      <c r="Q76" s="32">
        <v>7.3950172213612473E-3</v>
      </c>
      <c r="S76" s="47">
        <v>1.7453333333333332</v>
      </c>
      <c r="T76" s="47">
        <v>1.1996666666666667</v>
      </c>
      <c r="V76" s="7">
        <v>3</v>
      </c>
      <c r="W76" s="7">
        <v>16</v>
      </c>
      <c r="X76" s="7">
        <v>6</v>
      </c>
      <c r="Y76" s="7">
        <v>2900</v>
      </c>
      <c r="Z76" s="28">
        <v>2.8800000000000001E-4</v>
      </c>
      <c r="AB76" s="7">
        <v>71.5</v>
      </c>
      <c r="AC76" s="7">
        <v>16</v>
      </c>
      <c r="AD76" s="7">
        <v>6</v>
      </c>
      <c r="AE76" s="7">
        <v>2945</v>
      </c>
      <c r="AF76" s="7"/>
      <c r="AG76" s="7">
        <v>73</v>
      </c>
      <c r="AH76" s="7">
        <v>16</v>
      </c>
      <c r="AI76" s="7">
        <v>8</v>
      </c>
      <c r="AJ76" s="7">
        <v>2890</v>
      </c>
    </row>
    <row r="77" spans="2:36">
      <c r="B77" s="3" t="s">
        <v>152</v>
      </c>
      <c r="C77" s="2">
        <v>8</v>
      </c>
      <c r="D77" s="17">
        <v>6.8849999999999998</v>
      </c>
      <c r="E77" s="5" t="e">
        <v>#REF!</v>
      </c>
      <c r="F77" s="14">
        <v>98</v>
      </c>
      <c r="G77" s="14">
        <v>29</v>
      </c>
      <c r="H77" s="14">
        <v>8.5</v>
      </c>
      <c r="I77" s="14">
        <v>6885</v>
      </c>
      <c r="J77" s="28">
        <v>2.4157000000000001E-2</v>
      </c>
      <c r="K77" s="36">
        <v>38.582698000000001</v>
      </c>
      <c r="L77" s="36">
        <v>11.417329000000001</v>
      </c>
      <c r="M77" s="36">
        <v>3.3464585000000002</v>
      </c>
      <c r="N77" s="36">
        <v>6.8849999999999998</v>
      </c>
      <c r="P77" s="25">
        <v>7745.2138850269621</v>
      </c>
      <c r="Q77" s="32">
        <v>0.11106392900135741</v>
      </c>
      <c r="S77" s="47">
        <v>6.2629259259259253</v>
      </c>
      <c r="T77" s="47">
        <v>0.62207407407407445</v>
      </c>
      <c r="V77" s="14">
        <v>97</v>
      </c>
      <c r="W77" s="14">
        <v>24</v>
      </c>
      <c r="X77" s="14">
        <v>11.5</v>
      </c>
      <c r="Y77" s="14">
        <v>7600</v>
      </c>
      <c r="Z77" s="28">
        <v>2.6772000000000001E-2</v>
      </c>
      <c r="AB77" s="14">
        <v>98</v>
      </c>
      <c r="AC77" s="14">
        <v>29</v>
      </c>
      <c r="AD77" s="14">
        <v>8.5</v>
      </c>
      <c r="AE77" s="14">
        <v>6885</v>
      </c>
      <c r="AF77" s="14"/>
      <c r="AG77" s="14"/>
      <c r="AH77" s="14"/>
      <c r="AI77" s="14"/>
      <c r="AJ77" s="14"/>
    </row>
    <row r="78" spans="2:36">
      <c r="B78" s="3" t="s">
        <v>153</v>
      </c>
      <c r="C78" s="2">
        <v>1</v>
      </c>
      <c r="D78" s="17">
        <v>3.35</v>
      </c>
      <c r="E78" s="5" t="s">
        <v>447</v>
      </c>
      <c r="F78" s="14">
        <v>67</v>
      </c>
      <c r="G78" s="14">
        <v>17</v>
      </c>
      <c r="H78" s="14">
        <v>10</v>
      </c>
      <c r="I78" s="14">
        <v>3350</v>
      </c>
      <c r="J78" s="28">
        <v>1.1390000000000001E-2</v>
      </c>
      <c r="K78" s="36">
        <v>26.377967000000002</v>
      </c>
      <c r="L78" s="36">
        <v>6.6929170000000004</v>
      </c>
      <c r="M78" s="36">
        <v>3.9370100000000003</v>
      </c>
      <c r="N78" s="36">
        <v>3.35</v>
      </c>
      <c r="P78" s="25">
        <v>3848.2285430786342</v>
      </c>
      <c r="Q78" s="32">
        <v>0.12946958256279775</v>
      </c>
      <c r="S78" s="47">
        <v>2.952962962962963</v>
      </c>
      <c r="T78" s="47">
        <v>0.39703703703703708</v>
      </c>
      <c r="V78" s="14"/>
      <c r="W78" s="14"/>
      <c r="X78" s="14"/>
      <c r="Y78" s="14"/>
      <c r="Z78" s="28">
        <v>0</v>
      </c>
      <c r="AB78" s="14"/>
      <c r="AC78" s="14"/>
      <c r="AD78" s="14"/>
      <c r="AE78" s="14"/>
      <c r="AF78" s="14"/>
      <c r="AG78" s="14"/>
      <c r="AH78" s="14"/>
      <c r="AI78" s="14"/>
      <c r="AJ78" s="14"/>
    </row>
    <row r="79" spans="2:36">
      <c r="B79" s="2" t="s">
        <v>161</v>
      </c>
      <c r="C79" s="2">
        <v>17</v>
      </c>
      <c r="D79" s="17">
        <v>9.8000000000000007</v>
      </c>
      <c r="E79" s="5" t="e">
        <v>#REF!</v>
      </c>
      <c r="F79" s="14">
        <v>122</v>
      </c>
      <c r="G79" s="14">
        <v>45.5</v>
      </c>
      <c r="H79" s="14">
        <v>5.5</v>
      </c>
      <c r="I79" s="14">
        <v>9800</v>
      </c>
      <c r="J79" s="28">
        <v>3.0530499999999999E-2</v>
      </c>
      <c r="K79" s="36">
        <v>48.031522000000002</v>
      </c>
      <c r="L79" s="36">
        <v>17.9133955</v>
      </c>
      <c r="M79" s="36">
        <v>2.1653555</v>
      </c>
      <c r="N79" s="36">
        <v>9.8000000000000007</v>
      </c>
      <c r="P79" s="25">
        <v>5121.9593215884306</v>
      </c>
      <c r="Q79" s="32">
        <v>-0.91333030676253157</v>
      </c>
      <c r="S79" s="47">
        <v>7.9153148148148151</v>
      </c>
      <c r="T79" s="47">
        <v>1.8846851851851856</v>
      </c>
      <c r="V79" s="14">
        <v>122</v>
      </c>
      <c r="W79" s="14">
        <v>44</v>
      </c>
      <c r="X79" s="14">
        <v>7.5</v>
      </c>
      <c r="Y79" s="14">
        <v>10100</v>
      </c>
      <c r="Z79" s="28">
        <v>4.0259999999999997E-2</v>
      </c>
      <c r="AB79" s="14">
        <v>67</v>
      </c>
      <c r="AC79" s="14">
        <v>17</v>
      </c>
      <c r="AD79" s="14">
        <v>10</v>
      </c>
      <c r="AE79" s="14">
        <v>3350</v>
      </c>
      <c r="AF79" s="14"/>
      <c r="AG79" s="14"/>
      <c r="AH79" s="14"/>
      <c r="AI79" s="14"/>
      <c r="AJ79" s="14"/>
    </row>
    <row r="80" spans="2:36">
      <c r="B80" s="5" t="s">
        <v>162</v>
      </c>
      <c r="C80" s="2">
        <v>356</v>
      </c>
      <c r="D80" s="17">
        <v>2.4</v>
      </c>
      <c r="E80" s="5" t="e">
        <v>#REF!</v>
      </c>
      <c r="F80" s="14">
        <v>73</v>
      </c>
      <c r="G80" s="14">
        <v>17</v>
      </c>
      <c r="H80" s="14">
        <v>5.5</v>
      </c>
      <c r="I80" s="14">
        <v>2400</v>
      </c>
      <c r="J80" s="28">
        <v>6.8255E-3</v>
      </c>
      <c r="K80" s="36">
        <v>28.740173000000002</v>
      </c>
      <c r="L80" s="36">
        <v>6.6929170000000004</v>
      </c>
      <c r="M80" s="36">
        <v>2.1653555</v>
      </c>
      <c r="N80" s="36">
        <v>2.4</v>
      </c>
      <c r="P80" s="25">
        <v>2484.8231555139287</v>
      </c>
      <c r="Q80" s="32">
        <v>3.4136495921531666E-2</v>
      </c>
      <c r="S80" s="47">
        <v>1.769574074074074</v>
      </c>
      <c r="T80" s="47">
        <v>0.63042592592592595</v>
      </c>
      <c r="V80" s="7">
        <v>75</v>
      </c>
      <c r="W80" s="7">
        <v>16</v>
      </c>
      <c r="X80" s="7">
        <v>8</v>
      </c>
      <c r="Y80" s="7">
        <v>2500</v>
      </c>
      <c r="Z80" s="28">
        <v>9.5999999999999992E-3</v>
      </c>
      <c r="AB80" s="14">
        <v>121</v>
      </c>
      <c r="AC80" s="14">
        <v>45</v>
      </c>
      <c r="AD80" s="14">
        <v>6</v>
      </c>
      <c r="AE80" s="14">
        <v>9760</v>
      </c>
      <c r="AF80" s="7"/>
      <c r="AG80" s="7">
        <v>75</v>
      </c>
      <c r="AH80" s="7">
        <v>16</v>
      </c>
      <c r="AI80" s="7">
        <v>8</v>
      </c>
      <c r="AJ80" s="7">
        <v>2410</v>
      </c>
    </row>
    <row r="81" spans="2:36">
      <c r="B81" s="3" t="s">
        <v>163</v>
      </c>
      <c r="C81" s="2">
        <v>9</v>
      </c>
      <c r="D81" s="17">
        <v>3.3650000000000002</v>
      </c>
      <c r="E81" s="5" t="e">
        <v>#REF!</v>
      </c>
      <c r="F81" s="14">
        <v>72</v>
      </c>
      <c r="G81" s="14">
        <v>34</v>
      </c>
      <c r="H81" s="14">
        <v>4</v>
      </c>
      <c r="I81" s="14">
        <v>3365</v>
      </c>
      <c r="J81" s="28">
        <v>9.7920000000000004E-3</v>
      </c>
      <c r="K81" s="36">
        <v>28.346472000000002</v>
      </c>
      <c r="L81" s="36">
        <v>13.385834000000001</v>
      </c>
      <c r="M81" s="36">
        <v>1.5748040000000001</v>
      </c>
      <c r="N81" s="36">
        <v>3.3650000000000002</v>
      </c>
      <c r="P81" s="25">
        <v>3496.8242700518708</v>
      </c>
      <c r="Q81" s="32">
        <v>3.7698282747824607E-2</v>
      </c>
      <c r="S81" s="47">
        <v>2.5386666666666668</v>
      </c>
      <c r="T81" s="47">
        <v>0.82633333333333336</v>
      </c>
      <c r="V81" s="14">
        <v>75</v>
      </c>
      <c r="W81" s="14">
        <v>32.5</v>
      </c>
      <c r="X81" s="14">
        <v>6.5</v>
      </c>
      <c r="Y81" s="14">
        <v>3260</v>
      </c>
      <c r="Z81" s="28">
        <v>1.584375E-2</v>
      </c>
      <c r="AB81" s="7">
        <v>72</v>
      </c>
      <c r="AC81" s="7">
        <v>17</v>
      </c>
      <c r="AD81" s="7">
        <v>5.5</v>
      </c>
      <c r="AE81" s="7">
        <v>2350</v>
      </c>
      <c r="AF81" s="14"/>
      <c r="AG81" s="14">
        <v>65</v>
      </c>
      <c r="AH81" s="14">
        <v>33.5</v>
      </c>
      <c r="AI81" s="14">
        <v>6</v>
      </c>
      <c r="AJ81" s="14">
        <v>3000</v>
      </c>
    </row>
    <row r="82" spans="2:36">
      <c r="B82" s="2" t="s">
        <v>164</v>
      </c>
      <c r="C82" s="2">
        <v>101</v>
      </c>
      <c r="D82" s="17">
        <v>5.1349999999999998</v>
      </c>
      <c r="E82" s="5" t="e">
        <v>#REF!</v>
      </c>
      <c r="F82" s="14">
        <v>65.2</v>
      </c>
      <c r="G82" s="14">
        <v>34.5</v>
      </c>
      <c r="H82" s="14">
        <v>5</v>
      </c>
      <c r="I82" s="14">
        <v>5135</v>
      </c>
      <c r="J82" s="28">
        <v>1.1247E-2</v>
      </c>
      <c r="K82" s="36">
        <v>25.669305200000004</v>
      </c>
      <c r="L82" s="36">
        <v>13.582684500000001</v>
      </c>
      <c r="M82" s="36">
        <v>1.9685050000000002</v>
      </c>
      <c r="N82" s="36">
        <v>5.1349999999999998</v>
      </c>
      <c r="P82" s="25">
        <v>5084.6509277712576</v>
      </c>
      <c r="Q82" s="32">
        <v>-9.9021688890670468E-3</v>
      </c>
      <c r="S82" s="47">
        <v>2.915888888888889</v>
      </c>
      <c r="T82" s="47">
        <v>2.2191111111111108</v>
      </c>
      <c r="V82" s="14">
        <v>66</v>
      </c>
      <c r="W82" s="14">
        <v>43.5</v>
      </c>
      <c r="X82" s="14">
        <v>6.5</v>
      </c>
      <c r="Y82" s="14">
        <v>5030</v>
      </c>
      <c r="Z82" s="28">
        <v>1.8661500000000001E-2</v>
      </c>
      <c r="AB82" s="14">
        <v>72</v>
      </c>
      <c r="AC82" s="14">
        <v>34</v>
      </c>
      <c r="AD82" s="14">
        <v>4</v>
      </c>
      <c r="AE82" s="14">
        <v>3365</v>
      </c>
      <c r="AF82" s="14"/>
      <c r="AG82" s="14">
        <v>66</v>
      </c>
      <c r="AH82" s="14">
        <v>33</v>
      </c>
      <c r="AI82" s="14">
        <v>8</v>
      </c>
      <c r="AJ82" s="14">
        <v>4635</v>
      </c>
    </row>
    <row r="83" spans="2:36">
      <c r="B83" s="2" t="s">
        <v>165</v>
      </c>
      <c r="C83" s="2">
        <v>94</v>
      </c>
      <c r="D83" s="17">
        <v>6.0250000000000004</v>
      </c>
      <c r="E83" s="5" t="e">
        <v>#REF!</v>
      </c>
      <c r="F83" s="14">
        <v>120</v>
      </c>
      <c r="G83" s="14">
        <v>29</v>
      </c>
      <c r="H83" s="14">
        <v>5.5</v>
      </c>
      <c r="I83" s="14">
        <v>6025</v>
      </c>
      <c r="J83" s="28">
        <v>1.9140000000000001E-2</v>
      </c>
      <c r="K83" s="36">
        <v>47.244120000000002</v>
      </c>
      <c r="L83" s="36">
        <v>11.417329000000001</v>
      </c>
      <c r="M83" s="36">
        <v>2.1653555</v>
      </c>
      <c r="N83" s="36">
        <v>6.0250000000000004</v>
      </c>
      <c r="P83" s="25">
        <v>6222.4990690991135</v>
      </c>
      <c r="Q83" s="32">
        <v>3.1739509625624933E-2</v>
      </c>
      <c r="S83" s="47">
        <v>4.9622222222222225</v>
      </c>
      <c r="T83" s="47">
        <v>1.0627777777777778</v>
      </c>
      <c r="V83" s="14">
        <v>119.5</v>
      </c>
      <c r="W83" s="14">
        <v>26.5</v>
      </c>
      <c r="X83" s="14">
        <v>8</v>
      </c>
      <c r="Y83" s="14">
        <v>5030</v>
      </c>
      <c r="Z83" s="28">
        <v>2.5333999999999999E-2</v>
      </c>
      <c r="AB83" s="14">
        <v>65</v>
      </c>
      <c r="AC83" s="14">
        <v>35</v>
      </c>
      <c r="AD83" s="14">
        <v>5</v>
      </c>
      <c r="AE83" s="14">
        <v>4680</v>
      </c>
      <c r="AF83" s="14"/>
      <c r="AG83" s="14">
        <v>117</v>
      </c>
      <c r="AH83" s="14">
        <v>28</v>
      </c>
      <c r="AI83" s="14">
        <v>8</v>
      </c>
      <c r="AJ83" s="14">
        <v>6315</v>
      </c>
    </row>
    <row r="84" spans="2:36">
      <c r="B84" s="5" t="s">
        <v>166</v>
      </c>
      <c r="C84" s="2" t="e">
        <v>#N/A</v>
      </c>
      <c r="D84" s="17">
        <v>18.975000000000001</v>
      </c>
      <c r="E84" s="5" t="e">
        <v>#REF!</v>
      </c>
      <c r="F84" s="14">
        <v>127</v>
      </c>
      <c r="G84" s="14">
        <v>31</v>
      </c>
      <c r="H84" s="14">
        <v>9.5</v>
      </c>
      <c r="I84" s="14">
        <v>18975</v>
      </c>
      <c r="J84" s="28">
        <v>3.7401499999999997E-2</v>
      </c>
      <c r="K84" s="36">
        <v>50.000027000000003</v>
      </c>
      <c r="L84" s="36">
        <v>12.204731000000001</v>
      </c>
      <c r="M84" s="36">
        <v>3.7401595000000003</v>
      </c>
      <c r="N84" s="36">
        <v>18.975000000000001</v>
      </c>
      <c r="P84" s="25">
        <v>20441.691966668521</v>
      </c>
      <c r="Q84" s="32">
        <v>7.1750027789287463E-2</v>
      </c>
      <c r="S84" s="47">
        <v>9.696685185185185</v>
      </c>
      <c r="T84" s="47">
        <v>9.2783148148148165</v>
      </c>
      <c r="V84" s="7"/>
      <c r="W84" s="7"/>
      <c r="X84" s="7"/>
      <c r="Y84" s="7"/>
      <c r="Z84" s="43"/>
      <c r="AB84" s="6"/>
      <c r="AC84" s="6"/>
      <c r="AD84" s="6"/>
      <c r="AE84" s="6"/>
      <c r="AF84" s="6"/>
      <c r="AG84" s="6"/>
      <c r="AH84" s="6"/>
      <c r="AI84" s="6"/>
      <c r="AJ84" s="6"/>
    </row>
    <row r="85" spans="2:36">
      <c r="B85" s="5" t="s">
        <v>169</v>
      </c>
      <c r="C85" s="2">
        <v>67</v>
      </c>
      <c r="D85" s="17">
        <v>7.3949999999999996</v>
      </c>
      <c r="E85" s="5" t="e">
        <v>#REF!</v>
      </c>
      <c r="F85" s="14">
        <v>145</v>
      </c>
      <c r="G85" s="14">
        <v>30.2</v>
      </c>
      <c r="H85" s="14">
        <v>4</v>
      </c>
      <c r="I85" s="14">
        <v>7395</v>
      </c>
      <c r="J85" s="28">
        <v>1.7516E-2</v>
      </c>
      <c r="K85" s="36">
        <v>57.086645000000004</v>
      </c>
      <c r="L85" s="36">
        <v>11.889770200000001</v>
      </c>
      <c r="M85" s="36">
        <v>1.5748040000000001</v>
      </c>
      <c r="N85" s="36">
        <v>7.3950000000000005</v>
      </c>
      <c r="P85" s="25">
        <v>7014.0894197764856</v>
      </c>
      <c r="Q85" s="32">
        <v>-5.430649046895851E-2</v>
      </c>
      <c r="S85" s="47">
        <v>4.541185185185185</v>
      </c>
      <c r="T85" s="47">
        <v>2.8538148148148146</v>
      </c>
      <c r="V85" s="7">
        <v>144.5</v>
      </c>
      <c r="W85" s="7">
        <v>29</v>
      </c>
      <c r="X85" s="7">
        <v>6.5</v>
      </c>
      <c r="Y85" s="7">
        <v>6900</v>
      </c>
      <c r="Z85" s="28">
        <v>2.7238249999999999E-2</v>
      </c>
      <c r="AB85" s="14">
        <v>118</v>
      </c>
      <c r="AC85" s="14">
        <v>27</v>
      </c>
      <c r="AD85" s="14">
        <v>5</v>
      </c>
      <c r="AE85" s="14">
        <v>5875</v>
      </c>
      <c r="AF85" s="7"/>
      <c r="AG85" s="7">
        <v>145</v>
      </c>
      <c r="AH85" s="7">
        <v>29.5</v>
      </c>
      <c r="AI85" s="7">
        <v>6</v>
      </c>
      <c r="AJ85" s="7">
        <v>7580</v>
      </c>
    </row>
    <row r="86" spans="2:36">
      <c r="B86" s="3" t="s">
        <v>170</v>
      </c>
      <c r="C86" s="2">
        <v>26</v>
      </c>
      <c r="D86" s="17">
        <v>7.6</v>
      </c>
      <c r="E86" s="5" t="e">
        <v>#REF!</v>
      </c>
      <c r="F86" s="14">
        <v>145.5</v>
      </c>
      <c r="G86" s="14">
        <v>20.5</v>
      </c>
      <c r="H86" s="14">
        <v>7</v>
      </c>
      <c r="I86" s="14">
        <v>7600</v>
      </c>
      <c r="J86" s="28">
        <v>2.0879249999999999E-2</v>
      </c>
      <c r="K86" s="36">
        <v>57.283495500000001</v>
      </c>
      <c r="L86" s="36">
        <v>8.0708704999999998</v>
      </c>
      <c r="M86" s="36">
        <v>2.7559070000000001</v>
      </c>
      <c r="N86" s="36">
        <v>7.6000000000000005</v>
      </c>
      <c r="P86" s="25">
        <v>7537.2811453454087</v>
      </c>
      <c r="Q86" s="32">
        <v>-8.3211510152202336E-3</v>
      </c>
      <c r="S86" s="47">
        <v>5.4131388888888887</v>
      </c>
      <c r="T86" s="47">
        <v>2.1868611111111109</v>
      </c>
      <c r="V86" s="14">
        <v>114.5</v>
      </c>
      <c r="W86" s="14">
        <v>19</v>
      </c>
      <c r="X86" s="14">
        <v>9.5</v>
      </c>
      <c r="Y86" s="14">
        <v>7500</v>
      </c>
      <c r="Z86" s="28">
        <v>2.0667250000000002E-2</v>
      </c>
      <c r="AB86" s="7">
        <v>143</v>
      </c>
      <c r="AC86" s="7">
        <v>30</v>
      </c>
      <c r="AD86" s="7">
        <v>4</v>
      </c>
      <c r="AE86" s="7">
        <v>7370</v>
      </c>
      <c r="AF86" s="14"/>
      <c r="AG86" s="14"/>
      <c r="AH86" s="14"/>
      <c r="AI86" s="14"/>
      <c r="AJ86" s="14"/>
    </row>
    <row r="87" spans="2:36">
      <c r="B87" s="5" t="s">
        <v>173</v>
      </c>
      <c r="C87" s="2">
        <v>33</v>
      </c>
      <c r="D87" s="17">
        <v>1.33</v>
      </c>
      <c r="E87" s="5" t="e">
        <v>#REF!</v>
      </c>
      <c r="F87" s="14">
        <v>33.5</v>
      </c>
      <c r="G87" s="14">
        <v>32.5</v>
      </c>
      <c r="H87" s="14">
        <v>7</v>
      </c>
      <c r="I87" s="14">
        <v>1330</v>
      </c>
      <c r="J87" s="28">
        <v>7.6212500000000004E-3</v>
      </c>
      <c r="K87" s="36">
        <v>13.188983500000001</v>
      </c>
      <c r="L87" s="36">
        <v>12.795282500000001</v>
      </c>
      <c r="M87" s="36">
        <v>2.7559070000000001</v>
      </c>
      <c r="N87" s="36">
        <v>1.33</v>
      </c>
      <c r="P87" s="25">
        <v>1049.98164</v>
      </c>
      <c r="Q87" s="32">
        <v>-0.26668881562538566</v>
      </c>
      <c r="S87" s="47">
        <v>1.9758796296296297</v>
      </c>
      <c r="T87" s="47">
        <v>-0.64587962962962964</v>
      </c>
      <c r="V87" s="9">
        <v>34</v>
      </c>
      <c r="W87" s="9">
        <v>34</v>
      </c>
      <c r="X87" s="9">
        <v>8</v>
      </c>
      <c r="Y87" s="9">
        <v>1170</v>
      </c>
      <c r="Z87" s="28">
        <v>9.2479999999999993E-3</v>
      </c>
      <c r="AB87" s="14">
        <v>143</v>
      </c>
      <c r="AC87" s="14">
        <v>20</v>
      </c>
      <c r="AD87" s="14">
        <v>7</v>
      </c>
      <c r="AE87" s="14">
        <v>7530</v>
      </c>
      <c r="AF87" s="9"/>
      <c r="AG87" s="9"/>
      <c r="AH87" s="9"/>
      <c r="AI87" s="9"/>
      <c r="AJ87" s="9"/>
    </row>
    <row r="88" spans="2:36">
      <c r="B88" s="3" t="s">
        <v>448</v>
      </c>
      <c r="C88" s="2">
        <v>6</v>
      </c>
      <c r="D88" s="17" t="e">
        <v>#N/A</v>
      </c>
      <c r="E88" s="5" t="e">
        <v>#REF!</v>
      </c>
      <c r="F88" s="14" t="e">
        <v>#N/A</v>
      </c>
      <c r="G88" s="14" t="e">
        <v>#N/A</v>
      </c>
      <c r="H88" s="14" t="e">
        <v>#N/A</v>
      </c>
      <c r="I88" s="14" t="e">
        <v>#N/A</v>
      </c>
      <c r="J88" s="28" t="e">
        <v>#N/A</v>
      </c>
      <c r="K88" s="36" t="e">
        <v>#N/A</v>
      </c>
      <c r="L88" s="36" t="e">
        <v>#N/A</v>
      </c>
      <c r="M88" s="36" t="e">
        <v>#N/A</v>
      </c>
      <c r="N88" s="36" t="e">
        <v>#N/A</v>
      </c>
      <c r="P88" s="25">
        <v>772.18056999999976</v>
      </c>
      <c r="Q88" s="32" t="e">
        <v>#N/A</v>
      </c>
      <c r="S88" s="47" t="e">
        <v>#N/A</v>
      </c>
      <c r="T88" s="47" t="e">
        <v>#N/A</v>
      </c>
      <c r="V88" s="7">
        <v>34</v>
      </c>
      <c r="W88" s="7">
        <v>16</v>
      </c>
      <c r="X88" s="7">
        <v>14</v>
      </c>
      <c r="Y88" s="7">
        <v>1000</v>
      </c>
      <c r="Z88" s="28">
        <v>7.6160000000000004E-3</v>
      </c>
      <c r="AB88" s="14"/>
      <c r="AC88" s="14"/>
      <c r="AD88" s="14"/>
      <c r="AE88" s="14"/>
      <c r="AF88" s="6"/>
      <c r="AG88" s="6"/>
      <c r="AH88" s="6"/>
      <c r="AI88" s="6"/>
      <c r="AJ88" s="6"/>
    </row>
    <row r="89" spans="2:36">
      <c r="B89" s="5" t="s">
        <v>177</v>
      </c>
      <c r="C89" s="2">
        <v>36</v>
      </c>
      <c r="D89" s="17">
        <v>1.0249999999999999</v>
      </c>
      <c r="E89" s="5" t="e">
        <v>#REF!</v>
      </c>
      <c r="F89" s="14">
        <v>20</v>
      </c>
      <c r="G89" s="14">
        <v>18</v>
      </c>
      <c r="H89" s="14">
        <v>7</v>
      </c>
      <c r="I89" s="14">
        <v>1025</v>
      </c>
      <c r="J89" s="28">
        <v>2.5200000000000001E-3</v>
      </c>
      <c r="K89" s="36">
        <v>7.8740200000000007</v>
      </c>
      <c r="L89" s="36">
        <v>7.0866180000000005</v>
      </c>
      <c r="M89" s="36">
        <v>2.7559070000000001</v>
      </c>
      <c r="N89" s="36">
        <v>1.0249999999999999</v>
      </c>
      <c r="P89" s="25">
        <v>618.45931428571441</v>
      </c>
      <c r="Q89" s="32">
        <v>-0.6573442687718547</v>
      </c>
      <c r="S89" s="47">
        <v>0.65333333333333332</v>
      </c>
      <c r="T89" s="47">
        <v>0.37166666666666659</v>
      </c>
      <c r="V89" s="7">
        <v>22</v>
      </c>
      <c r="W89" s="7">
        <v>17</v>
      </c>
      <c r="X89" s="7">
        <v>12</v>
      </c>
      <c r="Y89" s="7">
        <v>980</v>
      </c>
      <c r="Z89" s="28">
        <v>4.4879999999999998E-3</v>
      </c>
      <c r="AB89" s="7">
        <v>37</v>
      </c>
      <c r="AC89" s="7">
        <v>14</v>
      </c>
      <c r="AD89" s="7">
        <v>13</v>
      </c>
      <c r="AE89" s="7">
        <v>1450</v>
      </c>
      <c r="AF89" s="7"/>
      <c r="AG89" s="7">
        <v>22</v>
      </c>
      <c r="AH89" s="7">
        <v>18</v>
      </c>
      <c r="AI89" s="7">
        <v>12</v>
      </c>
      <c r="AJ89" s="7">
        <v>980</v>
      </c>
    </row>
    <row r="90" spans="2:36">
      <c r="B90" s="11" t="s">
        <v>181</v>
      </c>
      <c r="C90" s="2">
        <v>15</v>
      </c>
      <c r="D90" s="17">
        <v>1.52</v>
      </c>
      <c r="E90" s="5" t="e">
        <v>#REF!</v>
      </c>
      <c r="F90" s="14">
        <v>63</v>
      </c>
      <c r="G90" s="14">
        <v>17.5</v>
      </c>
      <c r="H90" s="14">
        <v>6</v>
      </c>
      <c r="I90" s="14">
        <v>1520</v>
      </c>
      <c r="J90" s="28">
        <v>6.6150000000000002E-3</v>
      </c>
      <c r="K90" s="36">
        <v>24.803163000000001</v>
      </c>
      <c r="L90" s="36">
        <v>6.8897675000000005</v>
      </c>
      <c r="M90" s="36">
        <v>2.362206</v>
      </c>
      <c r="N90" s="36">
        <v>1.52</v>
      </c>
      <c r="P90" s="25">
        <v>1708.8352659072107</v>
      </c>
      <c r="Q90" s="32">
        <v>0.11050524861854319</v>
      </c>
      <c r="S90" s="47">
        <v>1.7149999999999999</v>
      </c>
      <c r="T90" s="47">
        <v>-0.19499999999999984</v>
      </c>
      <c r="V90" s="14">
        <v>58</v>
      </c>
      <c r="W90" s="14">
        <v>17.2</v>
      </c>
      <c r="X90" s="14">
        <v>6.3</v>
      </c>
      <c r="Y90" s="14">
        <v>1300</v>
      </c>
      <c r="Z90" s="28">
        <v>6.2848799999999996E-3</v>
      </c>
      <c r="AB90" s="7">
        <v>22</v>
      </c>
      <c r="AC90" s="7">
        <v>17</v>
      </c>
      <c r="AD90" s="7">
        <v>12</v>
      </c>
      <c r="AE90" s="7">
        <v>980</v>
      </c>
      <c r="AF90" s="14"/>
      <c r="AG90" s="14"/>
      <c r="AH90" s="14"/>
      <c r="AI90" s="14"/>
      <c r="AJ90" s="14"/>
    </row>
    <row r="91" spans="2:36">
      <c r="B91" s="5" t="s">
        <v>182</v>
      </c>
      <c r="C91" s="2">
        <v>105</v>
      </c>
      <c r="D91" s="17">
        <v>3.105</v>
      </c>
      <c r="E91" s="5" t="e">
        <v>#REF!</v>
      </c>
      <c r="F91" s="14">
        <v>111</v>
      </c>
      <c r="G91" s="14">
        <v>18</v>
      </c>
      <c r="H91" s="14">
        <v>4</v>
      </c>
      <c r="I91" s="14">
        <v>3105</v>
      </c>
      <c r="J91" s="28">
        <v>7.9920000000000008E-3</v>
      </c>
      <c r="K91" s="36">
        <v>43.700811000000002</v>
      </c>
      <c r="L91" s="36">
        <v>7.0866180000000005</v>
      </c>
      <c r="M91" s="36">
        <v>1.5748040000000001</v>
      </c>
      <c r="N91" s="36">
        <v>3.105</v>
      </c>
      <c r="P91" s="25">
        <v>3168.5477091080802</v>
      </c>
      <c r="Q91" s="32">
        <v>2.0055784208459448E-2</v>
      </c>
      <c r="S91" s="47">
        <v>2.0720000000000001</v>
      </c>
      <c r="T91" s="47">
        <v>1.0329999999999999</v>
      </c>
      <c r="V91" s="7">
        <v>112</v>
      </c>
      <c r="W91" s="7">
        <v>16</v>
      </c>
      <c r="X91" s="7">
        <v>6</v>
      </c>
      <c r="Y91" s="7">
        <v>3210</v>
      </c>
      <c r="Z91" s="28">
        <v>1.0751999999999999E-2</v>
      </c>
      <c r="AB91" s="14">
        <v>61</v>
      </c>
      <c r="AC91" s="14">
        <v>17</v>
      </c>
      <c r="AD91" s="14">
        <v>6</v>
      </c>
      <c r="AE91" s="14">
        <v>1520</v>
      </c>
      <c r="AF91" s="7"/>
      <c r="AG91" s="7">
        <v>112</v>
      </c>
      <c r="AH91" s="7">
        <v>17</v>
      </c>
      <c r="AI91" s="7">
        <v>6</v>
      </c>
      <c r="AJ91" s="7">
        <v>3110</v>
      </c>
    </row>
    <row r="92" spans="2:36">
      <c r="B92" s="5" t="s">
        <v>449</v>
      </c>
      <c r="C92" s="2" t="e">
        <v>#N/A</v>
      </c>
      <c r="D92" s="17" t="e">
        <v>#N/A</v>
      </c>
      <c r="E92" s="5" t="e">
        <v>#REF!</v>
      </c>
      <c r="F92" s="14" t="e">
        <v>#N/A</v>
      </c>
      <c r="G92" s="14" t="e">
        <v>#N/A</v>
      </c>
      <c r="H92" s="14" t="e">
        <v>#N/A</v>
      </c>
      <c r="I92" s="14" t="e">
        <v>#N/A</v>
      </c>
      <c r="J92" s="28" t="e">
        <v>#N/A</v>
      </c>
      <c r="K92" s="36" t="e">
        <v>#N/A</v>
      </c>
      <c r="L92" s="36" t="e">
        <v>#N/A</v>
      </c>
      <c r="M92" s="36" t="e">
        <v>#N/A</v>
      </c>
      <c r="N92" s="36" t="e">
        <v>#N/A</v>
      </c>
      <c r="P92" s="25">
        <v>12552.381661439998</v>
      </c>
      <c r="Q92" s="32" t="e">
        <v>#N/A</v>
      </c>
      <c r="S92" s="47" t="e">
        <v>#N/A</v>
      </c>
      <c r="T92" s="47" t="e">
        <v>#N/A</v>
      </c>
      <c r="V92" s="7">
        <v>52</v>
      </c>
      <c r="W92" s="7">
        <v>37</v>
      </c>
      <c r="X92" s="7">
        <v>21</v>
      </c>
      <c r="Y92" s="7">
        <v>13900</v>
      </c>
      <c r="Z92" s="28">
        <v>4.0404000000000002E-2</v>
      </c>
      <c r="AB92" s="7">
        <v>109</v>
      </c>
      <c r="AC92" s="7">
        <v>17</v>
      </c>
      <c r="AD92" s="7">
        <v>4</v>
      </c>
      <c r="AE92" s="7">
        <v>3600</v>
      </c>
      <c r="AF92" s="7"/>
      <c r="AG92" s="7">
        <v>53</v>
      </c>
      <c r="AH92" s="7">
        <v>37</v>
      </c>
      <c r="AI92" s="7">
        <v>21</v>
      </c>
      <c r="AJ92" s="7">
        <v>13130</v>
      </c>
    </row>
    <row r="93" spans="2:36">
      <c r="B93" s="5" t="s">
        <v>450</v>
      </c>
      <c r="C93" s="2">
        <v>35</v>
      </c>
      <c r="D93" s="17">
        <v>4.1749999999999998</v>
      </c>
      <c r="E93" s="5" t="e">
        <v>#REF!</v>
      </c>
      <c r="F93" s="14">
        <v>42</v>
      </c>
      <c r="G93" s="14">
        <v>34</v>
      </c>
      <c r="H93" s="14">
        <v>6.5</v>
      </c>
      <c r="I93" s="14">
        <v>4175</v>
      </c>
      <c r="J93" s="28">
        <v>9.2820000000000003E-3</v>
      </c>
      <c r="K93" s="36">
        <v>16.535442</v>
      </c>
      <c r="L93" s="36">
        <v>13.385834000000001</v>
      </c>
      <c r="M93" s="36">
        <v>2.5590565000000001</v>
      </c>
      <c r="N93" s="36">
        <v>4.1749999999999998</v>
      </c>
      <c r="P93" s="25">
        <v>4104.5052277068289</v>
      </c>
      <c r="Q93" s="32">
        <v>-1.7174974420134003E-2</v>
      </c>
      <c r="S93" s="47">
        <v>2.4064444444444444</v>
      </c>
      <c r="T93" s="47">
        <v>1.7685555555555554</v>
      </c>
      <c r="V93" s="7">
        <v>42</v>
      </c>
      <c r="W93" s="7">
        <v>34</v>
      </c>
      <c r="X93" s="7">
        <v>10</v>
      </c>
      <c r="Y93" s="7">
        <v>4100</v>
      </c>
      <c r="Z93" s="28">
        <v>1.4279999999999999E-2</v>
      </c>
      <c r="AB93" s="7"/>
      <c r="AC93" s="7"/>
      <c r="AD93" s="7"/>
      <c r="AE93" s="7"/>
      <c r="AF93" s="7"/>
      <c r="AG93" s="7">
        <v>42</v>
      </c>
      <c r="AH93" s="7">
        <v>34</v>
      </c>
      <c r="AI93" s="7">
        <v>9.5</v>
      </c>
      <c r="AJ93" s="7">
        <v>4115</v>
      </c>
    </row>
    <row r="94" spans="2:36">
      <c r="B94" s="5" t="s">
        <v>451</v>
      </c>
      <c r="C94" s="2">
        <v>29</v>
      </c>
      <c r="D94" s="17">
        <v>2.6</v>
      </c>
      <c r="E94" s="5" t="e">
        <v>#REF!</v>
      </c>
      <c r="F94" s="14">
        <v>27</v>
      </c>
      <c r="G94" s="14">
        <v>39</v>
      </c>
      <c r="H94" s="14">
        <v>7</v>
      </c>
      <c r="I94" s="14">
        <v>2600</v>
      </c>
      <c r="J94" s="28">
        <v>7.3709999999999999E-3</v>
      </c>
      <c r="K94" s="36">
        <v>10.629927</v>
      </c>
      <c r="L94" s="36">
        <v>15.354339000000001</v>
      </c>
      <c r="M94" s="36">
        <v>2.7559070000000001</v>
      </c>
      <c r="N94" s="36">
        <v>2.6</v>
      </c>
      <c r="P94" s="25">
        <v>2744.1010537713951</v>
      </c>
      <c r="Q94" s="32">
        <v>5.2513027380441293E-2</v>
      </c>
      <c r="S94" s="47">
        <v>1.911</v>
      </c>
      <c r="T94" s="47">
        <v>0.68900000000000006</v>
      </c>
      <c r="V94" s="7">
        <v>41.5</v>
      </c>
      <c r="W94" s="7">
        <v>27</v>
      </c>
      <c r="X94" s="7">
        <v>10</v>
      </c>
      <c r="Y94" s="7">
        <v>2600</v>
      </c>
      <c r="Z94" s="28">
        <v>1.1205E-2</v>
      </c>
      <c r="AB94" s="7">
        <v>42</v>
      </c>
      <c r="AC94" s="7">
        <v>33</v>
      </c>
      <c r="AD94" s="7">
        <v>8</v>
      </c>
      <c r="AE94" s="7">
        <v>3510</v>
      </c>
      <c r="AF94" s="7"/>
      <c r="AG94" s="7"/>
      <c r="AH94" s="7"/>
      <c r="AI94" s="7"/>
      <c r="AJ94" s="7"/>
    </row>
    <row r="95" spans="2:36">
      <c r="B95" s="5" t="s">
        <v>183</v>
      </c>
      <c r="C95" s="2">
        <v>3</v>
      </c>
      <c r="D95" s="17">
        <v>3.8</v>
      </c>
      <c r="E95" s="5" t="e">
        <v>#REF!</v>
      </c>
      <c r="F95" s="14">
        <v>59</v>
      </c>
      <c r="G95" s="14">
        <v>49</v>
      </c>
      <c r="H95" s="14">
        <v>8.5</v>
      </c>
      <c r="I95" s="14">
        <v>3800</v>
      </c>
      <c r="J95" s="28">
        <v>2.4573500000000002E-2</v>
      </c>
      <c r="K95" s="36">
        <v>23.228359000000001</v>
      </c>
      <c r="L95" s="36">
        <v>19.291349</v>
      </c>
      <c r="M95" s="36">
        <v>3.3464585000000002</v>
      </c>
      <c r="N95" s="36">
        <v>3.8000000000000003</v>
      </c>
      <c r="P95" s="25">
        <v>2891.6537899999994</v>
      </c>
      <c r="Q95" s="32">
        <v>-0.3141268893050993</v>
      </c>
      <c r="S95" s="47">
        <v>6.3709074074074072</v>
      </c>
      <c r="T95" s="47">
        <v>-2.5709074074074074</v>
      </c>
      <c r="V95" s="7">
        <v>59</v>
      </c>
      <c r="W95" s="7">
        <v>49</v>
      </c>
      <c r="X95" s="7">
        <v>8.5</v>
      </c>
      <c r="Y95" s="7">
        <v>3300</v>
      </c>
      <c r="Z95" s="28">
        <v>2.4573500000000002E-2</v>
      </c>
      <c r="AB95" s="7">
        <v>41</v>
      </c>
      <c r="AC95" s="7">
        <v>27</v>
      </c>
      <c r="AD95" s="7">
        <v>8</v>
      </c>
      <c r="AE95" s="7">
        <v>2360</v>
      </c>
      <c r="AF95" s="7"/>
      <c r="AG95" s="7">
        <v>59</v>
      </c>
      <c r="AH95" s="7">
        <v>49</v>
      </c>
      <c r="AI95" s="7">
        <v>8</v>
      </c>
      <c r="AJ95" s="7">
        <v>3140</v>
      </c>
    </row>
    <row r="96" spans="2:36">
      <c r="B96" s="5" t="s">
        <v>452</v>
      </c>
      <c r="C96" s="2" t="e">
        <v>#N/A</v>
      </c>
      <c r="D96" s="17">
        <v>0</v>
      </c>
      <c r="E96" s="5" t="e">
        <v>#REF!</v>
      </c>
      <c r="F96" s="14">
        <v>0</v>
      </c>
      <c r="G96" s="14">
        <v>0</v>
      </c>
      <c r="H96" s="14">
        <v>0</v>
      </c>
      <c r="I96" s="14">
        <v>0</v>
      </c>
      <c r="J96" s="28">
        <v>0</v>
      </c>
      <c r="K96" s="36">
        <v>0</v>
      </c>
      <c r="L96" s="36">
        <v>0</v>
      </c>
      <c r="M96" s="36">
        <v>0</v>
      </c>
      <c r="N96" s="36">
        <v>0</v>
      </c>
      <c r="P96" s="25">
        <v>4612.6009600000007</v>
      </c>
      <c r="Q96" s="32">
        <v>1</v>
      </c>
      <c r="S96" s="47">
        <v>0</v>
      </c>
      <c r="T96" s="47">
        <v>0</v>
      </c>
      <c r="V96" s="7">
        <v>73</v>
      </c>
      <c r="W96" s="7">
        <v>64</v>
      </c>
      <c r="X96" s="7">
        <v>9</v>
      </c>
      <c r="Y96" s="7">
        <v>5500</v>
      </c>
      <c r="Z96" s="28">
        <v>4.2048000000000002E-2</v>
      </c>
      <c r="AB96" s="7"/>
      <c r="AC96" s="7"/>
      <c r="AD96" s="7"/>
      <c r="AE96" s="7"/>
      <c r="AF96" s="7"/>
      <c r="AG96" s="7">
        <v>74</v>
      </c>
      <c r="AH96" s="7">
        <v>63</v>
      </c>
      <c r="AI96" s="7">
        <v>10</v>
      </c>
      <c r="AJ96" s="7">
        <v>5290</v>
      </c>
    </row>
    <row r="97" spans="2:36">
      <c r="B97" s="5" t="s">
        <v>184</v>
      </c>
      <c r="C97" s="2">
        <v>15</v>
      </c>
      <c r="D97" s="17">
        <v>1.64</v>
      </c>
      <c r="E97" s="5" t="e">
        <v>#REF!</v>
      </c>
      <c r="F97" s="14">
        <v>49.5</v>
      </c>
      <c r="G97" s="14">
        <v>28.5</v>
      </c>
      <c r="H97" s="14">
        <v>8.5</v>
      </c>
      <c r="I97" s="14">
        <v>1640</v>
      </c>
      <c r="J97" s="28">
        <v>1.1991375E-2</v>
      </c>
      <c r="K97" s="36">
        <v>19.4881995</v>
      </c>
      <c r="L97" s="36">
        <v>11.2204785</v>
      </c>
      <c r="M97" s="36">
        <v>3.3464585000000002</v>
      </c>
      <c r="N97" s="36">
        <v>1.6400000000000001</v>
      </c>
      <c r="P97" s="25">
        <v>1621.6566499999999</v>
      </c>
      <c r="Q97" s="32">
        <v>-1.1311488162429514E-2</v>
      </c>
      <c r="S97" s="47">
        <v>3.1088749999999998</v>
      </c>
      <c r="T97" s="47">
        <v>-1.4688749999999999</v>
      </c>
      <c r="V97" s="7">
        <v>51</v>
      </c>
      <c r="W97" s="7">
        <v>29</v>
      </c>
      <c r="X97" s="7">
        <v>8.5</v>
      </c>
      <c r="Y97" s="7">
        <v>1800</v>
      </c>
      <c r="Z97" s="28">
        <v>1.2571499999999999E-2</v>
      </c>
      <c r="AB97" s="7"/>
      <c r="AC97" s="7"/>
      <c r="AD97" s="7"/>
      <c r="AE97" s="7"/>
      <c r="AF97" s="7"/>
      <c r="AG97" s="7">
        <v>51</v>
      </c>
      <c r="AH97" s="7">
        <v>28</v>
      </c>
      <c r="AI97" s="7">
        <v>8</v>
      </c>
      <c r="AJ97" s="7">
        <v>1665</v>
      </c>
    </row>
    <row r="98" spans="2:36">
      <c r="B98" s="5" t="s">
        <v>185</v>
      </c>
      <c r="C98" s="2">
        <v>9</v>
      </c>
      <c r="D98" s="17">
        <v>2.76</v>
      </c>
      <c r="E98" s="5" t="e">
        <v>#REF!</v>
      </c>
      <c r="F98" s="14">
        <v>24.5</v>
      </c>
      <c r="G98" s="14">
        <v>24.5</v>
      </c>
      <c r="H98" s="14">
        <v>12</v>
      </c>
      <c r="I98" s="14">
        <v>2760</v>
      </c>
      <c r="J98" s="28">
        <v>7.2030000000000002E-3</v>
      </c>
      <c r="K98" s="36">
        <v>9.6456745000000002</v>
      </c>
      <c r="L98" s="36">
        <v>9.6456745000000002</v>
      </c>
      <c r="M98" s="36">
        <v>4.7244120000000001</v>
      </c>
      <c r="N98" s="36">
        <v>2.7600000000000002</v>
      </c>
      <c r="P98" s="25">
        <v>2835.1727131333332</v>
      </c>
      <c r="Q98" s="32">
        <v>2.6514332895880257E-2</v>
      </c>
      <c r="S98" s="47">
        <v>1.8674444444444445</v>
      </c>
      <c r="T98" s="47">
        <v>0.89255555555555532</v>
      </c>
      <c r="V98" s="7">
        <v>26.5</v>
      </c>
      <c r="W98" s="7">
        <v>26.5</v>
      </c>
      <c r="X98" s="7">
        <v>19.5</v>
      </c>
      <c r="Y98" s="7">
        <v>2900</v>
      </c>
      <c r="Z98" s="28">
        <v>1.3693874999999999E-2</v>
      </c>
      <c r="AB98" s="7">
        <v>49</v>
      </c>
      <c r="AC98" s="7">
        <v>29</v>
      </c>
      <c r="AD98" s="7">
        <v>9</v>
      </c>
      <c r="AE98" s="7">
        <v>1595</v>
      </c>
      <c r="AF98" s="7"/>
      <c r="AG98" s="7">
        <v>26</v>
      </c>
      <c r="AH98" s="7">
        <v>26</v>
      </c>
      <c r="AI98" s="7">
        <v>19.5</v>
      </c>
      <c r="AJ98" s="7">
        <v>2900</v>
      </c>
    </row>
    <row r="99" spans="2:36">
      <c r="B99" s="5" t="s">
        <v>186</v>
      </c>
      <c r="C99" s="2">
        <v>14</v>
      </c>
      <c r="D99" s="17">
        <v>4.03</v>
      </c>
      <c r="E99" s="5" t="e">
        <v>#REF!</v>
      </c>
      <c r="F99" s="14">
        <v>24.5</v>
      </c>
      <c r="G99" s="14">
        <v>24.5</v>
      </c>
      <c r="H99" s="14">
        <v>18</v>
      </c>
      <c r="I99" s="14">
        <v>4030</v>
      </c>
      <c r="J99" s="28">
        <v>1.08045E-2</v>
      </c>
      <c r="K99" s="36">
        <v>9.6456745000000002</v>
      </c>
      <c r="L99" s="36">
        <v>9.6456745000000002</v>
      </c>
      <c r="M99" s="36">
        <v>7.0866180000000005</v>
      </c>
      <c r="N99" s="36">
        <v>4.03</v>
      </c>
      <c r="P99" s="25">
        <v>4297.0637367000008</v>
      </c>
      <c r="Q99" s="32">
        <v>6.2150285186390264E-2</v>
      </c>
      <c r="S99" s="47">
        <v>2.8011666666666666</v>
      </c>
      <c r="T99" s="47">
        <v>1.2288333333333337</v>
      </c>
      <c r="V99" s="7">
        <v>26.5</v>
      </c>
      <c r="W99" s="7">
        <v>26.5</v>
      </c>
      <c r="X99" s="7">
        <v>26.5</v>
      </c>
      <c r="Y99" s="7">
        <v>4450</v>
      </c>
      <c r="Z99" s="28">
        <v>1.8609625000000001E-2</v>
      </c>
      <c r="AB99" s="7"/>
      <c r="AC99" s="7"/>
      <c r="AD99" s="7"/>
      <c r="AE99" s="7"/>
      <c r="AF99" s="7"/>
      <c r="AG99" s="7">
        <v>26</v>
      </c>
      <c r="AH99" s="7">
        <v>26</v>
      </c>
      <c r="AI99" s="7">
        <v>25.5</v>
      </c>
      <c r="AJ99" s="7">
        <v>4415</v>
      </c>
    </row>
    <row r="100" spans="2:36">
      <c r="B100" s="5" t="s">
        <v>189</v>
      </c>
      <c r="C100" s="2" t="e">
        <v>#N/A</v>
      </c>
      <c r="D100" s="17">
        <v>23.135000000000002</v>
      </c>
      <c r="E100" s="5" t="e">
        <v>#REF!</v>
      </c>
      <c r="F100" s="14">
        <v>81</v>
      </c>
      <c r="G100" s="14">
        <v>42</v>
      </c>
      <c r="H100" s="14">
        <v>14</v>
      </c>
      <c r="I100" s="14">
        <v>23135</v>
      </c>
      <c r="J100" s="28">
        <v>4.7627999999999997E-2</v>
      </c>
      <c r="K100" s="36">
        <v>31.889781000000003</v>
      </c>
      <c r="L100" s="36">
        <v>16.535442</v>
      </c>
      <c r="M100" s="36">
        <v>5.5118140000000002</v>
      </c>
      <c r="N100" s="36">
        <v>23.135000000000002</v>
      </c>
      <c r="P100" s="25" t="e">
        <v>#N/A</v>
      </c>
      <c r="Q100" s="32" t="e">
        <v>#N/A</v>
      </c>
      <c r="S100" s="47">
        <v>12.348000000000001</v>
      </c>
      <c r="T100" s="47">
        <v>10.787000000000001</v>
      </c>
      <c r="V100" s="7"/>
      <c r="W100" s="7"/>
      <c r="X100" s="7"/>
      <c r="Y100" s="7"/>
      <c r="Z100" s="43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2:36">
      <c r="B101" s="5" t="s">
        <v>453</v>
      </c>
      <c r="C101" s="2">
        <v>1</v>
      </c>
      <c r="D101" s="17" t="e">
        <v>#N/A</v>
      </c>
      <c r="E101" s="5" t="e">
        <v>#REF!</v>
      </c>
      <c r="F101" s="14" t="e">
        <v>#N/A</v>
      </c>
      <c r="G101" s="14" t="e">
        <v>#N/A</v>
      </c>
      <c r="H101" s="14" t="e">
        <v>#N/A</v>
      </c>
      <c r="I101" s="14" t="e">
        <v>#N/A</v>
      </c>
      <c r="J101" s="28" t="e">
        <v>#N/A</v>
      </c>
      <c r="K101" s="36" t="e">
        <v>#N/A</v>
      </c>
      <c r="L101" s="36" t="e">
        <v>#N/A</v>
      </c>
      <c r="M101" s="36" t="e">
        <v>#N/A</v>
      </c>
      <c r="N101" s="36" t="e">
        <v>#N/A</v>
      </c>
      <c r="P101" s="25">
        <v>5942.4572453015699</v>
      </c>
      <c r="Q101" s="32" t="e">
        <v>#N/A</v>
      </c>
      <c r="S101" s="47" t="e">
        <v>#N/A</v>
      </c>
      <c r="T101" s="47" t="e">
        <v>#N/A</v>
      </c>
      <c r="V101" s="7">
        <v>67</v>
      </c>
      <c r="W101" s="7">
        <v>33.5</v>
      </c>
      <c r="X101" s="7">
        <v>9</v>
      </c>
      <c r="Y101" s="7">
        <v>6700</v>
      </c>
      <c r="Z101" s="28">
        <v>2.02005E-2</v>
      </c>
      <c r="AB101" s="14"/>
      <c r="AC101" s="14"/>
      <c r="AD101" s="14"/>
      <c r="AE101" s="14"/>
      <c r="AF101" s="7"/>
      <c r="AG101" s="7">
        <v>66</v>
      </c>
      <c r="AH101" s="7">
        <v>33</v>
      </c>
      <c r="AI101" s="7">
        <v>8</v>
      </c>
      <c r="AJ101" s="7">
        <v>6280</v>
      </c>
    </row>
    <row r="102" spans="2:36">
      <c r="B102" s="5" t="s">
        <v>454</v>
      </c>
      <c r="C102" s="2" t="e">
        <v>#N/A</v>
      </c>
      <c r="D102" s="17" t="e">
        <v>#N/A</v>
      </c>
      <c r="E102" s="5" t="e">
        <v>#REF!</v>
      </c>
      <c r="F102" s="14" t="e">
        <v>#N/A</v>
      </c>
      <c r="G102" s="14" t="e">
        <v>#N/A</v>
      </c>
      <c r="H102" s="14" t="e">
        <v>#N/A</v>
      </c>
      <c r="I102" s="14" t="e">
        <v>#N/A</v>
      </c>
      <c r="J102" s="28" t="e">
        <v>#N/A</v>
      </c>
      <c r="K102" s="36" t="e">
        <v>#N/A</v>
      </c>
      <c r="L102" s="36" t="e">
        <v>#N/A</v>
      </c>
      <c r="M102" s="36" t="e">
        <v>#N/A</v>
      </c>
      <c r="N102" s="36" t="e">
        <v>#N/A</v>
      </c>
      <c r="P102" s="25">
        <v>15946.434840399999</v>
      </c>
      <c r="Q102" s="32" t="e">
        <v>#N/A</v>
      </c>
      <c r="S102" s="47" t="e">
        <v>#N/A</v>
      </c>
      <c r="T102" s="47" t="e">
        <v>#N/A</v>
      </c>
      <c r="V102" s="7">
        <v>82</v>
      </c>
      <c r="W102" s="7">
        <v>36.5</v>
      </c>
      <c r="X102" s="7">
        <v>15</v>
      </c>
      <c r="Y102" s="7">
        <v>18200</v>
      </c>
      <c r="Z102" s="28">
        <v>4.4894999999999997E-2</v>
      </c>
      <c r="AB102" s="7"/>
      <c r="AC102" s="7"/>
      <c r="AD102" s="7"/>
      <c r="AE102" s="7"/>
      <c r="AF102" s="7"/>
      <c r="AG102" s="7">
        <v>82</v>
      </c>
      <c r="AH102" s="7">
        <v>36</v>
      </c>
      <c r="AI102" s="7">
        <v>15</v>
      </c>
      <c r="AJ102" s="7">
        <v>18450</v>
      </c>
    </row>
    <row r="103" spans="2:36">
      <c r="B103" s="3" t="s">
        <v>455</v>
      </c>
      <c r="C103" s="2">
        <v>27</v>
      </c>
      <c r="D103" s="17" t="e">
        <v>#N/A</v>
      </c>
      <c r="E103" s="5" t="e">
        <v>#REF!</v>
      </c>
      <c r="F103" s="14" t="e">
        <v>#N/A</v>
      </c>
      <c r="G103" s="14" t="e">
        <v>#N/A</v>
      </c>
      <c r="H103" s="14" t="e">
        <v>#N/A</v>
      </c>
      <c r="I103" s="14" t="e">
        <v>#N/A</v>
      </c>
      <c r="J103" s="28" t="e">
        <v>#N/A</v>
      </c>
      <c r="K103" s="36" t="e">
        <v>#N/A</v>
      </c>
      <c r="L103" s="36" t="e">
        <v>#N/A</v>
      </c>
      <c r="M103" s="36" t="e">
        <v>#N/A</v>
      </c>
      <c r="N103" s="36" t="e">
        <v>#N/A</v>
      </c>
      <c r="P103" s="25">
        <v>1112.9394365942974</v>
      </c>
      <c r="Q103" s="32" t="e">
        <v>#N/A</v>
      </c>
      <c r="S103" s="47" t="e">
        <v>#N/A</v>
      </c>
      <c r="T103" s="47" t="e">
        <v>#N/A</v>
      </c>
      <c r="V103" s="14">
        <v>44</v>
      </c>
      <c r="W103" s="14">
        <v>16.5</v>
      </c>
      <c r="X103" s="14">
        <v>5</v>
      </c>
      <c r="Y103" s="23">
        <v>960</v>
      </c>
      <c r="Z103" s="28">
        <v>3.63E-3</v>
      </c>
      <c r="AB103" s="7"/>
      <c r="AC103" s="7"/>
      <c r="AD103" s="7"/>
      <c r="AE103" s="7"/>
      <c r="AF103" s="15"/>
      <c r="AG103" s="14"/>
      <c r="AH103" s="14"/>
      <c r="AI103" s="14"/>
      <c r="AJ103" s="15"/>
    </row>
    <row r="104" spans="2:36">
      <c r="B104" s="5" t="s">
        <v>200</v>
      </c>
      <c r="C104" s="2">
        <v>28</v>
      </c>
      <c r="D104" s="17">
        <v>3.7349999999999999</v>
      </c>
      <c r="E104" s="5" t="e">
        <v>#REF!</v>
      </c>
      <c r="F104" s="14">
        <v>67.5</v>
      </c>
      <c r="G104" s="14">
        <v>17.3</v>
      </c>
      <c r="H104" s="14">
        <v>8.3000000000000007</v>
      </c>
      <c r="I104" s="14">
        <v>3735</v>
      </c>
      <c r="J104" s="28">
        <v>9.6923249999999999E-3</v>
      </c>
      <c r="K104" s="36">
        <v>26.574817500000002</v>
      </c>
      <c r="L104" s="36">
        <v>6.811027300000001</v>
      </c>
      <c r="M104" s="36">
        <v>3.2677183000000003</v>
      </c>
      <c r="N104" s="36">
        <v>3.7349999999999999</v>
      </c>
      <c r="P104" s="25">
        <v>3861.7091008324273</v>
      </c>
      <c r="Q104" s="32">
        <v>3.2811663831725187E-2</v>
      </c>
      <c r="S104" s="47">
        <v>2.5128250000000003</v>
      </c>
      <c r="T104" s="47">
        <v>1.2221749999999996</v>
      </c>
      <c r="V104" s="7">
        <v>67</v>
      </c>
      <c r="W104" s="7">
        <v>16</v>
      </c>
      <c r="X104" s="7">
        <v>12.5</v>
      </c>
      <c r="Y104" s="7">
        <v>3900</v>
      </c>
      <c r="Z104" s="28">
        <v>1.34E-2</v>
      </c>
      <c r="AB104" s="14">
        <v>45</v>
      </c>
      <c r="AC104" s="14">
        <v>17</v>
      </c>
      <c r="AD104" s="14">
        <v>4.5</v>
      </c>
      <c r="AE104" s="23">
        <v>1190</v>
      </c>
      <c r="AF104" s="7"/>
      <c r="AG104" s="7">
        <v>67</v>
      </c>
      <c r="AH104" s="7">
        <v>16</v>
      </c>
      <c r="AI104" s="7">
        <v>11.5</v>
      </c>
      <c r="AJ104" s="7">
        <v>3.76</v>
      </c>
    </row>
    <row r="105" spans="2:36">
      <c r="B105" s="5" t="s">
        <v>201</v>
      </c>
      <c r="C105" s="2">
        <v>9</v>
      </c>
      <c r="D105" s="17">
        <v>2.29</v>
      </c>
      <c r="E105" s="5" t="e">
        <v>#REF!</v>
      </c>
      <c r="F105" s="14">
        <v>32</v>
      </c>
      <c r="G105" s="14">
        <v>29</v>
      </c>
      <c r="H105" s="14">
        <v>12</v>
      </c>
      <c r="I105" s="14">
        <v>2290</v>
      </c>
      <c r="J105" s="28">
        <v>1.1136E-2</v>
      </c>
      <c r="K105" s="36">
        <v>12.598432000000001</v>
      </c>
      <c r="L105" s="36">
        <v>11.417329000000001</v>
      </c>
      <c r="M105" s="36">
        <v>4.7244120000000001</v>
      </c>
      <c r="N105" s="36">
        <v>2.29</v>
      </c>
      <c r="P105" s="25">
        <v>1760.2630159999997</v>
      </c>
      <c r="Q105" s="32">
        <v>-0.30094194968872789</v>
      </c>
      <c r="S105" s="47">
        <v>2.887111111111111</v>
      </c>
      <c r="T105" s="47">
        <v>-0.59711111111111093</v>
      </c>
      <c r="V105" s="7">
        <v>32</v>
      </c>
      <c r="W105" s="7">
        <v>32</v>
      </c>
      <c r="X105" s="7">
        <v>11</v>
      </c>
      <c r="Y105" s="7">
        <v>1800</v>
      </c>
      <c r="Z105" s="28">
        <v>1.1264E-2</v>
      </c>
      <c r="AB105" s="7">
        <v>67</v>
      </c>
      <c r="AC105" s="7">
        <v>16</v>
      </c>
      <c r="AD105" s="7">
        <v>10</v>
      </c>
      <c r="AE105" s="7">
        <v>3405</v>
      </c>
      <c r="AF105" s="7"/>
      <c r="AG105" s="7">
        <v>32</v>
      </c>
      <c r="AH105" s="7">
        <v>32</v>
      </c>
      <c r="AI105" s="7">
        <v>6.5</v>
      </c>
      <c r="AJ105" s="7">
        <v>1190</v>
      </c>
    </row>
    <row r="106" spans="2:36">
      <c r="B106" s="2" t="s">
        <v>456</v>
      </c>
      <c r="C106" s="2">
        <v>119</v>
      </c>
      <c r="D106" s="17">
        <v>1.45</v>
      </c>
      <c r="E106" s="5" t="e">
        <v>#REF!</v>
      </c>
      <c r="F106" s="14">
        <v>47</v>
      </c>
      <c r="G106" s="14">
        <v>18</v>
      </c>
      <c r="H106" s="14">
        <v>5.3</v>
      </c>
      <c r="I106" s="14">
        <v>1450</v>
      </c>
      <c r="J106" s="28">
        <v>4.4838000000000005E-3</v>
      </c>
      <c r="K106" s="36">
        <v>18.503947</v>
      </c>
      <c r="L106" s="36">
        <v>7.0866180000000005</v>
      </c>
      <c r="M106" s="36">
        <v>2.0866153000000001</v>
      </c>
      <c r="N106" s="36">
        <v>1.45</v>
      </c>
      <c r="P106" s="25">
        <v>1586.6481568429865</v>
      </c>
      <c r="Q106" s="32">
        <v>8.6123792633951368E-2</v>
      </c>
      <c r="S106" s="47">
        <v>1.1624666666666668</v>
      </c>
      <c r="T106" s="47">
        <v>0.2875333333333332</v>
      </c>
      <c r="V106" s="14">
        <v>44</v>
      </c>
      <c r="W106" s="14">
        <v>16.5</v>
      </c>
      <c r="X106" s="14">
        <v>7</v>
      </c>
      <c r="Y106" s="14">
        <v>2200</v>
      </c>
      <c r="Z106" s="28">
        <v>5.0819999999999997E-3</v>
      </c>
      <c r="AB106" s="7">
        <v>32</v>
      </c>
      <c r="AC106" s="7">
        <v>29</v>
      </c>
      <c r="AD106" s="7">
        <v>12</v>
      </c>
      <c r="AE106" s="7">
        <v>2290</v>
      </c>
      <c r="AF106" s="14"/>
      <c r="AG106" s="14">
        <v>44</v>
      </c>
      <c r="AH106" s="14">
        <v>16</v>
      </c>
      <c r="AI106" s="14">
        <v>7.5</v>
      </c>
      <c r="AJ106" s="14">
        <v>1540</v>
      </c>
    </row>
    <row r="107" spans="2:36">
      <c r="B107" s="2" t="s">
        <v>202</v>
      </c>
      <c r="C107" s="2">
        <v>127</v>
      </c>
      <c r="D107" s="17">
        <v>3.27</v>
      </c>
      <c r="E107" s="5" t="e">
        <v>#REF!</v>
      </c>
      <c r="F107" s="14">
        <v>86.3</v>
      </c>
      <c r="G107" s="14">
        <v>17.3</v>
      </c>
      <c r="H107" s="14">
        <v>5.2</v>
      </c>
      <c r="I107" s="14">
        <v>3270</v>
      </c>
      <c r="J107" s="28">
        <v>7.7635480000000003E-3</v>
      </c>
      <c r="K107" s="36">
        <v>33.976396299999998</v>
      </c>
      <c r="L107" s="36">
        <v>6.811027300000001</v>
      </c>
      <c r="M107" s="36">
        <v>2.0472452000000003</v>
      </c>
      <c r="N107" s="36">
        <v>3.27</v>
      </c>
      <c r="P107" s="25">
        <v>3285.4076764370848</v>
      </c>
      <c r="Q107" s="32">
        <v>4.6897304549412527E-3</v>
      </c>
      <c r="S107" s="47">
        <v>2.0127717037037041</v>
      </c>
      <c r="T107" s="47">
        <v>1.257228296296296</v>
      </c>
      <c r="V107" s="14">
        <v>47</v>
      </c>
      <c r="W107" s="14">
        <v>24</v>
      </c>
      <c r="X107" s="14">
        <v>7.5</v>
      </c>
      <c r="Y107" s="14">
        <v>3700</v>
      </c>
      <c r="Z107" s="28">
        <v>8.4600000000000005E-3</v>
      </c>
      <c r="AB107" s="14">
        <v>44</v>
      </c>
      <c r="AC107" s="14">
        <v>16</v>
      </c>
      <c r="AD107" s="14">
        <v>7</v>
      </c>
      <c r="AE107" s="14">
        <v>1350</v>
      </c>
      <c r="AF107" s="14"/>
      <c r="AG107" s="14"/>
      <c r="AH107" s="14"/>
      <c r="AI107" s="14"/>
      <c r="AJ107" s="14"/>
    </row>
    <row r="108" spans="2:36">
      <c r="B108" s="5" t="s">
        <v>203</v>
      </c>
      <c r="C108" s="2" t="e">
        <v>#N/A</v>
      </c>
      <c r="D108" s="17">
        <v>25</v>
      </c>
      <c r="E108" s="5" t="e">
        <v>#REF!</v>
      </c>
      <c r="F108" s="14">
        <v>123</v>
      </c>
      <c r="G108" s="14">
        <v>63</v>
      </c>
      <c r="H108" s="14">
        <v>8.5</v>
      </c>
      <c r="I108" s="14">
        <v>25000</v>
      </c>
      <c r="J108" s="28">
        <v>6.5866499999999994E-2</v>
      </c>
      <c r="K108" s="36">
        <v>48.425223000000003</v>
      </c>
      <c r="L108" s="36">
        <v>24.803163000000001</v>
      </c>
      <c r="M108" s="36">
        <v>3.3464585000000002</v>
      </c>
      <c r="N108" s="36">
        <v>25</v>
      </c>
      <c r="P108" s="25">
        <v>25365.273886381638</v>
      </c>
      <c r="Q108" s="32">
        <v>1.4400549665570514E-2</v>
      </c>
      <c r="S108" s="47">
        <v>17.076499999999999</v>
      </c>
      <c r="T108" s="47">
        <v>7.9235000000000007</v>
      </c>
      <c r="V108" s="7"/>
      <c r="W108" s="7"/>
      <c r="X108" s="7"/>
      <c r="Y108" s="7"/>
      <c r="Z108" s="43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2:36">
      <c r="B109" s="5" t="s">
        <v>209</v>
      </c>
      <c r="C109" s="2">
        <v>24</v>
      </c>
      <c r="D109" s="17">
        <v>1.52</v>
      </c>
      <c r="E109" s="5" t="e">
        <v>#REF!</v>
      </c>
      <c r="F109" s="14">
        <v>34.5</v>
      </c>
      <c r="G109" s="14">
        <v>32.5</v>
      </c>
      <c r="H109" s="14">
        <v>6.5</v>
      </c>
      <c r="I109" s="14">
        <v>1520</v>
      </c>
      <c r="J109" s="28">
        <v>7.2881250000000003E-3</v>
      </c>
      <c r="K109" s="36">
        <v>13.582684500000001</v>
      </c>
      <c r="L109" s="36">
        <v>12.795282500000001</v>
      </c>
      <c r="M109" s="36">
        <v>2.5590565000000001</v>
      </c>
      <c r="N109" s="36">
        <v>1.52</v>
      </c>
      <c r="P109" s="25">
        <v>1501.8444999999999</v>
      </c>
      <c r="Q109" s="32">
        <v>-1.2088801470458543E-2</v>
      </c>
      <c r="S109" s="47">
        <v>1.8895138888888889</v>
      </c>
      <c r="T109" s="47">
        <v>-0.36951388888888892</v>
      </c>
      <c r="V109" s="7">
        <v>34</v>
      </c>
      <c r="W109" s="7">
        <v>33</v>
      </c>
      <c r="X109" s="7">
        <v>6.5</v>
      </c>
      <c r="Y109" s="7">
        <v>1400</v>
      </c>
      <c r="Z109" s="28">
        <v>7.293E-3</v>
      </c>
      <c r="AB109" s="14">
        <v>86.5</v>
      </c>
      <c r="AC109" s="14">
        <v>16</v>
      </c>
      <c r="AD109" s="14">
        <v>6</v>
      </c>
      <c r="AE109" s="14">
        <v>3270</v>
      </c>
      <c r="AF109" s="7"/>
      <c r="AG109" s="7">
        <v>34</v>
      </c>
      <c r="AH109" s="7">
        <v>32</v>
      </c>
      <c r="AI109" s="7">
        <v>6.5</v>
      </c>
      <c r="AJ109" s="7">
        <v>1190</v>
      </c>
    </row>
    <row r="110" spans="2:36">
      <c r="B110" s="5" t="s">
        <v>210</v>
      </c>
      <c r="C110" s="2">
        <v>33</v>
      </c>
      <c r="D110" s="17">
        <v>0.94</v>
      </c>
      <c r="E110" s="5" t="e">
        <v>#REF!</v>
      </c>
      <c r="F110" s="14">
        <v>26</v>
      </c>
      <c r="G110" s="14">
        <v>25</v>
      </c>
      <c r="H110" s="14">
        <v>5.5</v>
      </c>
      <c r="I110" s="14">
        <v>940</v>
      </c>
      <c r="J110" s="28">
        <v>3.5750000000000001E-3</v>
      </c>
      <c r="K110" s="36">
        <v>10.236226</v>
      </c>
      <c r="L110" s="36">
        <v>9.8425250000000002</v>
      </c>
      <c r="M110" s="36">
        <v>2.1653555</v>
      </c>
      <c r="N110" s="36">
        <v>0.94000000000000006</v>
      </c>
      <c r="P110" s="25">
        <v>1107.9613559322036</v>
      </c>
      <c r="Q110" s="32">
        <v>0.15159495864446121</v>
      </c>
      <c r="S110" s="47">
        <v>0.92685185185185193</v>
      </c>
      <c r="T110" s="47">
        <v>1.314814814814802E-2</v>
      </c>
      <c r="V110" s="7">
        <v>28</v>
      </c>
      <c r="W110" s="7">
        <v>26</v>
      </c>
      <c r="X110" s="7">
        <v>4.5</v>
      </c>
      <c r="Y110" s="7">
        <v>825</v>
      </c>
      <c r="Z110" s="28">
        <v>3.2759999999999998E-3</v>
      </c>
      <c r="AB110" s="7">
        <v>34</v>
      </c>
      <c r="AC110" s="7">
        <v>32</v>
      </c>
      <c r="AD110" s="7">
        <v>6</v>
      </c>
      <c r="AE110" s="7">
        <v>1345</v>
      </c>
      <c r="AF110" s="7"/>
      <c r="AG110" s="7">
        <v>29</v>
      </c>
      <c r="AH110" s="7">
        <v>26</v>
      </c>
      <c r="AI110" s="7">
        <v>4</v>
      </c>
      <c r="AJ110" s="7">
        <v>780</v>
      </c>
    </row>
    <row r="111" spans="2:36">
      <c r="B111" s="5" t="s">
        <v>219</v>
      </c>
      <c r="C111" s="2">
        <v>24</v>
      </c>
      <c r="D111" s="17">
        <v>7.3550000000000004</v>
      </c>
      <c r="E111" s="5" t="e">
        <v>#REF!</v>
      </c>
      <c r="F111" s="14">
        <v>86</v>
      </c>
      <c r="G111" s="14">
        <v>59</v>
      </c>
      <c r="H111" s="14">
        <v>4.5</v>
      </c>
      <c r="I111" s="14">
        <v>7355</v>
      </c>
      <c r="J111" s="28">
        <v>2.2832999999999999E-2</v>
      </c>
      <c r="K111" s="36">
        <v>33.858286</v>
      </c>
      <c r="L111" s="36">
        <v>23.228359000000001</v>
      </c>
      <c r="M111" s="36">
        <v>1.7716545000000001</v>
      </c>
      <c r="N111" s="36">
        <v>7.3550000000000004</v>
      </c>
      <c r="P111" s="25">
        <v>7103.9556637976366</v>
      </c>
      <c r="Q111" s="32">
        <v>-3.5338668776004153E-2</v>
      </c>
      <c r="S111" s="47">
        <v>5.9196666666666671</v>
      </c>
      <c r="T111" s="47">
        <v>1.4353333333333333</v>
      </c>
      <c r="V111" s="7">
        <v>87</v>
      </c>
      <c r="W111" s="7">
        <v>57</v>
      </c>
      <c r="X111" s="7">
        <v>6.5</v>
      </c>
      <c r="Y111" s="7">
        <v>6800</v>
      </c>
      <c r="Z111" s="28">
        <v>3.2233499999999998E-2</v>
      </c>
      <c r="AB111" s="7"/>
      <c r="AC111" s="7"/>
      <c r="AD111" s="7"/>
      <c r="AE111" s="7"/>
      <c r="AF111" s="7"/>
      <c r="AG111" s="7">
        <v>87</v>
      </c>
      <c r="AH111" s="7">
        <v>57</v>
      </c>
      <c r="AI111" s="7">
        <v>6.5</v>
      </c>
      <c r="AJ111" s="7">
        <v>6840</v>
      </c>
    </row>
    <row r="112" spans="2:36">
      <c r="B112" s="5" t="s">
        <v>220</v>
      </c>
      <c r="C112" s="2">
        <v>3</v>
      </c>
      <c r="D112" s="17">
        <v>10.95</v>
      </c>
      <c r="E112" s="5" t="e">
        <v>#REF!</v>
      </c>
      <c r="F112" s="14">
        <v>87</v>
      </c>
      <c r="G112" s="14">
        <v>64</v>
      </c>
      <c r="H112" s="14">
        <v>8.5</v>
      </c>
      <c r="I112" s="14">
        <v>10950</v>
      </c>
      <c r="J112" s="28">
        <v>4.7328000000000002E-2</v>
      </c>
      <c r="K112" s="36">
        <v>34.251987</v>
      </c>
      <c r="L112" s="36">
        <v>25.196864000000001</v>
      </c>
      <c r="M112" s="36">
        <v>3.3464585000000002</v>
      </c>
      <c r="N112" s="36">
        <v>10.950000000000001</v>
      </c>
      <c r="P112" s="25">
        <v>9860.9880923182245</v>
      </c>
      <c r="Q112" s="32">
        <v>-0.11043638806643759</v>
      </c>
      <c r="S112" s="47">
        <v>12.270222222222223</v>
      </c>
      <c r="T112" s="47">
        <v>-1.320222222222224</v>
      </c>
      <c r="V112" s="7">
        <v>87</v>
      </c>
      <c r="W112" s="7">
        <v>67</v>
      </c>
      <c r="X112" s="7">
        <v>9</v>
      </c>
      <c r="Y112" s="7">
        <v>9600</v>
      </c>
      <c r="Z112" s="28">
        <v>5.2461000000000001E-2</v>
      </c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2:36">
      <c r="B113" s="5" t="s">
        <v>225</v>
      </c>
      <c r="C113" s="2" t="e">
        <v>#N/A</v>
      </c>
      <c r="D113" s="17">
        <v>16.62</v>
      </c>
      <c r="E113" s="5" t="e">
        <v>#REF!</v>
      </c>
      <c r="F113" s="14">
        <v>95</v>
      </c>
      <c r="G113" s="14">
        <v>51</v>
      </c>
      <c r="H113" s="14">
        <v>7</v>
      </c>
      <c r="I113" s="14">
        <v>16620</v>
      </c>
      <c r="J113" s="28">
        <v>3.3915000000000001E-2</v>
      </c>
      <c r="K113" s="36">
        <v>37.401595</v>
      </c>
      <c r="L113" s="36">
        <v>20.078751</v>
      </c>
      <c r="M113" s="36">
        <v>2.7559070000000001</v>
      </c>
      <c r="N113" s="36">
        <v>16.62</v>
      </c>
      <c r="P113" s="25">
        <v>16939.884066656359</v>
      </c>
      <c r="Q113" s="32">
        <v>1.8883486179578017E-2</v>
      </c>
      <c r="S113" s="47">
        <v>8.7927777777777791</v>
      </c>
      <c r="T113" s="47">
        <v>7.8272222222222219</v>
      </c>
      <c r="V113" s="7"/>
      <c r="W113" s="7"/>
      <c r="X113" s="7"/>
      <c r="Y113" s="7"/>
      <c r="Z113" s="43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2:36">
      <c r="B114" s="5" t="s">
        <v>457</v>
      </c>
      <c r="C114" s="2">
        <v>88</v>
      </c>
      <c r="D114" s="17" t="e">
        <v>#N/A</v>
      </c>
      <c r="E114" s="5" t="e">
        <v>#REF!</v>
      </c>
      <c r="F114" s="14" t="e">
        <v>#N/A</v>
      </c>
      <c r="G114" s="14" t="e">
        <v>#N/A</v>
      </c>
      <c r="H114" s="14" t="e">
        <v>#N/A</v>
      </c>
      <c r="I114" s="14" t="e">
        <v>#N/A</v>
      </c>
      <c r="J114" s="28" t="e">
        <v>#N/A</v>
      </c>
      <c r="K114" s="36" t="e">
        <v>#N/A</v>
      </c>
      <c r="L114" s="36" t="e">
        <v>#N/A</v>
      </c>
      <c r="M114" s="36" t="e">
        <v>#N/A</v>
      </c>
      <c r="N114" s="36" t="e">
        <v>#N/A</v>
      </c>
      <c r="P114" s="25">
        <v>792.57928864084033</v>
      </c>
      <c r="Q114" s="32" t="e">
        <v>#N/A</v>
      </c>
      <c r="S114" s="47" t="e">
        <v>#N/A</v>
      </c>
      <c r="T114" s="47" t="e">
        <v>#N/A</v>
      </c>
      <c r="V114" s="7">
        <v>47</v>
      </c>
      <c r="W114" s="7">
        <v>15</v>
      </c>
      <c r="X114" s="7">
        <v>6</v>
      </c>
      <c r="Y114" s="7">
        <v>860</v>
      </c>
      <c r="Z114" s="28">
        <v>4.2300000000000003E-3</v>
      </c>
      <c r="AB114" s="7"/>
      <c r="AC114" s="7"/>
      <c r="AD114" s="7"/>
      <c r="AE114" s="7"/>
      <c r="AF114" s="7"/>
      <c r="AG114" s="7">
        <v>43</v>
      </c>
      <c r="AH114" s="7">
        <v>15</v>
      </c>
      <c r="AI114" s="7">
        <v>6</v>
      </c>
      <c r="AJ114" s="7">
        <v>680</v>
      </c>
    </row>
    <row r="115" spans="2:36">
      <c r="B115" s="5" t="s">
        <v>458</v>
      </c>
      <c r="C115" s="2">
        <v>3</v>
      </c>
      <c r="D115" s="17" t="e">
        <v>#N/A</v>
      </c>
      <c r="E115" s="5" t="e">
        <v>#REF!</v>
      </c>
      <c r="F115" s="14" t="e">
        <v>#N/A</v>
      </c>
      <c r="G115" s="14" t="e">
        <v>#N/A</v>
      </c>
      <c r="H115" s="14" t="e">
        <v>#N/A</v>
      </c>
      <c r="I115" s="14" t="e">
        <v>#N/A</v>
      </c>
      <c r="J115" s="28" t="e">
        <v>#N/A</v>
      </c>
      <c r="K115" s="36" t="e">
        <v>#N/A</v>
      </c>
      <c r="L115" s="36" t="e">
        <v>#N/A</v>
      </c>
      <c r="M115" s="36" t="e">
        <v>#N/A</v>
      </c>
      <c r="N115" s="36" t="e">
        <v>#N/A</v>
      </c>
      <c r="P115" s="25">
        <v>1013.8949300087189</v>
      </c>
      <c r="Q115" s="32" t="e">
        <v>#N/A</v>
      </c>
      <c r="S115" s="47" t="e">
        <v>#N/A</v>
      </c>
      <c r="T115" s="47" t="e">
        <v>#N/A</v>
      </c>
      <c r="V115" s="7">
        <v>57</v>
      </c>
      <c r="W115" s="7">
        <v>15</v>
      </c>
      <c r="X115" s="7">
        <v>6</v>
      </c>
      <c r="Y115" s="7">
        <v>940</v>
      </c>
      <c r="Z115" s="28">
        <v>5.13E-3</v>
      </c>
      <c r="AB115" s="7">
        <v>35</v>
      </c>
      <c r="AC115" s="7">
        <v>14</v>
      </c>
      <c r="AD115" s="7">
        <v>5</v>
      </c>
      <c r="AE115" s="7">
        <v>660</v>
      </c>
      <c r="AF115" s="7"/>
      <c r="AG115" s="7">
        <v>53</v>
      </c>
      <c r="AH115" s="7">
        <v>15</v>
      </c>
      <c r="AI115" s="7">
        <v>6</v>
      </c>
      <c r="AJ115" s="7">
        <v>860</v>
      </c>
    </row>
    <row r="116" spans="2:36">
      <c r="B116" s="5" t="s">
        <v>459</v>
      </c>
      <c r="C116" s="2">
        <v>1</v>
      </c>
      <c r="D116" s="17" t="e">
        <v>#N/A</v>
      </c>
      <c r="E116" s="5" t="e">
        <v>#REF!</v>
      </c>
      <c r="F116" s="14" t="e">
        <v>#N/A</v>
      </c>
      <c r="G116" s="14" t="e">
        <v>#N/A</v>
      </c>
      <c r="H116" s="14" t="e">
        <v>#N/A</v>
      </c>
      <c r="I116" s="14" t="e">
        <v>#N/A</v>
      </c>
      <c r="J116" s="28" t="e">
        <v>#N/A</v>
      </c>
      <c r="K116" s="36" t="e">
        <v>#N/A</v>
      </c>
      <c r="L116" s="36" t="e">
        <v>#N/A</v>
      </c>
      <c r="M116" s="36" t="e">
        <v>#N/A</v>
      </c>
      <c r="N116" s="36" t="e">
        <v>#N/A</v>
      </c>
      <c r="P116" s="25">
        <v>1233.9521713765971</v>
      </c>
      <c r="Q116" s="32" t="e">
        <v>#N/A</v>
      </c>
      <c r="S116" s="47" t="e">
        <v>#N/A</v>
      </c>
      <c r="T116" s="47" t="e">
        <v>#N/A</v>
      </c>
      <c r="V116" s="7">
        <v>67</v>
      </c>
      <c r="W116" s="7">
        <v>15</v>
      </c>
      <c r="X116" s="7">
        <v>6</v>
      </c>
      <c r="Y116" s="7">
        <v>1200</v>
      </c>
      <c r="Z116" s="28">
        <v>6.0299999999999998E-3</v>
      </c>
      <c r="AB116" s="7"/>
      <c r="AC116" s="7"/>
      <c r="AD116" s="7"/>
      <c r="AE116" s="7"/>
      <c r="AF116" s="7"/>
      <c r="AG116" s="7">
        <v>63</v>
      </c>
      <c r="AH116" s="7">
        <v>15</v>
      </c>
      <c r="AI116" s="7">
        <v>6</v>
      </c>
      <c r="AJ116" s="7">
        <v>1110</v>
      </c>
    </row>
    <row r="117" spans="2:36">
      <c r="B117" s="5" t="s">
        <v>460</v>
      </c>
      <c r="C117" s="2">
        <v>24</v>
      </c>
      <c r="D117" s="17" t="e">
        <v>#N/A</v>
      </c>
      <c r="E117" s="5" t="e">
        <v>#REF!</v>
      </c>
      <c r="F117" s="14" t="e">
        <v>#N/A</v>
      </c>
      <c r="G117" s="14" t="e">
        <v>#N/A</v>
      </c>
      <c r="H117" s="14" t="e">
        <v>#N/A</v>
      </c>
      <c r="I117" s="14" t="e">
        <v>#N/A</v>
      </c>
      <c r="J117" s="28" t="e">
        <v>#N/A</v>
      </c>
      <c r="K117" s="36" t="e">
        <v>#N/A</v>
      </c>
      <c r="L117" s="36" t="e">
        <v>#N/A</v>
      </c>
      <c r="M117" s="36" t="e">
        <v>#N/A</v>
      </c>
      <c r="N117" s="36" t="e">
        <v>#N/A</v>
      </c>
      <c r="P117" s="25">
        <v>673.15680000000009</v>
      </c>
      <c r="Q117" s="32" t="e">
        <v>#N/A</v>
      </c>
      <c r="S117" s="47" t="e">
        <v>#N/A</v>
      </c>
      <c r="T117" s="47" t="e">
        <v>#N/A</v>
      </c>
      <c r="V117" s="7">
        <v>37</v>
      </c>
      <c r="W117" s="7">
        <v>15</v>
      </c>
      <c r="X117" s="7">
        <v>6</v>
      </c>
      <c r="Y117" s="7">
        <v>830</v>
      </c>
      <c r="Z117" s="28">
        <v>3.3300000000000001E-3</v>
      </c>
      <c r="AB117" s="7"/>
      <c r="AC117" s="7"/>
      <c r="AD117" s="7"/>
      <c r="AE117" s="7"/>
      <c r="AF117" s="7"/>
      <c r="AG117" s="7">
        <v>33</v>
      </c>
      <c r="AH117" s="7">
        <v>15</v>
      </c>
      <c r="AI117" s="7">
        <v>6</v>
      </c>
      <c r="AJ117" s="7">
        <v>790</v>
      </c>
    </row>
    <row r="118" spans="2:36">
      <c r="B118" s="5" t="s">
        <v>226</v>
      </c>
      <c r="C118" s="2">
        <v>82</v>
      </c>
      <c r="D118" s="17">
        <v>1.46</v>
      </c>
      <c r="E118" s="5" t="e">
        <v>#REF!</v>
      </c>
      <c r="F118" s="14">
        <v>54</v>
      </c>
      <c r="G118" s="14">
        <v>15.7</v>
      </c>
      <c r="H118" s="14">
        <v>6.5</v>
      </c>
      <c r="I118" s="14">
        <v>1460</v>
      </c>
      <c r="J118" s="28">
        <v>5.5106999999999995E-3</v>
      </c>
      <c r="K118" s="36">
        <v>21.259854000000001</v>
      </c>
      <c r="L118" s="36">
        <v>6.1811056999999998</v>
      </c>
      <c r="M118" s="36">
        <v>2.5590565000000001</v>
      </c>
      <c r="N118" s="36">
        <v>1.46</v>
      </c>
      <c r="P118" s="25">
        <v>1621.1498874804906</v>
      </c>
      <c r="Q118" s="32">
        <v>9.9404681038433571E-2</v>
      </c>
      <c r="S118" s="47">
        <v>1.4287000000000001</v>
      </c>
      <c r="T118" s="47">
        <v>3.1299999999999883E-2</v>
      </c>
      <c r="V118" s="7">
        <v>67</v>
      </c>
      <c r="W118" s="7">
        <v>15</v>
      </c>
      <c r="X118" s="7">
        <v>7</v>
      </c>
      <c r="Y118" s="7">
        <v>1700</v>
      </c>
      <c r="Z118" s="28">
        <v>7.0349999999999996E-3</v>
      </c>
      <c r="AB118" s="7">
        <v>26</v>
      </c>
      <c r="AC118" s="7">
        <v>15</v>
      </c>
      <c r="AD118" s="7">
        <v>6</v>
      </c>
      <c r="AE118" s="7">
        <v>650</v>
      </c>
      <c r="AF118" s="7"/>
      <c r="AG118" s="7">
        <v>62</v>
      </c>
      <c r="AH118" s="7">
        <v>15</v>
      </c>
      <c r="AI118" s="7">
        <v>6</v>
      </c>
      <c r="AJ118" s="7">
        <v>1490</v>
      </c>
    </row>
    <row r="119" spans="2:36">
      <c r="B119" s="4" t="s">
        <v>231</v>
      </c>
      <c r="C119" s="2">
        <v>21</v>
      </c>
      <c r="D119" s="17">
        <v>1.75</v>
      </c>
      <c r="E119" s="5" t="e">
        <v>#REF!</v>
      </c>
      <c r="F119" s="14">
        <v>35</v>
      </c>
      <c r="G119" s="14">
        <v>25</v>
      </c>
      <c r="H119" s="14">
        <v>5</v>
      </c>
      <c r="I119" s="14">
        <v>1750</v>
      </c>
      <c r="J119" s="28">
        <v>4.3750000000000004E-3</v>
      </c>
      <c r="K119" s="36">
        <v>13.779535000000001</v>
      </c>
      <c r="L119" s="36">
        <v>9.8425250000000002</v>
      </c>
      <c r="M119" s="36">
        <v>1.9685050000000002</v>
      </c>
      <c r="N119" s="36">
        <v>1.75</v>
      </c>
      <c r="P119" s="25">
        <v>1076.7192</v>
      </c>
      <c r="Q119" s="32">
        <v>-0.62530769396514896</v>
      </c>
      <c r="S119" s="47">
        <v>1.1342592592592593</v>
      </c>
      <c r="T119" s="47">
        <v>0.6157407407407407</v>
      </c>
      <c r="V119" s="14">
        <v>34</v>
      </c>
      <c r="W119" s="14">
        <v>23</v>
      </c>
      <c r="X119" s="14">
        <v>7</v>
      </c>
      <c r="Y119" s="14">
        <v>1100</v>
      </c>
      <c r="Z119" s="28">
        <v>5.4739999999999997E-3</v>
      </c>
      <c r="AB119" s="7"/>
      <c r="AC119" s="7"/>
      <c r="AD119" s="7"/>
      <c r="AE119" s="7"/>
      <c r="AF119" s="14"/>
      <c r="AG119" s="14">
        <v>37</v>
      </c>
      <c r="AH119" s="14">
        <v>24</v>
      </c>
      <c r="AI119" s="14">
        <v>6</v>
      </c>
      <c r="AJ119" s="14">
        <v>1250</v>
      </c>
    </row>
    <row r="120" spans="2:36">
      <c r="B120" s="4" t="s">
        <v>232</v>
      </c>
      <c r="C120" s="2">
        <v>60</v>
      </c>
      <c r="D120" s="17">
        <v>1.55</v>
      </c>
      <c r="E120" s="5" t="e">
        <v>#REF!</v>
      </c>
      <c r="F120" s="14">
        <v>35.5</v>
      </c>
      <c r="G120" s="14">
        <v>25</v>
      </c>
      <c r="H120" s="14">
        <v>5</v>
      </c>
      <c r="I120" s="14">
        <v>1550</v>
      </c>
      <c r="J120" s="28">
        <v>4.4374999999999996E-3</v>
      </c>
      <c r="K120" s="36">
        <v>13.976385500000001</v>
      </c>
      <c r="L120" s="36">
        <v>9.8425250000000002</v>
      </c>
      <c r="M120" s="36">
        <v>1.9685050000000002</v>
      </c>
      <c r="N120" s="36">
        <v>1.55</v>
      </c>
      <c r="P120" s="25">
        <v>1266.3813680000001</v>
      </c>
      <c r="Q120" s="32">
        <v>-0.22395989009844616</v>
      </c>
      <c r="S120" s="47">
        <v>1.150462962962963</v>
      </c>
      <c r="T120" s="47">
        <v>0.39953703703703702</v>
      </c>
      <c r="V120" s="14">
        <v>34</v>
      </c>
      <c r="W120" s="14">
        <v>23</v>
      </c>
      <c r="X120" s="14">
        <v>8</v>
      </c>
      <c r="Y120" s="14">
        <v>1250</v>
      </c>
      <c r="Z120" s="28">
        <v>6.2560000000000003E-3</v>
      </c>
      <c r="AB120" s="14">
        <v>37</v>
      </c>
      <c r="AC120" s="14">
        <v>24</v>
      </c>
      <c r="AD120" s="14">
        <v>5</v>
      </c>
      <c r="AE120" s="14">
        <v>1750</v>
      </c>
      <c r="AF120" s="14"/>
      <c r="AG120" s="14">
        <v>34</v>
      </c>
      <c r="AH120" s="14">
        <v>24</v>
      </c>
      <c r="AI120" s="14">
        <v>7</v>
      </c>
      <c r="AJ120" s="14">
        <v>1520</v>
      </c>
    </row>
    <row r="121" spans="2:36">
      <c r="B121" s="5" t="s">
        <v>233</v>
      </c>
      <c r="C121" s="2">
        <v>18</v>
      </c>
      <c r="D121" s="17">
        <v>6.1950000000000003</v>
      </c>
      <c r="E121" s="5" t="e">
        <v>#REF!</v>
      </c>
      <c r="F121" s="14">
        <v>47</v>
      </c>
      <c r="G121" s="14">
        <v>35</v>
      </c>
      <c r="H121" s="14">
        <v>8</v>
      </c>
      <c r="I121" s="14">
        <v>6195</v>
      </c>
      <c r="J121" s="28">
        <v>1.316E-2</v>
      </c>
      <c r="K121" s="36">
        <v>18.503947</v>
      </c>
      <c r="L121" s="36">
        <v>13.779535000000001</v>
      </c>
      <c r="M121" s="36">
        <v>3.1496080000000002</v>
      </c>
      <c r="N121" s="36">
        <v>6.1950000000000003</v>
      </c>
      <c r="P121" s="25">
        <v>6453.7909406508115</v>
      </c>
      <c r="Q121" s="32">
        <v>4.0099058527097969E-2</v>
      </c>
      <c r="S121" s="47">
        <v>3.4118518518518517</v>
      </c>
      <c r="T121" s="47">
        <v>2.7831481481481486</v>
      </c>
      <c r="V121" s="7">
        <v>47</v>
      </c>
      <c r="W121" s="7">
        <v>37</v>
      </c>
      <c r="X121" s="7">
        <v>11.5</v>
      </c>
      <c r="Y121" s="7">
        <v>6400</v>
      </c>
      <c r="Z121" s="28">
        <v>1.9998499999999999E-2</v>
      </c>
      <c r="AB121" s="7">
        <v>34</v>
      </c>
      <c r="AC121" s="7">
        <v>28</v>
      </c>
      <c r="AD121" s="7">
        <v>9</v>
      </c>
      <c r="AE121" s="7">
        <v>3610</v>
      </c>
      <c r="AF121" s="6"/>
      <c r="AG121" s="6"/>
      <c r="AH121" s="6"/>
      <c r="AI121" s="6"/>
      <c r="AJ121" s="6"/>
    </row>
    <row r="122" spans="2:36">
      <c r="B122" s="5" t="s">
        <v>234</v>
      </c>
      <c r="C122" s="2">
        <v>153</v>
      </c>
      <c r="D122" s="17">
        <v>3.6</v>
      </c>
      <c r="E122" s="5" t="e">
        <v>#REF!</v>
      </c>
      <c r="F122" s="14">
        <v>36</v>
      </c>
      <c r="G122" s="14">
        <v>30</v>
      </c>
      <c r="H122" s="14">
        <v>8</v>
      </c>
      <c r="I122" s="14">
        <v>3600</v>
      </c>
      <c r="J122" s="28">
        <v>8.6400000000000001E-3</v>
      </c>
      <c r="K122" s="36">
        <v>14.173236000000001</v>
      </c>
      <c r="L122" s="36">
        <v>11.811030000000001</v>
      </c>
      <c r="M122" s="36">
        <v>3.1496080000000002</v>
      </c>
      <c r="N122" s="36">
        <v>3.6</v>
      </c>
      <c r="P122" s="25">
        <v>3692.1026515755007</v>
      </c>
      <c r="Q122" s="32">
        <v>2.4945853424795338E-2</v>
      </c>
      <c r="S122" s="47">
        <v>2.2400000000000002</v>
      </c>
      <c r="T122" s="47">
        <v>1.3599999999999999</v>
      </c>
      <c r="V122" s="7">
        <v>35</v>
      </c>
      <c r="W122" s="7">
        <v>30.5</v>
      </c>
      <c r="X122" s="7">
        <v>12.5</v>
      </c>
      <c r="Y122" s="7">
        <v>3590</v>
      </c>
      <c r="Z122" s="28">
        <v>1.334375E-2</v>
      </c>
      <c r="AB122" s="7"/>
      <c r="AC122" s="7"/>
      <c r="AD122" s="7"/>
      <c r="AE122" s="7"/>
      <c r="AF122" s="6"/>
      <c r="AG122" s="6"/>
      <c r="AH122" s="6"/>
      <c r="AI122" s="6"/>
      <c r="AJ122" s="6"/>
    </row>
    <row r="123" spans="2:36">
      <c r="B123" s="5" t="s">
        <v>240</v>
      </c>
      <c r="C123" s="2">
        <v>382</v>
      </c>
      <c r="D123" s="17">
        <v>8.2899999999999991</v>
      </c>
      <c r="E123" s="5" t="e">
        <v>#REF!</v>
      </c>
      <c r="F123" s="14">
        <v>109</v>
      </c>
      <c r="G123" s="14">
        <v>28.5</v>
      </c>
      <c r="H123" s="14">
        <v>6</v>
      </c>
      <c r="I123" s="14">
        <v>8290</v>
      </c>
      <c r="J123" s="28">
        <v>1.8638999999999999E-2</v>
      </c>
      <c r="K123" s="36">
        <v>42.913409000000001</v>
      </c>
      <c r="L123" s="36">
        <v>11.2204785</v>
      </c>
      <c r="M123" s="36">
        <v>2.362206</v>
      </c>
      <c r="N123" s="36">
        <v>8.2900000000000009</v>
      </c>
      <c r="P123" s="25">
        <v>8316.4791534708493</v>
      </c>
      <c r="Q123" s="32">
        <v>3.1839379360192707E-3</v>
      </c>
      <c r="S123" s="47">
        <v>4.8323333333333336</v>
      </c>
      <c r="T123" s="47">
        <v>3.4576666666666656</v>
      </c>
      <c r="V123" s="7">
        <v>118.7</v>
      </c>
      <c r="W123" s="7">
        <v>26.5</v>
      </c>
      <c r="X123" s="7">
        <v>8</v>
      </c>
      <c r="Y123" s="9">
        <v>8500</v>
      </c>
      <c r="Z123" s="28">
        <v>2.51644E-2</v>
      </c>
      <c r="AB123" s="14">
        <v>85</v>
      </c>
      <c r="AC123" s="14">
        <v>28.5</v>
      </c>
      <c r="AD123" s="14">
        <v>6</v>
      </c>
      <c r="AE123" s="14">
        <v>6155</v>
      </c>
      <c r="AF123" s="10"/>
      <c r="AG123" s="7">
        <v>109</v>
      </c>
      <c r="AH123" s="7">
        <v>28</v>
      </c>
      <c r="AI123" s="7">
        <v>8</v>
      </c>
      <c r="AJ123" s="10">
        <v>8340</v>
      </c>
    </row>
    <row r="124" spans="2:36">
      <c r="B124" s="5" t="s">
        <v>241</v>
      </c>
      <c r="C124" s="2">
        <v>106</v>
      </c>
      <c r="D124" s="17">
        <v>5.07</v>
      </c>
      <c r="E124" s="5" t="e">
        <v>#REF!</v>
      </c>
      <c r="F124" s="14">
        <v>71</v>
      </c>
      <c r="G124" s="14">
        <v>28.5</v>
      </c>
      <c r="H124" s="14">
        <v>5.5</v>
      </c>
      <c r="I124" s="14">
        <v>5070</v>
      </c>
      <c r="J124" s="28">
        <v>1.112925E-2</v>
      </c>
      <c r="K124" s="36">
        <v>27.952771000000002</v>
      </c>
      <c r="L124" s="36">
        <v>11.2204785</v>
      </c>
      <c r="M124" s="36">
        <v>2.1653555</v>
      </c>
      <c r="N124" s="36">
        <v>5.07</v>
      </c>
      <c r="P124" s="25">
        <v>4906.7621369473854</v>
      </c>
      <c r="Q124" s="32">
        <v>-3.326793891708163E-2</v>
      </c>
      <c r="S124" s="47">
        <v>2.885361111111111</v>
      </c>
      <c r="T124" s="47">
        <v>2.1846388888888892</v>
      </c>
      <c r="V124" s="7">
        <v>72</v>
      </c>
      <c r="W124" s="7">
        <v>27.5</v>
      </c>
      <c r="X124" s="7">
        <v>8</v>
      </c>
      <c r="Y124" s="22">
        <v>4600</v>
      </c>
      <c r="Z124" s="28">
        <v>1.584E-2</v>
      </c>
      <c r="AB124" s="7">
        <v>117</v>
      </c>
      <c r="AC124" s="7">
        <v>28.5</v>
      </c>
      <c r="AD124" s="7">
        <v>5.5</v>
      </c>
      <c r="AE124" s="9">
        <v>8220</v>
      </c>
      <c r="AF124" s="10"/>
      <c r="AG124" s="7"/>
      <c r="AH124" s="7"/>
      <c r="AI124" s="7"/>
      <c r="AJ124" s="10"/>
    </row>
    <row r="125" spans="2:36">
      <c r="B125" s="5" t="s">
        <v>242</v>
      </c>
      <c r="C125" s="2" t="e">
        <v>#N/A</v>
      </c>
      <c r="D125" s="17">
        <v>24</v>
      </c>
      <c r="E125" s="5" t="e">
        <v>#REF!</v>
      </c>
      <c r="F125" s="14">
        <v>128</v>
      </c>
      <c r="G125" s="14">
        <v>9</v>
      </c>
      <c r="H125" s="14">
        <v>4</v>
      </c>
      <c r="I125" s="14">
        <v>24000</v>
      </c>
      <c r="J125" s="28">
        <v>4.6080000000000001E-3</v>
      </c>
      <c r="K125" s="36">
        <v>50.393728000000003</v>
      </c>
      <c r="L125" s="36">
        <v>3.5433090000000003</v>
      </c>
      <c r="M125" s="36">
        <v>1.5748040000000001</v>
      </c>
      <c r="N125" s="36">
        <v>24</v>
      </c>
      <c r="P125" s="25">
        <v>28499.553478473117</v>
      </c>
      <c r="Q125" s="32">
        <v>0.15788154301686919</v>
      </c>
      <c r="S125" s="47">
        <v>1.1946666666666665</v>
      </c>
      <c r="T125" s="47">
        <v>22.805333333333333</v>
      </c>
      <c r="V125" s="7"/>
      <c r="W125" s="7"/>
      <c r="X125" s="7"/>
      <c r="Y125" s="7"/>
      <c r="Z125" s="43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2:36">
      <c r="B126" s="5" t="s">
        <v>250</v>
      </c>
      <c r="C126" s="2" t="e">
        <v>#N/A</v>
      </c>
      <c r="D126" s="17">
        <v>19.254999999999999</v>
      </c>
      <c r="E126" s="5" t="e">
        <v>#REF!</v>
      </c>
      <c r="F126" s="14">
        <v>91</v>
      </c>
      <c r="G126" s="14">
        <v>54</v>
      </c>
      <c r="H126" s="14">
        <v>9</v>
      </c>
      <c r="I126" s="14">
        <v>19255</v>
      </c>
      <c r="J126" s="28">
        <v>4.4226000000000001E-2</v>
      </c>
      <c r="K126" s="36">
        <v>35.826791</v>
      </c>
      <c r="L126" s="36">
        <v>21.259854000000001</v>
      </c>
      <c r="M126" s="36">
        <v>3.5433090000000003</v>
      </c>
      <c r="N126" s="36">
        <v>19.254999999999999</v>
      </c>
      <c r="P126" s="25">
        <v>19990.257499614236</v>
      </c>
      <c r="Q126" s="32">
        <v>3.6780791824638802E-2</v>
      </c>
      <c r="S126" s="47">
        <v>11.465999999999999</v>
      </c>
      <c r="T126" s="47">
        <v>7.7889999999999997</v>
      </c>
      <c r="V126" s="7"/>
      <c r="W126" s="7"/>
      <c r="X126" s="7"/>
      <c r="Y126" s="7"/>
      <c r="Z126" s="43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2:36">
      <c r="B127" s="40" t="s">
        <v>251</v>
      </c>
      <c r="C127" s="2" t="e">
        <v>#N/A</v>
      </c>
      <c r="D127" s="17">
        <v>26.675000000000001</v>
      </c>
      <c r="E127" s="5" t="e">
        <v>#REF!</v>
      </c>
      <c r="F127" s="14">
        <v>133</v>
      </c>
      <c r="G127" s="14">
        <v>46</v>
      </c>
      <c r="H127" s="14">
        <v>9</v>
      </c>
      <c r="I127" s="14">
        <v>26675</v>
      </c>
      <c r="J127" s="28">
        <v>5.5062E-2</v>
      </c>
      <c r="K127" s="36">
        <v>52.362233000000003</v>
      </c>
      <c r="L127" s="36">
        <v>18.110246</v>
      </c>
      <c r="M127" s="36">
        <v>3.5433090000000003</v>
      </c>
      <c r="N127" s="36">
        <v>26.675000000000001</v>
      </c>
      <c r="P127" s="25">
        <v>27723.021480615073</v>
      </c>
      <c r="Q127" s="32">
        <v>3.7803292160917115E-2</v>
      </c>
      <c r="S127" s="47">
        <v>14.275333333333334</v>
      </c>
      <c r="T127" s="47">
        <v>12.399666666666667</v>
      </c>
      <c r="V127" s="7">
        <v>67</v>
      </c>
      <c r="W127" s="7">
        <v>27.5</v>
      </c>
      <c r="X127" s="7">
        <v>6.5</v>
      </c>
      <c r="Y127" s="7">
        <v>2600</v>
      </c>
      <c r="Z127" s="28">
        <v>1.1976250000000001E-2</v>
      </c>
      <c r="AB127" s="14"/>
      <c r="AC127" s="14"/>
      <c r="AD127" s="14"/>
      <c r="AE127" s="14"/>
    </row>
    <row r="128" spans="2:36">
      <c r="B128" s="5" t="s">
        <v>252</v>
      </c>
      <c r="C128" s="2">
        <v>33</v>
      </c>
      <c r="D128" s="17">
        <v>12.32</v>
      </c>
      <c r="E128" s="5" t="e">
        <v>#REF!</v>
      </c>
      <c r="F128" s="14">
        <v>131</v>
      </c>
      <c r="G128" s="14">
        <v>35.5</v>
      </c>
      <c r="H128" s="14">
        <v>7</v>
      </c>
      <c r="I128" s="14">
        <v>12320</v>
      </c>
      <c r="J128" s="28">
        <v>3.2553499999999999E-2</v>
      </c>
      <c r="K128" s="36">
        <v>51.574831000000003</v>
      </c>
      <c r="L128" s="36">
        <v>13.976385500000001</v>
      </c>
      <c r="M128" s="36">
        <v>2.7559070000000001</v>
      </c>
      <c r="N128" s="36">
        <v>12.32</v>
      </c>
      <c r="P128" s="25">
        <v>12729.331140423654</v>
      </c>
      <c r="Q128" s="32">
        <v>3.2156531706820736E-2</v>
      </c>
      <c r="S128" s="47">
        <v>8.4397962962962954</v>
      </c>
      <c r="T128" s="47">
        <v>3.8802037037037049</v>
      </c>
      <c r="V128" s="7">
        <v>127</v>
      </c>
      <c r="W128" s="7">
        <v>34</v>
      </c>
      <c r="X128" s="7">
        <v>8</v>
      </c>
      <c r="Y128" s="7">
        <v>12100</v>
      </c>
      <c r="Z128" s="28">
        <v>3.4543999999999998E-2</v>
      </c>
      <c r="AB128" s="7">
        <v>86</v>
      </c>
      <c r="AC128" s="7">
        <v>29</v>
      </c>
      <c r="AD128" s="7">
        <v>6</v>
      </c>
      <c r="AE128" s="7">
        <v>6000</v>
      </c>
    </row>
    <row r="129" spans="2:36">
      <c r="B129" s="5" t="s">
        <v>253</v>
      </c>
      <c r="C129" s="2">
        <v>133</v>
      </c>
      <c r="D129" s="17">
        <v>6.21</v>
      </c>
      <c r="E129" s="5" t="e">
        <v>#REF!</v>
      </c>
      <c r="F129" s="14">
        <v>87</v>
      </c>
      <c r="G129" s="14">
        <v>28.5</v>
      </c>
      <c r="H129" s="14">
        <v>5.5</v>
      </c>
      <c r="I129" s="14">
        <v>6210</v>
      </c>
      <c r="J129" s="28">
        <v>1.363725E-2</v>
      </c>
      <c r="K129" s="36">
        <v>34.251987</v>
      </c>
      <c r="L129" s="36">
        <v>11.2204785</v>
      </c>
      <c r="M129" s="36">
        <v>2.1653555</v>
      </c>
      <c r="N129" s="36">
        <v>6.21</v>
      </c>
      <c r="P129" s="25">
        <v>6320.3837959390312</v>
      </c>
      <c r="Q129" s="32">
        <v>1.7464729912439005E-2</v>
      </c>
      <c r="S129" s="47">
        <v>3.5355833333333333</v>
      </c>
      <c r="T129" s="47">
        <v>2.6744166666666667</v>
      </c>
      <c r="V129" s="7">
        <v>87</v>
      </c>
      <c r="W129" s="7">
        <v>27.5</v>
      </c>
      <c r="X129" s="7">
        <v>8</v>
      </c>
      <c r="Y129" s="7">
        <v>6420</v>
      </c>
      <c r="Z129" s="28">
        <v>1.9140000000000001E-2</v>
      </c>
      <c r="AB129" s="7">
        <v>69</v>
      </c>
      <c r="AC129" s="7">
        <v>27.5</v>
      </c>
      <c r="AD129" s="7">
        <v>7</v>
      </c>
      <c r="AE129" s="22">
        <v>5885</v>
      </c>
    </row>
    <row r="130" spans="2:36">
      <c r="B130" s="5" t="s">
        <v>256</v>
      </c>
      <c r="C130" s="2">
        <v>9</v>
      </c>
      <c r="D130" s="17">
        <v>16.420000000000002</v>
      </c>
      <c r="E130" s="5" t="e">
        <v>#REF!</v>
      </c>
      <c r="F130" s="14">
        <v>124</v>
      </c>
      <c r="G130" s="14">
        <v>41.5</v>
      </c>
      <c r="H130" s="14">
        <v>7</v>
      </c>
      <c r="I130" s="14">
        <v>16420</v>
      </c>
      <c r="J130" s="28">
        <v>3.6021999999999998E-2</v>
      </c>
      <c r="K130" s="36">
        <v>48.818924000000003</v>
      </c>
      <c r="L130" s="36">
        <v>16.3385915</v>
      </c>
      <c r="M130" s="36">
        <v>2.7559070000000001</v>
      </c>
      <c r="N130" s="36">
        <v>16.420000000000002</v>
      </c>
      <c r="P130" s="25">
        <v>17063.685158681441</v>
      </c>
      <c r="Q130" s="32">
        <v>3.7722517304766091E-2</v>
      </c>
      <c r="S130" s="47">
        <v>9.3390370370370359</v>
      </c>
      <c r="T130" s="47">
        <v>7.0809629629629658</v>
      </c>
      <c r="V130" s="7">
        <v>122</v>
      </c>
      <c r="W130" s="7">
        <v>40.5</v>
      </c>
      <c r="X130" s="7">
        <v>9</v>
      </c>
      <c r="Y130" s="7">
        <v>17000</v>
      </c>
      <c r="Z130" s="28">
        <v>4.4469000000000002E-2</v>
      </c>
      <c r="AB130" s="7">
        <v>131</v>
      </c>
      <c r="AC130" s="7">
        <v>35.5</v>
      </c>
      <c r="AD130" s="7">
        <v>7</v>
      </c>
      <c r="AE130" s="7">
        <v>12320</v>
      </c>
      <c r="AF130" s="19"/>
      <c r="AG130" s="19"/>
      <c r="AH130" s="19"/>
      <c r="AI130" s="19"/>
      <c r="AJ130" s="19"/>
    </row>
    <row r="131" spans="2:36">
      <c r="B131" s="5" t="s">
        <v>262</v>
      </c>
      <c r="C131" s="2">
        <v>35</v>
      </c>
      <c r="D131" s="17">
        <v>30</v>
      </c>
      <c r="E131" s="5" t="e">
        <v>#REF!</v>
      </c>
      <c r="F131" s="14">
        <v>126</v>
      </c>
      <c r="G131" s="14">
        <v>65</v>
      </c>
      <c r="H131" s="14">
        <v>7</v>
      </c>
      <c r="I131" s="14">
        <v>30000</v>
      </c>
      <c r="J131" s="28">
        <v>5.7329999999999999E-2</v>
      </c>
      <c r="K131" s="36">
        <v>49.606326000000003</v>
      </c>
      <c r="L131" s="36">
        <v>25.590565000000002</v>
      </c>
      <c r="M131" s="36">
        <v>2.7559070000000001</v>
      </c>
      <c r="N131" s="36">
        <v>30</v>
      </c>
      <c r="P131" s="25">
        <v>36387.780604664003</v>
      </c>
      <c r="Q131" s="32">
        <v>0.17554740900700191</v>
      </c>
      <c r="S131" s="47">
        <v>14.863333333333335</v>
      </c>
      <c r="T131" s="47">
        <v>15.136666666666665</v>
      </c>
      <c r="V131" s="7">
        <v>127.5</v>
      </c>
      <c r="W131" s="7">
        <v>64.5</v>
      </c>
      <c r="X131" s="7">
        <v>10</v>
      </c>
      <c r="Y131" s="7">
        <v>29700</v>
      </c>
      <c r="Z131" s="28">
        <v>8.2237500000000005E-2</v>
      </c>
      <c r="AB131" s="7"/>
      <c r="AC131" s="7"/>
      <c r="AD131" s="7"/>
      <c r="AE131" s="7"/>
    </row>
    <row r="132" spans="2:36">
      <c r="B132" s="5" t="s">
        <v>263</v>
      </c>
      <c r="C132" s="2">
        <v>120</v>
      </c>
      <c r="D132" s="17">
        <v>11.81</v>
      </c>
      <c r="E132" s="5" t="e">
        <v>#REF!</v>
      </c>
      <c r="F132" s="14">
        <v>115</v>
      </c>
      <c r="G132" s="14">
        <v>39</v>
      </c>
      <c r="H132" s="14">
        <v>7</v>
      </c>
      <c r="I132" s="14">
        <v>11810</v>
      </c>
      <c r="J132" s="28">
        <v>3.1394999999999999E-2</v>
      </c>
      <c r="K132" s="36">
        <v>45.275615000000002</v>
      </c>
      <c r="L132" s="36">
        <v>15.354339000000001</v>
      </c>
      <c r="M132" s="36">
        <v>2.7559070000000001</v>
      </c>
      <c r="N132" s="36">
        <v>11.81</v>
      </c>
      <c r="P132" s="25">
        <v>12113.042457706037</v>
      </c>
      <c r="Q132" s="32">
        <v>2.5017864732509717E-2</v>
      </c>
      <c r="S132" s="47">
        <v>8.1394444444444431</v>
      </c>
      <c r="T132" s="47">
        <v>3.6705555555555573</v>
      </c>
      <c r="V132" s="7">
        <v>116</v>
      </c>
      <c r="W132" s="7">
        <v>37.5</v>
      </c>
      <c r="X132" s="7">
        <v>8</v>
      </c>
      <c r="Y132" s="7">
        <v>12000</v>
      </c>
      <c r="Z132" s="28">
        <v>3.4799999999999998E-2</v>
      </c>
      <c r="AB132" s="14"/>
      <c r="AC132" s="14"/>
      <c r="AD132" s="14"/>
      <c r="AE132" s="14"/>
      <c r="AF132" s="19"/>
      <c r="AG132" s="19">
        <v>116</v>
      </c>
      <c r="AH132" s="19">
        <v>38</v>
      </c>
      <c r="AI132" s="19">
        <v>8.5</v>
      </c>
      <c r="AJ132" s="19">
        <v>11970</v>
      </c>
    </row>
    <row r="133" spans="2:36">
      <c r="B133" s="5" t="s">
        <v>274</v>
      </c>
      <c r="C133" s="2">
        <v>225</v>
      </c>
      <c r="D133" s="17">
        <v>12.74</v>
      </c>
      <c r="E133" s="5" t="e">
        <v>#REF!</v>
      </c>
      <c r="F133" s="14">
        <v>131</v>
      </c>
      <c r="G133" s="14">
        <v>36</v>
      </c>
      <c r="H133" s="14">
        <v>7</v>
      </c>
      <c r="I133" s="14">
        <v>12740</v>
      </c>
      <c r="J133" s="28">
        <v>3.3012E-2</v>
      </c>
      <c r="K133" s="36">
        <v>51.574831000000003</v>
      </c>
      <c r="L133" s="36">
        <v>14.173236000000001</v>
      </c>
      <c r="M133" s="36">
        <v>2.7559070000000001</v>
      </c>
      <c r="N133" s="36">
        <v>12.74</v>
      </c>
      <c r="P133" s="25">
        <v>14057.672623055621</v>
      </c>
      <c r="Q133" s="32">
        <v>9.3733341100470713E-2</v>
      </c>
      <c r="S133" s="47">
        <v>8.5586666666666655</v>
      </c>
      <c r="T133" s="47">
        <v>4.1813333333333347</v>
      </c>
      <c r="V133" s="19">
        <v>132</v>
      </c>
      <c r="W133" s="19">
        <v>34</v>
      </c>
      <c r="X133" s="19">
        <v>10</v>
      </c>
      <c r="Y133" s="19">
        <v>14900</v>
      </c>
      <c r="Z133" s="44">
        <v>4.4880000000000003E-2</v>
      </c>
      <c r="AB133" s="7">
        <v>114</v>
      </c>
      <c r="AC133" s="7">
        <v>38</v>
      </c>
      <c r="AD133" s="7">
        <v>5</v>
      </c>
      <c r="AE133" s="7">
        <v>10985</v>
      </c>
      <c r="AF133" s="19"/>
      <c r="AG133" s="19"/>
      <c r="AH133" s="19"/>
      <c r="AI133" s="19"/>
      <c r="AJ133" s="19"/>
    </row>
    <row r="134" spans="2:36">
      <c r="B134" s="5" t="s">
        <v>275</v>
      </c>
      <c r="C134" s="2">
        <v>81</v>
      </c>
      <c r="D134" s="17">
        <v>8.15</v>
      </c>
      <c r="E134" s="5" t="e">
        <v>#REF!</v>
      </c>
      <c r="F134" s="14">
        <v>81.5</v>
      </c>
      <c r="G134" s="14">
        <v>36</v>
      </c>
      <c r="H134" s="14">
        <v>7</v>
      </c>
      <c r="I134" s="14">
        <v>8150</v>
      </c>
      <c r="J134" s="28">
        <v>2.0538000000000001E-2</v>
      </c>
      <c r="K134" s="36">
        <v>32.086631500000003</v>
      </c>
      <c r="L134" s="36">
        <v>14.173236000000001</v>
      </c>
      <c r="M134" s="36">
        <v>2.7559070000000001</v>
      </c>
      <c r="N134" s="36">
        <v>8.15</v>
      </c>
      <c r="P134" s="25">
        <v>8614.7382512958957</v>
      </c>
      <c r="Q134" s="32">
        <v>5.3946880072181666E-2</v>
      </c>
      <c r="S134" s="47">
        <v>5.3246666666666673</v>
      </c>
      <c r="T134" s="47">
        <v>2.825333333333333</v>
      </c>
      <c r="V134" s="19">
        <v>82</v>
      </c>
      <c r="W134" s="19">
        <v>37</v>
      </c>
      <c r="X134" s="19">
        <v>10</v>
      </c>
      <c r="Y134" s="19">
        <v>8470</v>
      </c>
      <c r="Z134" s="44">
        <v>3.0339999999999999E-2</v>
      </c>
      <c r="AB134" s="19">
        <v>132</v>
      </c>
      <c r="AC134" s="19">
        <v>36</v>
      </c>
      <c r="AD134" s="19">
        <v>7</v>
      </c>
      <c r="AE134" s="19">
        <v>13635</v>
      </c>
      <c r="AF134" s="19"/>
      <c r="AG134" s="19">
        <v>82</v>
      </c>
      <c r="AH134" s="19">
        <v>37</v>
      </c>
      <c r="AI134" s="19">
        <v>9.5</v>
      </c>
      <c r="AJ134" s="19">
        <v>8.5549999999999997</v>
      </c>
    </row>
    <row r="135" spans="2:36">
      <c r="B135" s="3" t="s">
        <v>461</v>
      </c>
      <c r="C135" s="2">
        <v>12</v>
      </c>
      <c r="D135" s="17" t="e">
        <v>#N/A</v>
      </c>
      <c r="E135" s="5" t="e">
        <v>#REF!</v>
      </c>
      <c r="F135" s="14" t="e">
        <v>#N/A</v>
      </c>
      <c r="G135" s="14" t="e">
        <v>#N/A</v>
      </c>
      <c r="H135" s="14" t="e">
        <v>#N/A</v>
      </c>
      <c r="I135" s="14" t="e">
        <v>#N/A</v>
      </c>
      <c r="J135" s="28" t="e">
        <v>#N/A</v>
      </c>
      <c r="K135" s="36" t="e">
        <v>#N/A</v>
      </c>
      <c r="L135" s="36" t="e">
        <v>#N/A</v>
      </c>
      <c r="M135" s="36" t="e">
        <v>#N/A</v>
      </c>
      <c r="N135" s="36" t="e">
        <v>#N/A</v>
      </c>
      <c r="P135" s="25">
        <v>664.90519999999992</v>
      </c>
      <c r="Q135" s="32" t="e">
        <v>#N/A</v>
      </c>
      <c r="S135" s="47" t="e">
        <v>#N/A</v>
      </c>
      <c r="T135" s="47" t="e">
        <v>#N/A</v>
      </c>
      <c r="V135" s="41">
        <v>38.5</v>
      </c>
      <c r="W135" s="41">
        <v>19</v>
      </c>
      <c r="X135" s="41">
        <v>4.5</v>
      </c>
      <c r="Y135" s="42">
        <v>660</v>
      </c>
      <c r="Z135" s="44">
        <v>3.29175E-3</v>
      </c>
      <c r="AB135" s="41"/>
      <c r="AC135" s="41"/>
      <c r="AD135" s="41"/>
      <c r="AE135" s="42"/>
      <c r="AF135" s="42"/>
      <c r="AG135" s="41">
        <v>40</v>
      </c>
      <c r="AH135" s="41">
        <v>19</v>
      </c>
      <c r="AI135" s="41">
        <v>5</v>
      </c>
      <c r="AJ135" s="42">
        <v>900</v>
      </c>
    </row>
    <row r="136" spans="2:36">
      <c r="B136" s="3" t="s">
        <v>284</v>
      </c>
      <c r="C136" s="2">
        <v>48</v>
      </c>
      <c r="D136" s="17">
        <v>2.0699999999999998</v>
      </c>
      <c r="E136" s="5" t="e">
        <v>#REF!</v>
      </c>
      <c r="F136" s="14">
        <v>44.5</v>
      </c>
      <c r="G136" s="14">
        <v>24.5</v>
      </c>
      <c r="H136" s="14">
        <v>5</v>
      </c>
      <c r="I136" s="14">
        <v>2070</v>
      </c>
      <c r="J136" s="28">
        <v>5.4512500000000004E-3</v>
      </c>
      <c r="K136" s="36">
        <v>17.5196945</v>
      </c>
      <c r="L136" s="36">
        <v>9.6456745000000002</v>
      </c>
      <c r="M136" s="36">
        <v>1.9685050000000002</v>
      </c>
      <c r="N136" s="36">
        <v>2.0699999999999998</v>
      </c>
      <c r="P136" s="25">
        <v>2077.5627673164913</v>
      </c>
      <c r="Q136" s="32">
        <v>3.6402112299402903E-3</v>
      </c>
      <c r="S136" s="47">
        <v>1.4132870370370372</v>
      </c>
      <c r="T136" s="47">
        <v>0.65671296296296267</v>
      </c>
      <c r="V136" s="41">
        <v>43.5</v>
      </c>
      <c r="W136" s="41">
        <v>23.5</v>
      </c>
      <c r="X136" s="41">
        <v>8</v>
      </c>
      <c r="Y136" s="41">
        <v>2200</v>
      </c>
      <c r="Z136" s="44">
        <v>8.1779999999999995E-3</v>
      </c>
      <c r="AB136" s="41">
        <v>38</v>
      </c>
      <c r="AC136" s="41">
        <v>19</v>
      </c>
      <c r="AD136" s="41">
        <v>5</v>
      </c>
      <c r="AE136" s="42">
        <v>730</v>
      </c>
      <c r="AF136" s="41"/>
      <c r="AG136" s="41">
        <v>47</v>
      </c>
      <c r="AH136" s="41">
        <v>24</v>
      </c>
      <c r="AI136" s="41">
        <v>6</v>
      </c>
      <c r="AJ136" s="41">
        <v>1525</v>
      </c>
    </row>
    <row r="137" spans="2:36">
      <c r="B137" s="3" t="s">
        <v>285</v>
      </c>
      <c r="C137" s="2">
        <v>45</v>
      </c>
      <c r="D137" s="17">
        <v>2.96</v>
      </c>
      <c r="E137" s="5" t="e">
        <v>#REF!</v>
      </c>
      <c r="F137" s="14">
        <v>57.4</v>
      </c>
      <c r="G137" s="14">
        <v>32.5</v>
      </c>
      <c r="H137" s="14">
        <v>4.5</v>
      </c>
      <c r="I137" s="14">
        <v>2960</v>
      </c>
      <c r="J137" s="28">
        <v>8.3947499999999994E-3</v>
      </c>
      <c r="K137" s="36">
        <v>22.598437400000002</v>
      </c>
      <c r="L137" s="36">
        <v>12.795282500000001</v>
      </c>
      <c r="M137" s="36">
        <v>1.7716545000000001</v>
      </c>
      <c r="N137" s="36">
        <v>2.96</v>
      </c>
      <c r="P137" s="25">
        <v>2956.8707667730851</v>
      </c>
      <c r="Q137" s="32">
        <v>-1.0582921858062694E-3</v>
      </c>
      <c r="S137" s="47">
        <v>2.1764166666666669</v>
      </c>
      <c r="T137" s="47">
        <v>0.78358333333333308</v>
      </c>
      <c r="V137" s="41">
        <v>57</v>
      </c>
      <c r="W137" s="41">
        <v>32</v>
      </c>
      <c r="X137" s="41">
        <v>6</v>
      </c>
      <c r="Y137" s="41">
        <v>2550</v>
      </c>
      <c r="Z137" s="44">
        <v>1.0944000000000001E-2</v>
      </c>
      <c r="AB137" s="41">
        <v>45</v>
      </c>
      <c r="AC137" s="41">
        <v>24.5</v>
      </c>
      <c r="AD137" s="41">
        <v>5</v>
      </c>
      <c r="AE137" s="41">
        <v>2285</v>
      </c>
      <c r="AF137" s="41"/>
      <c r="AG137" s="41">
        <v>57</v>
      </c>
      <c r="AH137" s="41">
        <v>34</v>
      </c>
      <c r="AI137" s="41">
        <v>6</v>
      </c>
      <c r="AJ137" s="41">
        <v>2980</v>
      </c>
    </row>
    <row r="138" spans="2:36">
      <c r="B138" s="3" t="s">
        <v>286</v>
      </c>
      <c r="C138" s="2">
        <v>114</v>
      </c>
      <c r="D138" s="17">
        <v>1.56</v>
      </c>
      <c r="E138" s="5" t="e">
        <v>#REF!</v>
      </c>
      <c r="F138" s="14">
        <v>41</v>
      </c>
      <c r="G138" s="14">
        <v>25</v>
      </c>
      <c r="H138" s="14">
        <v>4</v>
      </c>
      <c r="I138" s="14">
        <v>1560</v>
      </c>
      <c r="J138" s="28">
        <v>4.1000000000000003E-3</v>
      </c>
      <c r="K138" s="36">
        <v>16.141741</v>
      </c>
      <c r="L138" s="36">
        <v>9.8425250000000002</v>
      </c>
      <c r="M138" s="36">
        <v>1.5748040000000001</v>
      </c>
      <c r="N138" s="36">
        <v>1.56</v>
      </c>
      <c r="P138" s="25">
        <v>1575.0853883462319</v>
      </c>
      <c r="Q138" s="32">
        <v>9.5775051040698431E-3</v>
      </c>
      <c r="S138" s="47">
        <v>1.0629629629629629</v>
      </c>
      <c r="T138" s="47">
        <v>0.49703703703703717</v>
      </c>
      <c r="V138" s="41">
        <v>39</v>
      </c>
      <c r="W138" s="41">
        <v>24</v>
      </c>
      <c r="X138" s="41">
        <v>6</v>
      </c>
      <c r="Y138" s="41">
        <v>1250</v>
      </c>
      <c r="Z138" s="44">
        <v>5.6160000000000003E-3</v>
      </c>
      <c r="AB138" s="41">
        <v>55</v>
      </c>
      <c r="AC138" s="41">
        <v>32</v>
      </c>
      <c r="AD138" s="41">
        <v>3.5</v>
      </c>
      <c r="AE138" s="41">
        <v>3220</v>
      </c>
      <c r="AF138" s="41"/>
      <c r="AG138" s="41">
        <v>39</v>
      </c>
      <c r="AH138" s="41">
        <v>24</v>
      </c>
      <c r="AI138" s="41">
        <v>6</v>
      </c>
      <c r="AJ138" s="41">
        <v>1525</v>
      </c>
    </row>
    <row r="139" spans="2:36">
      <c r="B139" s="5" t="s">
        <v>287</v>
      </c>
      <c r="C139" s="2">
        <v>28</v>
      </c>
      <c r="D139" s="17">
        <v>17.684999999999999</v>
      </c>
      <c r="E139" s="5" t="e">
        <v>#REF!</v>
      </c>
      <c r="F139" s="14">
        <v>107</v>
      </c>
      <c r="G139" s="14">
        <v>46</v>
      </c>
      <c r="H139" s="14">
        <v>8</v>
      </c>
      <c r="I139" s="14">
        <v>17685</v>
      </c>
      <c r="J139" s="28">
        <v>3.9376000000000001E-2</v>
      </c>
      <c r="K139" s="36">
        <v>42.126007000000001</v>
      </c>
      <c r="L139" s="36">
        <v>18.110246</v>
      </c>
      <c r="M139" s="36">
        <v>3.1496080000000002</v>
      </c>
      <c r="N139" s="36">
        <v>17.684999999999999</v>
      </c>
      <c r="P139" s="25">
        <v>18298.857618917147</v>
      </c>
      <c r="Q139" s="32">
        <v>3.3546226311010161E-2</v>
      </c>
      <c r="S139" s="47">
        <v>10.208592592592591</v>
      </c>
      <c r="T139" s="47">
        <v>7.4764074074074074</v>
      </c>
      <c r="V139" s="19">
        <v>108</v>
      </c>
      <c r="W139" s="19">
        <v>44.5</v>
      </c>
      <c r="X139" s="19">
        <v>10.5</v>
      </c>
      <c r="Y139" s="19">
        <v>19800</v>
      </c>
      <c r="Z139" s="44">
        <v>5.0463000000000001E-2</v>
      </c>
      <c r="AB139" s="41">
        <v>41</v>
      </c>
      <c r="AC139" s="41">
        <v>24.5</v>
      </c>
      <c r="AD139" s="41">
        <v>4</v>
      </c>
      <c r="AE139" s="41">
        <v>1490</v>
      </c>
      <c r="AF139" s="19"/>
      <c r="AG139" s="19">
        <v>109</v>
      </c>
      <c r="AH139" s="19">
        <v>48</v>
      </c>
      <c r="AI139" s="19">
        <v>10</v>
      </c>
      <c r="AJ139" s="19">
        <v>19390</v>
      </c>
    </row>
    <row r="140" spans="2:36">
      <c r="B140" s="3" t="s">
        <v>304</v>
      </c>
      <c r="C140" s="2" t="e">
        <v>#N/A</v>
      </c>
      <c r="D140" s="17">
        <v>9</v>
      </c>
      <c r="E140" s="5" t="e">
        <v>#REF!</v>
      </c>
      <c r="F140" s="14">
        <v>114</v>
      </c>
      <c r="G140" s="14">
        <v>57</v>
      </c>
      <c r="H140" s="14">
        <v>4</v>
      </c>
      <c r="I140" s="14">
        <v>9000</v>
      </c>
      <c r="J140" s="28">
        <v>2.5992000000000001E-2</v>
      </c>
      <c r="K140" s="36">
        <v>44.881914000000002</v>
      </c>
      <c r="L140" s="36">
        <v>22.440957000000001</v>
      </c>
      <c r="M140" s="36">
        <v>1.5748040000000001</v>
      </c>
      <c r="N140" s="36">
        <v>9</v>
      </c>
      <c r="P140" s="25">
        <v>8961.097960000001</v>
      </c>
      <c r="Q140" s="32">
        <v>-4.3412135626289964E-3</v>
      </c>
      <c r="S140" s="47">
        <v>6.738666666666667</v>
      </c>
      <c r="T140" s="47">
        <v>2.261333333333333</v>
      </c>
      <c r="V140" s="41">
        <v>112</v>
      </c>
      <c r="W140" s="41">
        <v>64</v>
      </c>
      <c r="X140" s="41">
        <v>5</v>
      </c>
      <c r="Y140" s="41">
        <v>9000</v>
      </c>
      <c r="Z140" s="44">
        <v>3.5839999999999997E-2</v>
      </c>
      <c r="AB140" s="45"/>
      <c r="AC140" s="45"/>
      <c r="AD140" s="45"/>
      <c r="AE140" s="45"/>
      <c r="AF140" s="41"/>
      <c r="AG140" s="41"/>
      <c r="AH140" s="41"/>
      <c r="AI140" s="41"/>
      <c r="AJ140" s="41"/>
    </row>
    <row r="141" spans="2:36">
      <c r="B141" s="5" t="s">
        <v>462</v>
      </c>
      <c r="C141" s="2" t="e">
        <v>#N/A</v>
      </c>
      <c r="D141" s="17">
        <v>0</v>
      </c>
      <c r="E141" s="5" t="e">
        <v>#REF!</v>
      </c>
      <c r="F141" s="14">
        <v>0</v>
      </c>
      <c r="G141" s="14">
        <v>0</v>
      </c>
      <c r="H141" s="14">
        <v>0</v>
      </c>
      <c r="I141" s="14">
        <v>0</v>
      </c>
      <c r="J141" s="28">
        <v>0</v>
      </c>
      <c r="K141" s="36">
        <v>0</v>
      </c>
      <c r="L141" s="36">
        <v>0</v>
      </c>
      <c r="M141" s="36">
        <v>0</v>
      </c>
      <c r="N141" s="36">
        <v>0</v>
      </c>
      <c r="S141" s="47">
        <v>0</v>
      </c>
      <c r="T141" s="47">
        <v>0</v>
      </c>
    </row>
    <row r="142" spans="2:36">
      <c r="B142" s="3" t="s">
        <v>191</v>
      </c>
      <c r="C142" s="2" t="e">
        <v>#N/A</v>
      </c>
      <c r="D142" s="17">
        <v>17.600000000000001</v>
      </c>
      <c r="E142" s="5" t="e">
        <v>#REF!</v>
      </c>
      <c r="F142" s="14">
        <v>79</v>
      </c>
      <c r="G142" s="14">
        <v>36</v>
      </c>
      <c r="H142" s="14">
        <v>11.5</v>
      </c>
      <c r="I142" s="14">
        <v>17600</v>
      </c>
      <c r="J142" s="28">
        <v>3.2705999999999999E-2</v>
      </c>
      <c r="K142" s="36">
        <v>31.102379000000003</v>
      </c>
      <c r="L142" s="36">
        <v>14.173236000000001</v>
      </c>
      <c r="M142" s="36">
        <v>4.5275615</v>
      </c>
      <c r="N142" s="36">
        <v>17.600000000000001</v>
      </c>
      <c r="P142" s="25" t="e">
        <v>#N/A</v>
      </c>
      <c r="Q142" s="32" t="e">
        <v>#N/A</v>
      </c>
      <c r="S142" s="47">
        <v>8.4793333333333329</v>
      </c>
      <c r="T142" s="47">
        <v>9.1206666666666685</v>
      </c>
      <c r="V142" s="41"/>
      <c r="W142" s="41"/>
      <c r="X142" s="41"/>
      <c r="Y142" s="42"/>
      <c r="Z142" s="44"/>
      <c r="AB142" s="41"/>
      <c r="AC142" s="41"/>
      <c r="AD142" s="41"/>
      <c r="AE142" s="42"/>
      <c r="AF142" s="42"/>
      <c r="AG142" s="41"/>
      <c r="AH142" s="41"/>
      <c r="AI142" s="41"/>
      <c r="AJ142" s="42"/>
    </row>
    <row r="143" spans="2:36">
      <c r="B143" s="3" t="s">
        <v>192</v>
      </c>
      <c r="C143" s="2" t="e">
        <v>#N/A</v>
      </c>
      <c r="D143" s="17">
        <v>26.7</v>
      </c>
      <c r="E143" s="5" t="e">
        <v>#REF!</v>
      </c>
      <c r="F143" s="14">
        <v>116.2</v>
      </c>
      <c r="G143" s="14">
        <v>38.9</v>
      </c>
      <c r="H143" s="14">
        <v>10.3</v>
      </c>
      <c r="I143" s="14">
        <v>26700</v>
      </c>
      <c r="J143" s="28">
        <v>4.655785400000001E-2</v>
      </c>
      <c r="K143" s="36">
        <v>45.748056200000001</v>
      </c>
      <c r="L143" s="36">
        <v>15.3149689</v>
      </c>
      <c r="M143" s="36">
        <v>4.0551203000000005</v>
      </c>
      <c r="N143" s="36">
        <v>26.7</v>
      </c>
      <c r="P143" s="25" t="e">
        <v>#N/A</v>
      </c>
      <c r="Q143" s="32" t="e">
        <v>#N/A</v>
      </c>
      <c r="S143" s="47">
        <v>12.070554740740743</v>
      </c>
      <c r="T143" s="47">
        <v>14.629445259259256</v>
      </c>
      <c r="V143" s="41"/>
      <c r="W143" s="41"/>
      <c r="X143" s="41"/>
      <c r="Y143" s="41"/>
      <c r="Z143" s="44"/>
      <c r="AB143" s="41"/>
      <c r="AC143" s="41"/>
      <c r="AD143" s="41"/>
      <c r="AE143" s="42"/>
      <c r="AF143" s="41"/>
      <c r="AG143" s="41"/>
      <c r="AH143" s="41"/>
      <c r="AI143" s="41"/>
      <c r="AJ143" s="41"/>
    </row>
    <row r="144" spans="2:36">
      <c r="B144" s="3" t="s">
        <v>463</v>
      </c>
      <c r="C144" s="2" t="e">
        <v>#N/A</v>
      </c>
      <c r="D144" s="17" t="e">
        <v>#N/A</v>
      </c>
      <c r="E144" s="5" t="e">
        <v>#REF!</v>
      </c>
      <c r="F144" s="14" t="e">
        <v>#N/A</v>
      </c>
      <c r="G144" s="14" t="e">
        <v>#N/A</v>
      </c>
      <c r="H144" s="14" t="e">
        <v>#N/A</v>
      </c>
      <c r="I144" s="14" t="e">
        <v>#N/A</v>
      </c>
      <c r="J144" s="28" t="e">
        <v>#N/A</v>
      </c>
      <c r="K144" s="36" t="e">
        <v>#N/A</v>
      </c>
      <c r="L144" s="36" t="e">
        <v>#N/A</v>
      </c>
      <c r="M144" s="36" t="e">
        <v>#N/A</v>
      </c>
      <c r="N144" s="36" t="e">
        <v>#N/A</v>
      </c>
      <c r="P144" s="25" t="e">
        <v>#N/A</v>
      </c>
      <c r="Q144" s="32" t="e">
        <v>#N/A</v>
      </c>
      <c r="S144" s="47" t="e">
        <v>#N/A</v>
      </c>
      <c r="T144" s="47" t="e">
        <v>#N/A</v>
      </c>
      <c r="V144" s="41"/>
      <c r="W144" s="41"/>
      <c r="X144" s="41"/>
      <c r="Y144" s="41"/>
      <c r="Z144" s="44"/>
      <c r="AB144" s="41"/>
      <c r="AC144" s="41"/>
      <c r="AD144" s="41"/>
      <c r="AE144" s="41"/>
      <c r="AF144" s="41"/>
      <c r="AG144" s="41"/>
      <c r="AH144" s="41"/>
      <c r="AI144" s="41"/>
      <c r="AJ144" s="41"/>
    </row>
    <row r="145" spans="2:36">
      <c r="B145" s="3" t="s">
        <v>363</v>
      </c>
      <c r="C145" s="2" t="e">
        <v>#N/A</v>
      </c>
      <c r="D145" s="17">
        <v>35.6</v>
      </c>
      <c r="E145" s="5" t="e">
        <v>#REF!</v>
      </c>
      <c r="F145" s="14">
        <v>150</v>
      </c>
      <c r="G145" s="14">
        <v>41</v>
      </c>
      <c r="H145" s="14">
        <v>13</v>
      </c>
      <c r="I145" s="14">
        <v>35600</v>
      </c>
      <c r="J145" s="28">
        <v>7.9949999999999993E-2</v>
      </c>
      <c r="K145" s="36">
        <v>59.055150000000005</v>
      </c>
      <c r="L145" s="36">
        <v>16.141741</v>
      </c>
      <c r="M145" s="36">
        <v>5.1181130000000001</v>
      </c>
      <c r="N145" s="36">
        <v>35.6</v>
      </c>
      <c r="P145" s="25" t="e">
        <v>#N/A</v>
      </c>
      <c r="Q145" s="32" t="e">
        <v>#N/A</v>
      </c>
      <c r="S145" s="47">
        <v>20.727777777777778</v>
      </c>
      <c r="T145" s="47">
        <v>14.872222222222224</v>
      </c>
      <c r="V145" s="41"/>
      <c r="W145" s="41"/>
      <c r="X145" s="41"/>
      <c r="Y145" s="41"/>
      <c r="Z145" s="44"/>
      <c r="AB145" s="41"/>
      <c r="AC145" s="41"/>
      <c r="AD145" s="41"/>
      <c r="AE145" s="41"/>
      <c r="AF145" s="41"/>
      <c r="AG145" s="41"/>
      <c r="AH145" s="41"/>
      <c r="AI145" s="41"/>
      <c r="AJ145" s="41"/>
    </row>
    <row r="146" spans="2:36">
      <c r="B146" s="3" t="s">
        <v>464</v>
      </c>
      <c r="C146" s="2" t="e">
        <v>#N/A</v>
      </c>
      <c r="D146" s="17" t="e">
        <v>#N/A</v>
      </c>
      <c r="E146" s="5" t="e">
        <v>#REF!</v>
      </c>
      <c r="F146" s="14" t="e">
        <v>#N/A</v>
      </c>
      <c r="G146" s="14" t="e">
        <v>#N/A</v>
      </c>
      <c r="H146" s="14" t="e">
        <v>#N/A</v>
      </c>
      <c r="I146" s="14" t="e">
        <v>#N/A</v>
      </c>
      <c r="J146" s="28" t="e">
        <v>#N/A</v>
      </c>
      <c r="K146" s="36" t="e">
        <v>#N/A</v>
      </c>
      <c r="L146" s="36" t="e">
        <v>#N/A</v>
      </c>
      <c r="M146" s="36" t="e">
        <v>#N/A</v>
      </c>
      <c r="N146" s="36" t="e">
        <v>#N/A</v>
      </c>
      <c r="P146" s="25" t="e">
        <v>#N/A</v>
      </c>
      <c r="Q146" s="32" t="e">
        <v>#N/A</v>
      </c>
      <c r="S146" s="47" t="e">
        <v>#N/A</v>
      </c>
      <c r="T146" s="47" t="e">
        <v>#N/A</v>
      </c>
      <c r="V146" s="41"/>
      <c r="W146" s="41"/>
      <c r="X146" s="41"/>
      <c r="Y146" s="42"/>
      <c r="Z146" s="44"/>
      <c r="AB146" s="41"/>
      <c r="AC146" s="41"/>
      <c r="AD146" s="41"/>
      <c r="AE146" s="42"/>
      <c r="AF146" s="42"/>
      <c r="AG146" s="41"/>
      <c r="AH146" s="41"/>
      <c r="AI146" s="41"/>
      <c r="AJ146" s="42"/>
    </row>
    <row r="147" spans="2:36">
      <c r="B147" s="3" t="s">
        <v>465</v>
      </c>
      <c r="C147" s="2" t="e">
        <v>#N/A</v>
      </c>
      <c r="D147" s="17" t="e">
        <v>#N/A</v>
      </c>
      <c r="E147" s="5" t="e">
        <v>#REF!</v>
      </c>
      <c r="F147" s="14" t="e">
        <v>#N/A</v>
      </c>
      <c r="G147" s="14" t="e">
        <v>#N/A</v>
      </c>
      <c r="H147" s="14" t="e">
        <v>#N/A</v>
      </c>
      <c r="I147" s="14" t="e">
        <v>#N/A</v>
      </c>
      <c r="J147" s="28" t="e">
        <v>#N/A</v>
      </c>
      <c r="K147" s="36" t="e">
        <v>#N/A</v>
      </c>
      <c r="L147" s="36" t="e">
        <v>#N/A</v>
      </c>
      <c r="M147" s="36" t="e">
        <v>#N/A</v>
      </c>
      <c r="N147" s="36" t="e">
        <v>#N/A</v>
      </c>
      <c r="P147" s="25" t="e">
        <v>#N/A</v>
      </c>
      <c r="Q147" s="32" t="e">
        <v>#N/A</v>
      </c>
      <c r="S147" s="47" t="e">
        <v>#N/A</v>
      </c>
      <c r="T147" s="47" t="e">
        <v>#N/A</v>
      </c>
      <c r="V147" s="41"/>
      <c r="W147" s="41"/>
      <c r="X147" s="41"/>
      <c r="Y147" s="41"/>
      <c r="Z147" s="44"/>
      <c r="AB147" s="41"/>
      <c r="AC147" s="41"/>
      <c r="AD147" s="41"/>
      <c r="AE147" s="42"/>
      <c r="AF147" s="41"/>
      <c r="AG147" s="41"/>
      <c r="AH147" s="41"/>
      <c r="AI147" s="41"/>
      <c r="AJ147" s="41"/>
    </row>
    <row r="148" spans="2:36">
      <c r="B148" s="3" t="s">
        <v>466</v>
      </c>
      <c r="C148" s="2" t="e">
        <v>#N/A</v>
      </c>
      <c r="D148" s="17" t="e">
        <v>#N/A</v>
      </c>
      <c r="E148" s="5" t="e">
        <v>#REF!</v>
      </c>
      <c r="F148" s="14" t="e">
        <v>#N/A</v>
      </c>
      <c r="G148" s="14" t="e">
        <v>#N/A</v>
      </c>
      <c r="H148" s="14" t="e">
        <v>#N/A</v>
      </c>
      <c r="I148" s="14" t="e">
        <v>#N/A</v>
      </c>
      <c r="J148" s="28" t="e">
        <v>#N/A</v>
      </c>
      <c r="K148" s="36" t="e">
        <v>#N/A</v>
      </c>
      <c r="L148" s="36" t="e">
        <v>#N/A</v>
      </c>
      <c r="M148" s="36" t="e">
        <v>#N/A</v>
      </c>
      <c r="N148" s="36" t="e">
        <v>#N/A</v>
      </c>
      <c r="P148" s="25" t="e">
        <v>#N/A</v>
      </c>
      <c r="Q148" s="32" t="e">
        <v>#N/A</v>
      </c>
      <c r="S148" s="47" t="e">
        <v>#N/A</v>
      </c>
      <c r="T148" s="47" t="e">
        <v>#N/A</v>
      </c>
      <c r="V148" s="41"/>
      <c r="W148" s="41"/>
      <c r="X148" s="41"/>
      <c r="Y148" s="41"/>
      <c r="Z148" s="44"/>
      <c r="AB148" s="41"/>
      <c r="AC148" s="41"/>
      <c r="AD148" s="41"/>
      <c r="AE148" s="41"/>
      <c r="AF148" s="41"/>
      <c r="AG148" s="41"/>
      <c r="AH148" s="41"/>
      <c r="AI148" s="41"/>
      <c r="AJ148" s="41"/>
    </row>
    <row r="149" spans="2:36">
      <c r="B149" s="3" t="s">
        <v>467</v>
      </c>
      <c r="C149" s="2" t="e">
        <v>#N/A</v>
      </c>
      <c r="D149" s="17" t="e">
        <v>#N/A</v>
      </c>
      <c r="E149" s="5" t="e">
        <v>#REF!</v>
      </c>
      <c r="F149" s="14" t="e">
        <v>#N/A</v>
      </c>
      <c r="G149" s="14" t="e">
        <v>#N/A</v>
      </c>
      <c r="H149" s="14" t="e">
        <v>#N/A</v>
      </c>
      <c r="I149" s="14" t="e">
        <v>#N/A</v>
      </c>
      <c r="J149" s="28" t="e">
        <v>#N/A</v>
      </c>
      <c r="K149" s="36" t="e">
        <v>#N/A</v>
      </c>
      <c r="L149" s="36" t="e">
        <v>#N/A</v>
      </c>
      <c r="M149" s="36" t="e">
        <v>#N/A</v>
      </c>
      <c r="N149" s="36" t="e">
        <v>#N/A</v>
      </c>
      <c r="P149" s="25" t="e">
        <v>#N/A</v>
      </c>
      <c r="Q149" s="32" t="e">
        <v>#N/A</v>
      </c>
      <c r="S149" s="47" t="e">
        <v>#N/A</v>
      </c>
      <c r="T149" s="47" t="e">
        <v>#N/A</v>
      </c>
      <c r="V149" s="41"/>
      <c r="W149" s="41"/>
      <c r="X149" s="41"/>
      <c r="Y149" s="41"/>
      <c r="Z149" s="44"/>
      <c r="AB149" s="41"/>
      <c r="AC149" s="41"/>
      <c r="AD149" s="41"/>
      <c r="AE149" s="41"/>
      <c r="AF149" s="41"/>
      <c r="AG149" s="41"/>
      <c r="AH149" s="41"/>
      <c r="AI149" s="41"/>
      <c r="AJ149" s="41"/>
    </row>
    <row r="150" spans="2:36">
      <c r="B150" s="3" t="s">
        <v>468</v>
      </c>
      <c r="C150" s="2" t="e">
        <v>#N/A</v>
      </c>
      <c r="D150" s="17" t="e">
        <v>#N/A</v>
      </c>
      <c r="E150" s="5" t="e">
        <v>#REF!</v>
      </c>
      <c r="F150" s="14" t="e">
        <v>#N/A</v>
      </c>
      <c r="G150" s="14" t="e">
        <v>#N/A</v>
      </c>
      <c r="H150" s="14" t="e">
        <v>#N/A</v>
      </c>
      <c r="I150" s="14" t="e">
        <v>#N/A</v>
      </c>
      <c r="J150" s="28" t="e">
        <v>#N/A</v>
      </c>
      <c r="K150" s="36" t="e">
        <v>#N/A</v>
      </c>
      <c r="L150" s="36" t="e">
        <v>#N/A</v>
      </c>
      <c r="M150" s="36" t="e">
        <v>#N/A</v>
      </c>
      <c r="N150" s="36" t="e">
        <v>#N/A</v>
      </c>
      <c r="P150" s="25" t="e">
        <v>#N/A</v>
      </c>
      <c r="Q150" s="32" t="e">
        <v>#N/A</v>
      </c>
      <c r="S150" s="47" t="e">
        <v>#N/A</v>
      </c>
      <c r="T150" s="47" t="e">
        <v>#N/A</v>
      </c>
      <c r="V150" s="41"/>
      <c r="W150" s="41"/>
      <c r="X150" s="41"/>
      <c r="Y150" s="41"/>
      <c r="Z150" s="44"/>
      <c r="AB150" s="41"/>
      <c r="AC150" s="41"/>
      <c r="AD150" s="41"/>
      <c r="AE150" s="41"/>
      <c r="AF150" s="41"/>
      <c r="AG150" s="41"/>
      <c r="AH150" s="41"/>
      <c r="AI150" s="41"/>
      <c r="AJ150" s="41"/>
    </row>
    <row r="151" spans="2:36">
      <c r="B151" s="3" t="s">
        <v>469</v>
      </c>
      <c r="C151" s="2" t="e">
        <v>#N/A</v>
      </c>
      <c r="D151" s="17" t="e">
        <v>#N/A</v>
      </c>
      <c r="E151" s="5" t="e">
        <v>#REF!</v>
      </c>
      <c r="F151" s="14" t="e">
        <v>#N/A</v>
      </c>
      <c r="G151" s="14" t="e">
        <v>#N/A</v>
      </c>
      <c r="H151" s="14" t="e">
        <v>#N/A</v>
      </c>
      <c r="I151" s="14" t="e">
        <v>#N/A</v>
      </c>
      <c r="J151" s="28" t="e">
        <v>#N/A</v>
      </c>
      <c r="K151" s="36" t="e">
        <v>#N/A</v>
      </c>
      <c r="L151" s="36" t="e">
        <v>#N/A</v>
      </c>
      <c r="M151" s="36" t="e">
        <v>#N/A</v>
      </c>
      <c r="N151" s="36" t="e">
        <v>#N/A</v>
      </c>
      <c r="P151" s="25" t="e">
        <v>#N/A</v>
      </c>
      <c r="Q151" s="32" t="e">
        <v>#N/A</v>
      </c>
      <c r="S151" s="47" t="e">
        <v>#N/A</v>
      </c>
      <c r="T151" s="47" t="e">
        <v>#N/A</v>
      </c>
      <c r="V151" s="41"/>
      <c r="W151" s="41"/>
      <c r="X151" s="41"/>
      <c r="Y151" s="41"/>
      <c r="Z151" s="44"/>
      <c r="AB151" s="41"/>
      <c r="AC151" s="41"/>
      <c r="AD151" s="41"/>
      <c r="AE151" s="41"/>
      <c r="AF151" s="41"/>
      <c r="AG151" s="41"/>
      <c r="AH151" s="41"/>
      <c r="AI151" s="41"/>
      <c r="AJ151" s="41"/>
    </row>
    <row r="152" spans="2:36">
      <c r="B152" s="3" t="s">
        <v>470</v>
      </c>
      <c r="C152" s="2" t="e">
        <v>#N/A</v>
      </c>
      <c r="D152" s="17" t="e">
        <v>#N/A</v>
      </c>
      <c r="E152" s="5" t="e">
        <v>#REF!</v>
      </c>
      <c r="F152" s="14" t="e">
        <v>#N/A</v>
      </c>
      <c r="G152" s="14" t="e">
        <v>#N/A</v>
      </c>
      <c r="H152" s="14" t="e">
        <v>#N/A</v>
      </c>
      <c r="I152" s="14" t="e">
        <v>#N/A</v>
      </c>
      <c r="J152" s="28" t="e">
        <v>#N/A</v>
      </c>
      <c r="K152" s="36" t="e">
        <v>#N/A</v>
      </c>
      <c r="L152" s="36" t="e">
        <v>#N/A</v>
      </c>
      <c r="M152" s="36" t="e">
        <v>#N/A</v>
      </c>
      <c r="N152" s="36" t="e">
        <v>#N/A</v>
      </c>
      <c r="P152" s="25" t="e">
        <v>#N/A</v>
      </c>
      <c r="Q152" s="32" t="e">
        <v>#N/A</v>
      </c>
      <c r="S152" s="47" t="e">
        <v>#N/A</v>
      </c>
      <c r="T152" s="47" t="e">
        <v>#N/A</v>
      </c>
      <c r="V152" s="41"/>
      <c r="W152" s="41"/>
      <c r="X152" s="41"/>
      <c r="Y152" s="41"/>
      <c r="Z152" s="44"/>
      <c r="AB152" s="41"/>
      <c r="AC152" s="41"/>
      <c r="AD152" s="41"/>
      <c r="AE152" s="41"/>
      <c r="AF152" s="41"/>
      <c r="AG152" s="41"/>
      <c r="AH152" s="41"/>
      <c r="AI152" s="41"/>
      <c r="AJ152" s="41"/>
    </row>
    <row r="153" spans="2:36">
      <c r="B153" s="3" t="s">
        <v>471</v>
      </c>
      <c r="C153" s="2" t="e">
        <v>#N/A</v>
      </c>
      <c r="D153" s="17">
        <v>19.600000000000001</v>
      </c>
      <c r="E153" s="5" t="e">
        <v>#REF!</v>
      </c>
      <c r="F153" s="14">
        <v>108.7</v>
      </c>
      <c r="G153" s="14">
        <v>45.7</v>
      </c>
      <c r="H153" s="14">
        <v>8</v>
      </c>
      <c r="I153" s="14">
        <v>19600</v>
      </c>
      <c r="J153" s="28">
        <v>3.974072E-2</v>
      </c>
      <c r="K153" s="36">
        <v>42.795298700000004</v>
      </c>
      <c r="L153" s="36">
        <v>17.992135700000002</v>
      </c>
      <c r="M153" s="36">
        <v>3.1496080000000002</v>
      </c>
      <c r="N153" s="36">
        <v>19.600000000000001</v>
      </c>
      <c r="P153" s="25">
        <v>18953.269490431514</v>
      </c>
      <c r="Q153" s="32">
        <v>-3.4122371862806332E-2</v>
      </c>
      <c r="S153" s="47">
        <v>10.30314962962963</v>
      </c>
      <c r="T153" s="47">
        <v>9.2968503703703718</v>
      </c>
      <c r="V153" s="41"/>
      <c r="W153" s="41"/>
      <c r="X153" s="41"/>
      <c r="Y153" s="41"/>
      <c r="Z153" s="44"/>
      <c r="AB153" s="41"/>
      <c r="AC153" s="41"/>
      <c r="AD153" s="41"/>
      <c r="AE153" s="41"/>
      <c r="AF153" s="41"/>
      <c r="AG153" s="41"/>
      <c r="AH153" s="41"/>
      <c r="AI153" s="41"/>
      <c r="AJ153" s="41"/>
    </row>
    <row r="154" spans="2:36">
      <c r="B154" s="3" t="s">
        <v>472</v>
      </c>
      <c r="C154" s="2" t="e">
        <v>#N/A</v>
      </c>
      <c r="D154" s="17" t="e">
        <v>#N/A</v>
      </c>
      <c r="E154" s="5" t="e">
        <v>#REF!</v>
      </c>
      <c r="F154" s="14" t="e">
        <v>#N/A</v>
      </c>
      <c r="G154" s="14" t="e">
        <v>#N/A</v>
      </c>
      <c r="H154" s="14" t="e">
        <v>#N/A</v>
      </c>
      <c r="I154" s="14" t="e">
        <v>#N/A</v>
      </c>
      <c r="J154" s="28" t="e">
        <v>#N/A</v>
      </c>
      <c r="K154" s="36" t="e">
        <v>#N/A</v>
      </c>
      <c r="L154" s="36" t="e">
        <v>#N/A</v>
      </c>
      <c r="M154" s="36" t="e">
        <v>#N/A</v>
      </c>
      <c r="N154" s="36" t="e">
        <v>#N/A</v>
      </c>
      <c r="P154" s="25">
        <v>37346.993946987553</v>
      </c>
      <c r="Q154" s="32" t="e">
        <v>#N/A</v>
      </c>
      <c r="S154" s="47" t="e">
        <v>#N/A</v>
      </c>
      <c r="T154" s="47" t="e">
        <v>#N/A</v>
      </c>
      <c r="V154" s="41"/>
      <c r="W154" s="41"/>
      <c r="X154" s="41"/>
      <c r="Y154" s="41"/>
      <c r="Z154" s="44"/>
      <c r="AB154" s="41"/>
      <c r="AC154" s="41"/>
      <c r="AD154" s="41"/>
      <c r="AE154" s="41"/>
      <c r="AF154" s="41"/>
      <c r="AG154" s="41"/>
      <c r="AH154" s="41"/>
      <c r="AI154" s="41"/>
      <c r="AJ154" s="41"/>
    </row>
    <row r="155" spans="2:36">
      <c r="B155" s="3" t="s">
        <v>473</v>
      </c>
      <c r="C155" s="2" t="e">
        <v>#N/A</v>
      </c>
      <c r="D155" s="17" t="e">
        <v>#N/A</v>
      </c>
      <c r="E155" s="5" t="e">
        <v>#REF!</v>
      </c>
      <c r="F155" s="14" t="e">
        <v>#N/A</v>
      </c>
      <c r="G155" s="14" t="e">
        <v>#N/A</v>
      </c>
      <c r="H155" s="14" t="e">
        <v>#N/A</v>
      </c>
      <c r="I155" s="14" t="e">
        <v>#N/A</v>
      </c>
      <c r="J155" s="28" t="e">
        <v>#N/A</v>
      </c>
      <c r="K155" s="36" t="e">
        <v>#N/A</v>
      </c>
      <c r="L155" s="36" t="e">
        <v>#N/A</v>
      </c>
      <c r="M155" s="36" t="e">
        <v>#N/A</v>
      </c>
      <c r="N155" s="36" t="e">
        <v>#N/A</v>
      </c>
      <c r="P155" s="25" t="e">
        <v>#N/A</v>
      </c>
      <c r="Q155" s="32" t="e">
        <v>#N/A</v>
      </c>
      <c r="S155" s="47" t="e">
        <v>#N/A</v>
      </c>
      <c r="T155" s="47" t="e">
        <v>#N/A</v>
      </c>
      <c r="V155" s="41"/>
      <c r="W155" s="41"/>
      <c r="X155" s="41"/>
      <c r="Y155" s="41"/>
      <c r="Z155" s="44"/>
      <c r="AB155" s="41"/>
      <c r="AC155" s="41"/>
      <c r="AD155" s="41"/>
      <c r="AE155" s="41"/>
      <c r="AF155" s="41"/>
      <c r="AG155" s="41"/>
      <c r="AH155" s="41"/>
      <c r="AI155" s="41"/>
      <c r="AJ155" s="41"/>
    </row>
    <row r="156" spans="2:36">
      <c r="B156" s="2" t="s">
        <v>115</v>
      </c>
      <c r="C156" s="2" t="e">
        <v>#N/A</v>
      </c>
      <c r="D156" s="17">
        <v>3</v>
      </c>
      <c r="E156" s="5" t="e">
        <v>#REF!</v>
      </c>
      <c r="F156" s="14">
        <v>38.5</v>
      </c>
      <c r="G156" s="14">
        <v>30.5</v>
      </c>
      <c r="H156" s="14">
        <v>8.5</v>
      </c>
      <c r="I156" s="14">
        <v>3000</v>
      </c>
      <c r="J156" s="28">
        <v>9.9811250000000004E-3</v>
      </c>
      <c r="K156" s="36">
        <v>15.157488500000001</v>
      </c>
      <c r="L156" s="36">
        <v>12.007880500000001</v>
      </c>
      <c r="M156" s="36">
        <v>3.3464585000000002</v>
      </c>
      <c r="N156" s="36">
        <v>3</v>
      </c>
      <c r="S156" s="47">
        <v>2.5876990740740742</v>
      </c>
      <c r="T156" s="47">
        <v>0.41230092592592582</v>
      </c>
    </row>
    <row r="157" spans="2:36">
      <c r="B157" s="2" t="s">
        <v>180</v>
      </c>
      <c r="C157" s="2" t="e">
        <v>#N/A</v>
      </c>
      <c r="D157" s="17">
        <v>6.8</v>
      </c>
      <c r="E157" s="5" t="e">
        <v>#REF!</v>
      </c>
      <c r="F157" s="14">
        <v>82.7</v>
      </c>
      <c r="G157" s="14">
        <v>20.5</v>
      </c>
      <c r="H157" s="14">
        <v>9.5</v>
      </c>
      <c r="I157" s="14">
        <v>6800</v>
      </c>
      <c r="J157" s="28">
        <v>1.6105825000000001E-2</v>
      </c>
      <c r="K157" s="36">
        <v>32.559072700000002</v>
      </c>
      <c r="L157" s="36">
        <v>8.0708704999999998</v>
      </c>
      <c r="M157" s="36">
        <v>3.7401595000000003</v>
      </c>
      <c r="N157" s="36">
        <v>6.8</v>
      </c>
      <c r="S157" s="47">
        <v>4.1755842592592591</v>
      </c>
      <c r="T157" s="47">
        <v>2.6244157407407407</v>
      </c>
    </row>
    <row r="158" spans="2:36">
      <c r="B158" s="2" t="s">
        <v>271</v>
      </c>
      <c r="C158" s="2" t="e">
        <v>#N/A</v>
      </c>
      <c r="D158" s="17">
        <v>13.7</v>
      </c>
      <c r="E158" s="5" t="e">
        <v>#REF!</v>
      </c>
      <c r="F158" s="14">
        <v>136.5</v>
      </c>
      <c r="G158" s="14">
        <v>36</v>
      </c>
      <c r="H158" s="14">
        <v>7</v>
      </c>
      <c r="I158" s="14">
        <v>13700</v>
      </c>
      <c r="J158" s="28">
        <v>3.4397999999999998E-2</v>
      </c>
      <c r="K158" s="36">
        <v>53.7401865</v>
      </c>
      <c r="L158" s="36">
        <v>14.173236000000001</v>
      </c>
      <c r="M158" s="36">
        <v>2.7559070000000001</v>
      </c>
      <c r="N158" s="36">
        <v>13.700000000000001</v>
      </c>
      <c r="S158" s="47">
        <v>8.9179999999999993</v>
      </c>
      <c r="T158" s="47">
        <v>4.782</v>
      </c>
    </row>
    <row r="159" spans="2:36">
      <c r="B159" s="2" t="s">
        <v>471</v>
      </c>
      <c r="C159" s="2" t="e">
        <v>#N/A</v>
      </c>
      <c r="D159" s="17">
        <v>19.600000000000001</v>
      </c>
      <c r="E159" s="5" t="e">
        <v>#REF!</v>
      </c>
      <c r="F159" s="14">
        <v>108.7</v>
      </c>
      <c r="G159" s="14">
        <v>45.7</v>
      </c>
      <c r="H159" s="14">
        <v>8</v>
      </c>
      <c r="I159" s="14">
        <v>19600</v>
      </c>
      <c r="J159" s="28">
        <v>3.974072E-2</v>
      </c>
      <c r="K159" s="36">
        <v>42.795298700000004</v>
      </c>
      <c r="L159" s="36">
        <v>17.992135700000002</v>
      </c>
      <c r="M159" s="36">
        <v>3.1496080000000002</v>
      </c>
      <c r="N159" s="36">
        <v>19.600000000000001</v>
      </c>
      <c r="S159" s="47">
        <v>10.30314962962963</v>
      </c>
      <c r="T159" s="47">
        <v>9.2968503703703718</v>
      </c>
    </row>
    <row r="160" spans="2:36">
      <c r="B160" s="2" t="s">
        <v>259</v>
      </c>
      <c r="C160" s="2" t="e">
        <v>#N/A</v>
      </c>
      <c r="D160" s="17">
        <v>4.3</v>
      </c>
      <c r="E160" s="5" t="e">
        <v>#REF!</v>
      </c>
      <c r="F160" s="14">
        <v>65.7</v>
      </c>
      <c r="G160" s="14">
        <v>29.2</v>
      </c>
      <c r="H160" s="14">
        <v>5</v>
      </c>
      <c r="I160" s="14">
        <v>4300</v>
      </c>
      <c r="J160" s="28">
        <v>9.5922000000000004E-3</v>
      </c>
      <c r="K160" s="36">
        <v>25.866155700000004</v>
      </c>
      <c r="L160" s="36">
        <v>11.496069200000001</v>
      </c>
      <c r="M160" s="36">
        <v>1.9685050000000002</v>
      </c>
      <c r="N160" s="36">
        <v>4.3</v>
      </c>
      <c r="S160" s="47">
        <v>2.4868666666666668</v>
      </c>
      <c r="T160" s="47">
        <v>1.813133333333333</v>
      </c>
    </row>
    <row r="161" spans="2:20">
      <c r="B161" s="2" t="s">
        <v>208</v>
      </c>
      <c r="C161" s="2" t="e">
        <v>#N/A</v>
      </c>
      <c r="D161" s="17">
        <v>11.5</v>
      </c>
      <c r="E161" s="5" t="e">
        <v>#REF!</v>
      </c>
      <c r="F161" s="14">
        <v>85.7</v>
      </c>
      <c r="G161" s="14">
        <v>45.7</v>
      </c>
      <c r="H161" s="14">
        <v>6.5</v>
      </c>
      <c r="I161" s="14">
        <v>11500</v>
      </c>
      <c r="J161" s="28">
        <v>2.5457185E-2</v>
      </c>
      <c r="K161" s="36">
        <v>33.740175700000002</v>
      </c>
      <c r="L161" s="36">
        <v>17.992135700000002</v>
      </c>
      <c r="M161" s="36">
        <v>2.5590565000000001</v>
      </c>
      <c r="N161" s="36">
        <v>11.5</v>
      </c>
      <c r="S161" s="47">
        <v>6.6000109259259263</v>
      </c>
      <c r="T161" s="47">
        <v>4.8999890740740737</v>
      </c>
    </row>
    <row r="162" spans="2:20">
      <c r="B162" s="2" t="s">
        <v>116</v>
      </c>
      <c r="C162" s="2" t="e">
        <v>#N/A</v>
      </c>
      <c r="D162" s="17">
        <v>4.8</v>
      </c>
      <c r="E162" s="5" t="e">
        <v>#REF!</v>
      </c>
      <c r="F162" s="14">
        <v>56.5</v>
      </c>
      <c r="G162" s="14">
        <v>36.5</v>
      </c>
      <c r="H162" s="14">
        <v>8.5</v>
      </c>
      <c r="I162" s="14">
        <v>4800</v>
      </c>
      <c r="J162" s="28">
        <v>1.7529125E-2</v>
      </c>
      <c r="K162" s="36">
        <v>22.244106500000001</v>
      </c>
      <c r="L162" s="36">
        <v>14.370086500000001</v>
      </c>
      <c r="M162" s="36">
        <v>3.3464585000000002</v>
      </c>
      <c r="N162" s="36">
        <v>4.8</v>
      </c>
      <c r="S162" s="47">
        <v>4.5445879629629626</v>
      </c>
      <c r="T162" s="47">
        <v>0.25541203703703719</v>
      </c>
    </row>
    <row r="163" spans="2:20">
      <c r="B163" s="2" t="s">
        <v>266</v>
      </c>
      <c r="C163" s="2" t="e">
        <v>#N/A</v>
      </c>
      <c r="D163" s="17">
        <v>16.8</v>
      </c>
      <c r="E163" s="5" t="e">
        <v>#REF!</v>
      </c>
      <c r="F163" s="14">
        <v>164.5</v>
      </c>
      <c r="G163" s="14">
        <v>36</v>
      </c>
      <c r="H163" s="14">
        <v>7</v>
      </c>
      <c r="I163" s="14">
        <v>16800</v>
      </c>
      <c r="J163" s="28">
        <v>4.1453999999999998E-2</v>
      </c>
      <c r="K163" s="36">
        <v>64.763814500000009</v>
      </c>
      <c r="L163" s="36">
        <v>14.173236000000001</v>
      </c>
      <c r="M163" s="36">
        <v>2.7559070000000001</v>
      </c>
      <c r="N163" s="36">
        <v>16.8</v>
      </c>
      <c r="S163" s="47">
        <v>10.747333333333334</v>
      </c>
      <c r="T163" s="47">
        <v>6.0526666666666671</v>
      </c>
    </row>
    <row r="164" spans="2:20">
      <c r="B164" s="2" t="s">
        <v>207</v>
      </c>
      <c r="C164" s="2" t="e">
        <v>#N/A</v>
      </c>
      <c r="D164" s="17">
        <v>14</v>
      </c>
      <c r="E164" s="5" t="e">
        <v>#REF!</v>
      </c>
      <c r="F164" s="14">
        <v>110.7</v>
      </c>
      <c r="G164" s="14">
        <v>50.7</v>
      </c>
      <c r="H164" s="14">
        <v>6.5</v>
      </c>
      <c r="I164" s="14">
        <v>14000</v>
      </c>
      <c r="J164" s="28">
        <v>3.6481185000000006E-2</v>
      </c>
      <c r="K164" s="36">
        <v>43.582700700000004</v>
      </c>
      <c r="L164" s="36">
        <v>19.960640700000003</v>
      </c>
      <c r="M164" s="36">
        <v>2.5590565000000001</v>
      </c>
      <c r="N164" s="36">
        <v>14</v>
      </c>
      <c r="S164" s="47">
        <v>9.4580850000000005</v>
      </c>
      <c r="T164" s="47">
        <v>4.5419149999999995</v>
      </c>
    </row>
    <row r="165" spans="2:20">
      <c r="B165" s="46" t="s">
        <v>474</v>
      </c>
      <c r="C165" s="2" t="e">
        <v>#N/A</v>
      </c>
      <c r="D165" s="17">
        <v>17</v>
      </c>
      <c r="E165" s="5" t="e">
        <v>#REF!</v>
      </c>
      <c r="F165" s="14">
        <v>111</v>
      </c>
      <c r="G165" s="14">
        <v>46</v>
      </c>
      <c r="H165" s="14">
        <v>9</v>
      </c>
      <c r="I165" s="14">
        <v>17000</v>
      </c>
      <c r="J165" s="28">
        <v>4.5954000000000002E-2</v>
      </c>
      <c r="K165" s="36">
        <v>43.700811000000002</v>
      </c>
      <c r="L165" s="36">
        <v>18.110246</v>
      </c>
      <c r="M165" s="36">
        <v>3.5433090000000003</v>
      </c>
      <c r="N165" s="36">
        <v>17</v>
      </c>
      <c r="S165" s="47">
        <v>11.914</v>
      </c>
      <c r="T165" s="47">
        <v>5.0860000000000003</v>
      </c>
    </row>
    <row r="166" spans="2:20">
      <c r="B166" s="2" t="s">
        <v>387</v>
      </c>
      <c r="C166" s="2" t="e">
        <v>#N/A</v>
      </c>
      <c r="D166" s="17">
        <v>5</v>
      </c>
      <c r="E166" s="5" t="e">
        <v>#REF!</v>
      </c>
      <c r="F166" s="14">
        <v>67</v>
      </c>
      <c r="G166" s="14">
        <v>42</v>
      </c>
      <c r="H166" s="14">
        <v>7</v>
      </c>
      <c r="I166" s="14">
        <v>5000</v>
      </c>
      <c r="J166" s="28">
        <v>1.9698E-2</v>
      </c>
      <c r="K166" s="36">
        <v>26.377967000000002</v>
      </c>
      <c r="L166" s="36">
        <v>16.535442</v>
      </c>
      <c r="M166" s="36">
        <v>2.7559070000000001</v>
      </c>
      <c r="N166" s="36">
        <v>5</v>
      </c>
      <c r="S166" s="47">
        <v>5.1068888888888884</v>
      </c>
      <c r="T166" s="47">
        <v>-0.10688888888888837</v>
      </c>
    </row>
    <row r="167" spans="2:20">
      <c r="B167" s="38" t="s">
        <v>100</v>
      </c>
      <c r="C167" s="2" t="e">
        <v>#N/A</v>
      </c>
      <c r="D167" s="17">
        <v>7</v>
      </c>
      <c r="E167" s="5" t="e">
        <v>#REF!</v>
      </c>
      <c r="F167" s="14">
        <v>112</v>
      </c>
      <c r="G167" s="14">
        <v>41</v>
      </c>
      <c r="H167" s="14">
        <v>6.5</v>
      </c>
      <c r="I167" s="14">
        <v>7000</v>
      </c>
      <c r="J167" s="28">
        <v>2.9848E-2</v>
      </c>
      <c r="K167" s="36">
        <v>44.094512000000002</v>
      </c>
      <c r="L167" s="36">
        <v>16.141741</v>
      </c>
      <c r="M167" s="36">
        <v>2.5590565000000001</v>
      </c>
      <c r="N167" s="36">
        <v>7</v>
      </c>
      <c r="S167" s="47">
        <v>7.7383703703703706</v>
      </c>
      <c r="T167" s="47">
        <v>-0.73837037037037057</v>
      </c>
    </row>
    <row r="168" spans="2:20">
      <c r="B168" s="6" t="s">
        <v>182</v>
      </c>
      <c r="C168" s="2">
        <v>105</v>
      </c>
      <c r="D168" s="17">
        <v>3.105</v>
      </c>
      <c r="E168" s="5" t="e">
        <v>#REF!</v>
      </c>
      <c r="F168" s="14">
        <v>111</v>
      </c>
      <c r="G168" s="14">
        <v>18</v>
      </c>
      <c r="H168" s="14">
        <v>4</v>
      </c>
      <c r="I168" s="14">
        <v>3105</v>
      </c>
      <c r="J168" s="43"/>
      <c r="K168" s="49"/>
      <c r="L168" s="49"/>
      <c r="M168" s="49"/>
      <c r="N168" s="49"/>
    </row>
    <row r="169" spans="2:20">
      <c r="B169" s="6" t="s">
        <v>234</v>
      </c>
      <c r="C169" s="2">
        <v>153</v>
      </c>
      <c r="D169" s="17">
        <v>3.6</v>
      </c>
      <c r="E169" s="5" t="e">
        <v>#REF!</v>
      </c>
      <c r="F169" s="14">
        <v>36</v>
      </c>
      <c r="G169" s="14">
        <v>30</v>
      </c>
      <c r="H169" s="14">
        <v>8</v>
      </c>
      <c r="I169" s="14">
        <v>3600</v>
      </c>
      <c r="J169" s="43"/>
      <c r="K169" s="49"/>
      <c r="L169" s="49"/>
      <c r="M169" s="49"/>
      <c r="N169" s="49"/>
    </row>
    <row r="170" spans="2:20">
      <c r="B170" s="46" t="s">
        <v>199</v>
      </c>
      <c r="C170" s="2" t="e">
        <v>#N/A</v>
      </c>
      <c r="D170" s="17">
        <v>23.135000000000002</v>
      </c>
      <c r="E170" s="5" t="e">
        <v>#REF!</v>
      </c>
      <c r="F170" s="14">
        <v>81</v>
      </c>
      <c r="G170" s="14">
        <v>42</v>
      </c>
      <c r="H170" s="14">
        <v>14</v>
      </c>
      <c r="I170" s="14">
        <v>23135</v>
      </c>
      <c r="J170" s="43"/>
      <c r="K170" s="49"/>
      <c r="L170" s="49"/>
      <c r="M170" s="49"/>
      <c r="N170" s="49"/>
    </row>
    <row r="171" spans="2:20">
      <c r="B171" s="46" t="s">
        <v>261</v>
      </c>
      <c r="C171" s="2" t="e">
        <v>#N/A</v>
      </c>
      <c r="D171" s="17">
        <v>25</v>
      </c>
      <c r="E171" s="5" t="e">
        <v>#REF!</v>
      </c>
      <c r="F171" s="14">
        <v>126</v>
      </c>
      <c r="G171" s="14">
        <v>65</v>
      </c>
      <c r="H171" s="14">
        <v>7</v>
      </c>
      <c r="I171" s="14">
        <v>25000</v>
      </c>
      <c r="J171" s="43"/>
      <c r="K171" s="49"/>
      <c r="L171" s="49"/>
      <c r="M171" s="49"/>
      <c r="N171" s="49"/>
    </row>
    <row r="172" spans="2:20">
      <c r="B172" s="46" t="s">
        <v>50</v>
      </c>
      <c r="C172" s="2" t="e">
        <v>#N/A</v>
      </c>
      <c r="D172" s="17">
        <v>47.106000000000002</v>
      </c>
      <c r="E172" s="5" t="e">
        <v>#REF!</v>
      </c>
      <c r="F172" s="14">
        <v>205</v>
      </c>
      <c r="G172" s="14">
        <v>51</v>
      </c>
      <c r="H172" s="14">
        <v>10</v>
      </c>
      <c r="I172" s="14">
        <v>47106</v>
      </c>
      <c r="J172" s="43"/>
      <c r="K172" s="49"/>
      <c r="L172" s="49"/>
      <c r="M172" s="49"/>
      <c r="N172" s="49"/>
    </row>
    <row r="173" spans="2:20">
      <c r="B173" s="46" t="s">
        <v>58</v>
      </c>
      <c r="C173" s="2" t="e">
        <v>#N/A</v>
      </c>
      <c r="D173" s="17">
        <v>38</v>
      </c>
      <c r="E173" s="5" t="e">
        <v>#REF!</v>
      </c>
      <c r="F173" s="14">
        <v>206</v>
      </c>
      <c r="G173" s="14">
        <v>51</v>
      </c>
      <c r="H173" s="14">
        <v>8</v>
      </c>
      <c r="I173" s="14">
        <v>38000</v>
      </c>
      <c r="J173" s="43"/>
      <c r="K173" s="49"/>
      <c r="L173" s="49"/>
      <c r="M173" s="49"/>
      <c r="N173" s="49"/>
    </row>
    <row r="174" spans="2:20">
      <c r="B174" s="46" t="s">
        <v>67</v>
      </c>
      <c r="C174" s="2" t="e">
        <v>#N/A</v>
      </c>
      <c r="D174" s="17">
        <v>18.8</v>
      </c>
      <c r="E174" s="5" t="e">
        <v>#REF!</v>
      </c>
      <c r="F174" s="14">
        <v>131</v>
      </c>
      <c r="G174" s="14">
        <v>36</v>
      </c>
      <c r="H174" s="14">
        <v>10</v>
      </c>
      <c r="I174" s="14">
        <v>18800</v>
      </c>
      <c r="J174" s="43"/>
      <c r="K174" s="49"/>
      <c r="L174" s="49"/>
      <c r="M174" s="49"/>
      <c r="N174" s="49"/>
    </row>
    <row r="175" spans="2:20">
      <c r="B175" s="46" t="s">
        <v>100</v>
      </c>
      <c r="C175" s="2" t="e">
        <v>#N/A</v>
      </c>
      <c r="D175" s="17">
        <v>7</v>
      </c>
      <c r="E175" s="5" t="e">
        <v>#REF!</v>
      </c>
      <c r="F175" s="14">
        <v>112</v>
      </c>
      <c r="G175" s="14">
        <v>41</v>
      </c>
      <c r="H175" s="14">
        <v>6.5</v>
      </c>
      <c r="I175" s="14">
        <v>7000</v>
      </c>
      <c r="J175" s="43"/>
      <c r="K175" s="49"/>
      <c r="L175" s="49"/>
      <c r="M175" s="49"/>
      <c r="N175" s="49"/>
    </row>
    <row r="176" spans="2:20">
      <c r="B176" s="46" t="s">
        <v>130</v>
      </c>
      <c r="C176" s="2" t="e">
        <v>#N/A</v>
      </c>
      <c r="D176" s="17">
        <v>26.3</v>
      </c>
      <c r="E176" s="5" t="e">
        <v>#REF!</v>
      </c>
      <c r="F176" s="14">
        <v>191</v>
      </c>
      <c r="G176" s="14">
        <v>53</v>
      </c>
      <c r="H176" s="14">
        <v>5</v>
      </c>
      <c r="I176" s="14">
        <v>26300</v>
      </c>
      <c r="J176" s="43"/>
      <c r="K176" s="49"/>
      <c r="L176" s="49"/>
      <c r="M176" s="49"/>
      <c r="N176" s="49"/>
    </row>
    <row r="177" spans="2:14">
      <c r="B177" s="46" t="s">
        <v>131</v>
      </c>
      <c r="C177" s="2" t="e">
        <v>#N/A</v>
      </c>
      <c r="D177" s="17">
        <v>17.100000000000001</v>
      </c>
      <c r="E177" s="5" t="e">
        <v>#REF!</v>
      </c>
      <c r="F177" s="14">
        <v>190</v>
      </c>
      <c r="G177" s="14">
        <v>40</v>
      </c>
      <c r="H177" s="14">
        <v>5</v>
      </c>
      <c r="I177" s="14">
        <v>17100</v>
      </c>
      <c r="J177" s="43"/>
      <c r="K177" s="49"/>
      <c r="L177" s="49"/>
      <c r="M177" s="49"/>
      <c r="N177" s="49"/>
    </row>
    <row r="178" spans="2:14">
      <c r="B178" s="46" t="s">
        <v>132</v>
      </c>
      <c r="C178" s="2" t="e">
        <v>#N/A</v>
      </c>
      <c r="D178" s="17">
        <v>39.799999999999997</v>
      </c>
      <c r="E178" s="5" t="e">
        <v>#REF!</v>
      </c>
      <c r="F178" s="14">
        <v>195</v>
      </c>
      <c r="G178" s="14">
        <v>69.5</v>
      </c>
      <c r="H178" s="14">
        <v>7.5</v>
      </c>
      <c r="I178" s="14">
        <v>39800</v>
      </c>
      <c r="J178" s="43"/>
      <c r="K178" s="49"/>
      <c r="L178" s="49"/>
      <c r="M178" s="49"/>
      <c r="N178" s="49"/>
    </row>
    <row r="179" spans="2:14">
      <c r="B179" s="46" t="s">
        <v>156</v>
      </c>
      <c r="C179" s="2" t="e">
        <v>#N/A</v>
      </c>
      <c r="D179" s="17">
        <v>20.100000000000001</v>
      </c>
      <c r="E179" s="5" t="e">
        <v>#REF!</v>
      </c>
      <c r="F179" s="14">
        <v>190</v>
      </c>
      <c r="G179" s="14">
        <v>33</v>
      </c>
      <c r="H179" s="14">
        <v>8</v>
      </c>
      <c r="I179" s="14">
        <v>20100</v>
      </c>
      <c r="J179" s="43"/>
      <c r="K179" s="49"/>
      <c r="L179" s="49"/>
      <c r="M179" s="49"/>
      <c r="N179" s="49"/>
    </row>
    <row r="180" spans="2:14">
      <c r="B180" s="46" t="s">
        <v>158</v>
      </c>
      <c r="C180" s="2" t="e">
        <v>#N/A</v>
      </c>
      <c r="D180" s="17">
        <v>23.35</v>
      </c>
      <c r="E180" s="5" t="e">
        <v>#REF!</v>
      </c>
      <c r="F180" s="14">
        <v>160</v>
      </c>
      <c r="G180" s="14">
        <v>30</v>
      </c>
      <c r="H180" s="14">
        <v>10</v>
      </c>
      <c r="I180" s="14">
        <v>23350</v>
      </c>
      <c r="J180" s="43"/>
      <c r="K180" s="49"/>
      <c r="L180" s="49"/>
      <c r="M180" s="49"/>
      <c r="N180" s="49"/>
    </row>
    <row r="181" spans="2:14">
      <c r="B181" s="46" t="s">
        <v>159</v>
      </c>
      <c r="C181" s="2" t="e">
        <v>#N/A</v>
      </c>
      <c r="D181" s="17">
        <v>11.3</v>
      </c>
      <c r="E181" s="5" t="e">
        <v>#REF!</v>
      </c>
      <c r="F181" s="14">
        <v>84</v>
      </c>
      <c r="G181" s="14">
        <v>30</v>
      </c>
      <c r="H181" s="14">
        <v>11.5</v>
      </c>
      <c r="I181" s="14">
        <v>11300</v>
      </c>
      <c r="J181" s="43"/>
      <c r="K181" s="49"/>
      <c r="L181" s="49"/>
      <c r="M181" s="49"/>
      <c r="N181" s="49"/>
    </row>
    <row r="182" spans="2:14">
      <c r="B182" s="46" t="s">
        <v>167</v>
      </c>
      <c r="C182" s="2" t="e">
        <v>#N/A</v>
      </c>
      <c r="D182" s="17">
        <v>30.3</v>
      </c>
      <c r="E182" s="5" t="e">
        <v>#REF!</v>
      </c>
      <c r="F182" s="14">
        <v>182</v>
      </c>
      <c r="G182" s="14">
        <v>34</v>
      </c>
      <c r="H182" s="14">
        <v>10</v>
      </c>
      <c r="I182" s="14">
        <v>30300</v>
      </c>
      <c r="J182" s="43"/>
      <c r="K182" s="49"/>
      <c r="L182" s="49"/>
      <c r="M182" s="49"/>
      <c r="N182" s="49"/>
    </row>
    <row r="183" spans="2:14">
      <c r="B183" s="46" t="s">
        <v>168</v>
      </c>
      <c r="C183" s="2" t="e">
        <v>#N/A</v>
      </c>
      <c r="D183" s="17">
        <v>22.7</v>
      </c>
      <c r="E183" s="5" t="e">
        <v>#REF!</v>
      </c>
      <c r="F183" s="14">
        <v>167</v>
      </c>
      <c r="G183" s="14">
        <v>34.5</v>
      </c>
      <c r="H183" s="14">
        <v>9</v>
      </c>
      <c r="I183" s="14">
        <v>22700</v>
      </c>
      <c r="J183" s="43"/>
      <c r="K183" s="49"/>
      <c r="L183" s="49"/>
      <c r="M183" s="49"/>
      <c r="N183" s="49"/>
    </row>
    <row r="184" spans="2:14">
      <c r="B184" s="46" t="s">
        <v>171</v>
      </c>
      <c r="C184" s="2" t="e">
        <v>#N/A</v>
      </c>
      <c r="D184" s="17">
        <v>17.757000000000001</v>
      </c>
      <c r="E184" s="5" t="e">
        <v>#REF!</v>
      </c>
      <c r="F184" s="14">
        <v>158.19999999999999</v>
      </c>
      <c r="G184" s="14">
        <v>29.7</v>
      </c>
      <c r="H184" s="14">
        <v>8</v>
      </c>
      <c r="I184" s="14">
        <v>17757</v>
      </c>
      <c r="J184" s="43"/>
      <c r="K184" s="49"/>
      <c r="L184" s="49"/>
      <c r="M184" s="49"/>
      <c r="N184" s="49"/>
    </row>
    <row r="185" spans="2:14">
      <c r="B185" s="46" t="s">
        <v>360</v>
      </c>
      <c r="C185" s="2" t="e">
        <v>#N/A</v>
      </c>
      <c r="D185" s="17">
        <v>38.299999999999997</v>
      </c>
      <c r="E185" s="5" t="e">
        <v>#REF!</v>
      </c>
      <c r="F185" s="14">
        <v>161</v>
      </c>
      <c r="G185" s="14">
        <v>44</v>
      </c>
      <c r="H185" s="14">
        <v>13</v>
      </c>
      <c r="I185" s="14">
        <v>38300</v>
      </c>
      <c r="J185" s="43"/>
      <c r="K185" s="49"/>
      <c r="L185" s="49"/>
      <c r="M185" s="49"/>
      <c r="N185" s="49"/>
    </row>
    <row r="186" spans="2:14">
      <c r="B186" s="46" t="s">
        <v>195</v>
      </c>
      <c r="C186" s="2" t="e">
        <v>#N/A</v>
      </c>
      <c r="D186" s="17">
        <v>12.5</v>
      </c>
      <c r="E186" s="5" t="e">
        <v>#REF!</v>
      </c>
      <c r="F186" s="14">
        <v>103</v>
      </c>
      <c r="G186" s="14">
        <v>36</v>
      </c>
      <c r="H186" s="14">
        <v>7</v>
      </c>
      <c r="I186" s="14">
        <v>12500</v>
      </c>
      <c r="J186" s="43"/>
      <c r="K186" s="49"/>
      <c r="L186" s="49"/>
      <c r="M186" s="49"/>
      <c r="N186" s="49"/>
    </row>
    <row r="187" spans="2:14">
      <c r="B187" s="46" t="s">
        <v>363</v>
      </c>
      <c r="C187" s="2" t="e">
        <v>#N/A</v>
      </c>
      <c r="D187" s="17">
        <v>35.6</v>
      </c>
      <c r="E187" s="5" t="e">
        <v>#REF!</v>
      </c>
      <c r="F187" s="14">
        <v>150</v>
      </c>
      <c r="G187" s="14">
        <v>41</v>
      </c>
      <c r="H187" s="14">
        <v>13</v>
      </c>
      <c r="I187" s="14">
        <v>35600</v>
      </c>
      <c r="J187" s="43"/>
      <c r="K187" s="49"/>
      <c r="L187" s="49"/>
      <c r="M187" s="49"/>
      <c r="N187" s="49"/>
    </row>
    <row r="188" spans="2:14">
      <c r="B188" s="46" t="s">
        <v>230</v>
      </c>
      <c r="C188" s="2" t="e">
        <v>#N/A</v>
      </c>
      <c r="D188" s="17">
        <v>5.6</v>
      </c>
      <c r="E188" s="5" t="e">
        <v>#REF!</v>
      </c>
      <c r="F188" s="14">
        <v>57</v>
      </c>
      <c r="G188" s="14">
        <v>28.5</v>
      </c>
      <c r="H188" s="14">
        <v>8.5</v>
      </c>
      <c r="I188" s="14">
        <v>5600</v>
      </c>
      <c r="J188" s="43"/>
      <c r="K188" s="49"/>
      <c r="L188" s="49"/>
      <c r="M188" s="49"/>
      <c r="N188" s="49"/>
    </row>
    <row r="189" spans="2:14">
      <c r="B189" s="46" t="s">
        <v>254</v>
      </c>
      <c r="C189" s="2" t="e">
        <v>#N/A</v>
      </c>
      <c r="D189" s="17">
        <v>5</v>
      </c>
      <c r="E189" s="5" t="e">
        <v>#REF!</v>
      </c>
      <c r="F189" s="14">
        <v>97</v>
      </c>
      <c r="G189" s="14">
        <v>29.5</v>
      </c>
      <c r="H189" s="14">
        <v>4.5</v>
      </c>
      <c r="I189" s="14">
        <v>5000</v>
      </c>
      <c r="J189" s="43"/>
      <c r="K189" s="49"/>
      <c r="L189" s="49"/>
      <c r="M189" s="49"/>
      <c r="N189" s="49"/>
    </row>
    <row r="190" spans="2:14">
      <c r="B190" s="46" t="s">
        <v>255</v>
      </c>
      <c r="C190" s="2" t="e">
        <v>#N/A</v>
      </c>
      <c r="D190" s="17">
        <v>3.4</v>
      </c>
      <c r="E190" s="5" t="e">
        <v>#REF!</v>
      </c>
      <c r="F190" s="14">
        <v>67</v>
      </c>
      <c r="G190" s="14">
        <v>29.5</v>
      </c>
      <c r="H190" s="14">
        <v>4.5</v>
      </c>
      <c r="I190" s="14">
        <v>3400</v>
      </c>
      <c r="J190" s="43"/>
      <c r="K190" s="49"/>
      <c r="L190" s="49"/>
      <c r="M190" s="49"/>
      <c r="N190" s="49"/>
    </row>
    <row r="191" spans="2:14">
      <c r="B191" s="46" t="s">
        <v>276</v>
      </c>
      <c r="C191" s="2" t="e">
        <v>#N/A</v>
      </c>
      <c r="D191" s="17">
        <v>33.9</v>
      </c>
      <c r="E191" s="5" t="e">
        <v>#REF!</v>
      </c>
      <c r="F191" s="14">
        <v>189.5</v>
      </c>
      <c r="G191" s="14">
        <v>47</v>
      </c>
      <c r="H191" s="14">
        <v>9</v>
      </c>
      <c r="I191" s="14">
        <v>33900</v>
      </c>
      <c r="J191" s="43"/>
      <c r="K191" s="49"/>
      <c r="L191" s="49"/>
      <c r="M191" s="49"/>
      <c r="N191" s="49"/>
    </row>
    <row r="192" spans="2:14">
      <c r="B192" s="46" t="s">
        <v>295</v>
      </c>
      <c r="C192" s="2" t="e">
        <v>#N/A</v>
      </c>
      <c r="D192" s="17">
        <v>33.200000000000003</v>
      </c>
      <c r="E192" s="5" t="e">
        <v>#REF!</v>
      </c>
      <c r="F192" s="14">
        <v>127.5</v>
      </c>
      <c r="G192" s="14">
        <v>67</v>
      </c>
      <c r="H192" s="14">
        <v>9</v>
      </c>
      <c r="I192" s="14">
        <v>33200</v>
      </c>
      <c r="J192" s="43"/>
      <c r="K192" s="49"/>
      <c r="L192" s="49"/>
      <c r="M192" s="49"/>
      <c r="N192" s="49"/>
    </row>
    <row r="193" spans="2:14">
      <c r="B193" s="46" t="s">
        <v>296</v>
      </c>
      <c r="C193" s="2" t="e">
        <v>#N/A</v>
      </c>
      <c r="D193" s="17">
        <v>33.200000000000003</v>
      </c>
      <c r="E193" s="5" t="e">
        <v>#REF!</v>
      </c>
      <c r="F193" s="14">
        <v>127.5</v>
      </c>
      <c r="G193" s="14">
        <v>67</v>
      </c>
      <c r="H193" s="14">
        <v>9</v>
      </c>
      <c r="I193" s="14">
        <v>33200</v>
      </c>
      <c r="J193" s="43"/>
      <c r="K193" s="49"/>
      <c r="L193" s="49"/>
      <c r="M193" s="49"/>
      <c r="N193" s="49"/>
    </row>
    <row r="194" spans="2:14">
      <c r="B194" s="46" t="s">
        <v>301</v>
      </c>
      <c r="C194" s="2" t="e">
        <v>#N/A</v>
      </c>
      <c r="D194" s="17">
        <v>51.5</v>
      </c>
      <c r="E194" s="5" t="e">
        <v>#REF!</v>
      </c>
      <c r="F194" s="14">
        <v>186</v>
      </c>
      <c r="G194" s="14">
        <v>52.5</v>
      </c>
      <c r="H194" s="14">
        <v>10.5</v>
      </c>
      <c r="I194" s="14">
        <v>51500</v>
      </c>
      <c r="J194" s="43"/>
      <c r="K194" s="49"/>
      <c r="L194" s="49"/>
      <c r="M194" s="49"/>
      <c r="N194" s="49"/>
    </row>
    <row r="195" spans="2:14">
      <c r="B195" s="5"/>
      <c r="C195" s="5"/>
      <c r="D195" s="17"/>
      <c r="E195" s="5"/>
      <c r="F195" s="7"/>
      <c r="G195" s="7"/>
      <c r="H195" s="7"/>
      <c r="I195" s="7"/>
      <c r="J195" s="43"/>
      <c r="K195" s="49"/>
      <c r="L195" s="49"/>
      <c r="M195" s="49"/>
      <c r="N195" s="49"/>
    </row>
    <row r="196" spans="2:14">
      <c r="B196" s="5"/>
      <c r="C196" s="5"/>
      <c r="D196" s="17"/>
      <c r="E196" s="5"/>
      <c r="F196" s="7"/>
      <c r="G196" s="7"/>
      <c r="H196" s="7"/>
      <c r="I196" s="7"/>
      <c r="J196" s="43"/>
      <c r="K196" s="49"/>
      <c r="L196" s="49"/>
      <c r="M196" s="49"/>
      <c r="N196" s="49"/>
    </row>
    <row r="197" spans="2:14">
      <c r="B197" s="5"/>
      <c r="C197" s="5"/>
      <c r="D197" s="17"/>
      <c r="E197" s="5"/>
      <c r="F197" s="7"/>
      <c r="G197" s="7"/>
      <c r="H197" s="7"/>
      <c r="I197" s="7"/>
      <c r="J197" s="43"/>
      <c r="K197" s="49"/>
      <c r="L197" s="49"/>
      <c r="M197" s="49"/>
      <c r="N197" s="49"/>
    </row>
    <row r="198" spans="2:14">
      <c r="B198" s="5"/>
      <c r="C198" s="5"/>
      <c r="D198" s="17"/>
      <c r="E198" s="5"/>
      <c r="F198" s="7"/>
      <c r="G198" s="7"/>
      <c r="H198" s="7"/>
      <c r="I198" s="7"/>
      <c r="J198" s="43"/>
      <c r="K198" s="49"/>
      <c r="L198" s="49"/>
      <c r="M198" s="49"/>
      <c r="N198" s="49"/>
    </row>
    <row r="199" spans="2:14">
      <c r="B199" s="5"/>
      <c r="C199" s="5"/>
      <c r="D199" s="17"/>
      <c r="E199" s="5"/>
      <c r="F199" s="7"/>
      <c r="G199" s="7"/>
      <c r="H199" s="7"/>
      <c r="I199" s="7"/>
      <c r="J199" s="43"/>
      <c r="K199" s="49"/>
      <c r="L199" s="49"/>
      <c r="M199" s="49"/>
      <c r="N199" s="49"/>
    </row>
    <row r="200" spans="2:14">
      <c r="B200" s="5"/>
      <c r="C200" s="5"/>
      <c r="D200" s="17"/>
      <c r="E200" s="5"/>
      <c r="F200" s="7"/>
      <c r="G200" s="7"/>
      <c r="H200" s="7"/>
      <c r="I200" s="7"/>
      <c r="J200" s="43"/>
      <c r="K200" s="49"/>
      <c r="L200" s="49"/>
      <c r="M200" s="49"/>
      <c r="N200" s="49"/>
    </row>
    <row r="201" spans="2:14">
      <c r="B201" s="5"/>
      <c r="C201" s="5"/>
      <c r="D201" s="17"/>
      <c r="E201" s="5"/>
      <c r="F201" s="7"/>
      <c r="G201" s="7"/>
      <c r="H201" s="7"/>
      <c r="I201" s="7"/>
      <c r="J201" s="43"/>
      <c r="K201" s="49"/>
      <c r="L201" s="49"/>
      <c r="M201" s="49"/>
      <c r="N201" s="49"/>
    </row>
    <row r="202" spans="2:14">
      <c r="B202" s="5"/>
      <c r="C202" s="5"/>
      <c r="D202" s="17"/>
      <c r="E202" s="5"/>
      <c r="F202" s="7"/>
      <c r="G202" s="7"/>
      <c r="H202" s="7"/>
      <c r="I202" s="7"/>
      <c r="J202" s="43"/>
      <c r="K202" s="49"/>
      <c r="L202" s="49"/>
      <c r="M202" s="49"/>
      <c r="N202" s="49"/>
    </row>
    <row r="203" spans="2:14">
      <c r="B203" s="5"/>
      <c r="C203" s="5"/>
      <c r="D203" s="17"/>
      <c r="E203" s="5"/>
      <c r="F203" s="7"/>
      <c r="G203" s="7"/>
      <c r="H203" s="7"/>
      <c r="I203" s="7"/>
      <c r="J203" s="43"/>
      <c r="K203" s="49"/>
      <c r="L203" s="49"/>
      <c r="M203" s="49"/>
      <c r="N203" s="49"/>
    </row>
    <row r="204" spans="2:14">
      <c r="B204" s="5"/>
      <c r="C204" s="5"/>
      <c r="D204" s="17"/>
      <c r="E204" s="5"/>
      <c r="F204" s="7"/>
      <c r="G204" s="7"/>
      <c r="H204" s="7"/>
      <c r="I204" s="7"/>
      <c r="J204" s="43"/>
      <c r="K204" s="49"/>
      <c r="L204" s="49"/>
      <c r="M204" s="49"/>
      <c r="N204" s="49"/>
    </row>
    <row r="205" spans="2:14">
      <c r="B205" s="5"/>
      <c r="C205" s="5"/>
      <c r="D205" s="17"/>
      <c r="E205" s="5"/>
      <c r="F205" s="7"/>
      <c r="G205" s="7"/>
      <c r="H205" s="7"/>
      <c r="I205" s="7"/>
      <c r="J205" s="43"/>
      <c r="K205" s="49"/>
      <c r="L205" s="49"/>
      <c r="M205" s="49"/>
      <c r="N205" s="49"/>
    </row>
    <row r="206" spans="2:14">
      <c r="B206" s="5"/>
      <c r="C206" s="5"/>
      <c r="D206" s="17"/>
      <c r="E206" s="5"/>
      <c r="F206" s="7"/>
      <c r="G206" s="7"/>
      <c r="H206" s="7"/>
      <c r="I206" s="7"/>
      <c r="J206" s="43"/>
      <c r="K206" s="49"/>
      <c r="L206" s="49"/>
      <c r="M206" s="49"/>
      <c r="N206" s="49"/>
    </row>
    <row r="207" spans="2:14">
      <c r="B207" s="5"/>
      <c r="C207" s="5"/>
      <c r="D207" s="17"/>
      <c r="E207" s="5"/>
      <c r="F207" s="7"/>
      <c r="G207" s="7"/>
      <c r="H207" s="7"/>
      <c r="I207" s="7"/>
      <c r="J207" s="43"/>
      <c r="K207" s="49"/>
      <c r="L207" s="49"/>
      <c r="M207" s="49"/>
      <c r="N207" s="49"/>
    </row>
    <row r="208" spans="2:14">
      <c r="B208" s="5"/>
      <c r="C208" s="5"/>
      <c r="D208" s="17"/>
      <c r="E208" s="5"/>
      <c r="F208" s="7"/>
      <c r="G208" s="7"/>
      <c r="H208" s="7"/>
      <c r="I208" s="7"/>
      <c r="J208" s="43"/>
      <c r="K208" s="49"/>
      <c r="L208" s="49"/>
      <c r="M208" s="49"/>
      <c r="N208" s="49"/>
    </row>
    <row r="209" spans="2:14">
      <c r="B209" s="5"/>
      <c r="C209" s="5"/>
      <c r="D209" s="17"/>
      <c r="E209" s="5"/>
      <c r="F209" s="7"/>
      <c r="G209" s="7"/>
      <c r="H209" s="7"/>
      <c r="I209" s="7"/>
      <c r="J209" s="43"/>
      <c r="K209" s="49"/>
      <c r="L209" s="49"/>
      <c r="M209" s="49"/>
      <c r="N209" s="49"/>
    </row>
    <row r="210" spans="2:14">
      <c r="B210" s="5"/>
      <c r="C210" s="5"/>
      <c r="D210" s="17"/>
      <c r="E210" s="5"/>
      <c r="F210" s="7"/>
      <c r="G210" s="7"/>
      <c r="H210" s="7"/>
      <c r="I210" s="7"/>
      <c r="J210" s="43"/>
      <c r="K210" s="49"/>
      <c r="L210" s="49"/>
      <c r="M210" s="49"/>
      <c r="N210" s="49"/>
    </row>
    <row r="211" spans="2:14">
      <c r="B211" s="5"/>
      <c r="C211" s="5"/>
      <c r="D211" s="17"/>
      <c r="E211" s="5"/>
      <c r="F211" s="7"/>
      <c r="G211" s="7"/>
      <c r="H211" s="7"/>
      <c r="I211" s="7"/>
      <c r="J211" s="43"/>
      <c r="K211" s="49"/>
      <c r="L211" s="49"/>
      <c r="M211" s="49"/>
      <c r="N211" s="49"/>
    </row>
    <row r="212" spans="2:14">
      <c r="B212" s="5"/>
      <c r="C212" s="5"/>
      <c r="D212" s="17"/>
      <c r="E212" s="5"/>
      <c r="F212" s="7"/>
      <c r="G212" s="7"/>
      <c r="H212" s="7"/>
      <c r="I212" s="7"/>
      <c r="J212" s="43"/>
      <c r="K212" s="49"/>
      <c r="L212" s="49"/>
      <c r="M212" s="49"/>
      <c r="N212" s="49"/>
    </row>
    <row r="213" spans="2:14">
      <c r="B213" s="5"/>
      <c r="C213" s="5"/>
      <c r="D213" s="17"/>
      <c r="E213" s="5"/>
      <c r="F213" s="7"/>
      <c r="G213" s="7"/>
      <c r="H213" s="7"/>
      <c r="I213" s="7"/>
      <c r="J213" s="43"/>
      <c r="K213" s="49"/>
      <c r="L213" s="49"/>
      <c r="M213" s="49"/>
      <c r="N213" s="49"/>
    </row>
    <row r="214" spans="2:14">
      <c r="B214" s="5"/>
      <c r="C214" s="5"/>
      <c r="D214" s="17"/>
      <c r="E214" s="5"/>
      <c r="F214" s="7"/>
      <c r="G214" s="7"/>
      <c r="H214" s="7"/>
      <c r="I214" s="7"/>
      <c r="J214" s="43"/>
      <c r="K214" s="49"/>
      <c r="L214" s="49"/>
      <c r="M214" s="49"/>
      <c r="N214" s="49"/>
    </row>
    <row r="215" spans="2:14">
      <c r="B215" s="5"/>
      <c r="C215" s="5"/>
      <c r="D215" s="17"/>
      <c r="E215" s="5"/>
      <c r="F215" s="7"/>
      <c r="G215" s="7"/>
      <c r="H215" s="7"/>
      <c r="I215" s="7"/>
      <c r="J215" s="43"/>
      <c r="K215" s="49"/>
      <c r="L215" s="49"/>
      <c r="M215" s="49"/>
      <c r="N215" s="49"/>
    </row>
    <row r="216" spans="2:14">
      <c r="B216" s="5"/>
      <c r="C216" s="5"/>
      <c r="D216" s="17"/>
      <c r="E216" s="5"/>
      <c r="F216" s="7"/>
      <c r="G216" s="7"/>
      <c r="H216" s="7"/>
      <c r="I216" s="7"/>
      <c r="J216" s="43"/>
      <c r="K216" s="49"/>
      <c r="L216" s="49"/>
      <c r="M216" s="49"/>
      <c r="N216" s="49"/>
    </row>
    <row r="217" spans="2:14">
      <c r="B217" s="5"/>
      <c r="C217" s="5"/>
      <c r="D217" s="17"/>
      <c r="E217" s="5"/>
      <c r="F217" s="7"/>
      <c r="G217" s="7"/>
      <c r="H217" s="7"/>
      <c r="I217" s="7"/>
      <c r="J217" s="43"/>
      <c r="K217" s="49"/>
      <c r="L217" s="49"/>
      <c r="M217" s="49"/>
      <c r="N217" s="49"/>
    </row>
    <row r="218" spans="2:14">
      <c r="B218" s="5"/>
      <c r="C218" s="5"/>
      <c r="D218" s="17"/>
      <c r="E218" s="5"/>
      <c r="F218" s="7"/>
      <c r="G218" s="7"/>
      <c r="H218" s="7"/>
      <c r="I218" s="7"/>
      <c r="J218" s="43"/>
      <c r="K218" s="49"/>
      <c r="L218" s="49"/>
      <c r="M218" s="49"/>
      <c r="N218" s="49"/>
    </row>
    <row r="219" spans="2:14">
      <c r="B219" s="5"/>
      <c r="C219" s="5"/>
      <c r="D219" s="17"/>
      <c r="E219" s="5"/>
      <c r="F219" s="7"/>
      <c r="G219" s="7"/>
      <c r="H219" s="7"/>
      <c r="I219" s="7"/>
      <c r="J219" s="43"/>
      <c r="K219" s="49"/>
      <c r="L219" s="49"/>
      <c r="M219" s="49"/>
      <c r="N219" s="49"/>
    </row>
    <row r="220" spans="2:14">
      <c r="B220" s="5"/>
      <c r="C220" s="5"/>
      <c r="D220" s="17"/>
      <c r="E220" s="5"/>
      <c r="F220" s="7"/>
      <c r="G220" s="7"/>
      <c r="H220" s="7"/>
      <c r="I220" s="7"/>
      <c r="J220" s="43"/>
      <c r="K220" s="49"/>
      <c r="L220" s="49"/>
      <c r="M220" s="49"/>
      <c r="N220" s="49"/>
    </row>
    <row r="221" spans="2:14">
      <c r="B221" s="5"/>
      <c r="C221" s="5"/>
      <c r="D221" s="17"/>
      <c r="E221" s="5"/>
      <c r="F221" s="7"/>
      <c r="G221" s="7"/>
      <c r="H221" s="7"/>
      <c r="I221" s="7"/>
      <c r="J221" s="43"/>
      <c r="K221" s="49"/>
      <c r="L221" s="49"/>
      <c r="M221" s="49"/>
      <c r="N221" s="49"/>
    </row>
    <row r="222" spans="2:14">
      <c r="B222" s="5"/>
      <c r="C222" s="5"/>
      <c r="D222" s="17"/>
      <c r="E222" s="5"/>
      <c r="F222" s="7"/>
      <c r="G222" s="7"/>
      <c r="H222" s="7"/>
      <c r="I222" s="7"/>
      <c r="J222" s="43"/>
      <c r="K222" s="49"/>
      <c r="L222" s="49"/>
      <c r="M222" s="49"/>
      <c r="N222" s="49"/>
    </row>
    <row r="223" spans="2:14">
      <c r="B223" s="5"/>
      <c r="C223" s="5"/>
      <c r="D223" s="17"/>
      <c r="E223" s="5"/>
      <c r="F223" s="7"/>
      <c r="G223" s="7"/>
      <c r="H223" s="7"/>
      <c r="I223" s="7"/>
      <c r="J223" s="43"/>
      <c r="K223" s="49"/>
      <c r="L223" s="49"/>
      <c r="M223" s="49"/>
      <c r="N223" s="49"/>
    </row>
    <row r="224" spans="2:14">
      <c r="B224" s="5"/>
      <c r="C224" s="5"/>
      <c r="D224" s="17"/>
      <c r="E224" s="5"/>
      <c r="F224" s="7"/>
      <c r="G224" s="7"/>
      <c r="H224" s="7"/>
      <c r="I224" s="7"/>
      <c r="J224" s="43"/>
      <c r="K224" s="49"/>
      <c r="L224" s="49"/>
      <c r="M224" s="49"/>
      <c r="N224" s="49"/>
    </row>
    <row r="225" spans="2:14">
      <c r="B225" s="5"/>
      <c r="C225" s="5"/>
      <c r="D225" s="17"/>
      <c r="E225" s="5"/>
      <c r="F225" s="7"/>
      <c r="G225" s="7"/>
      <c r="H225" s="7"/>
      <c r="I225" s="7"/>
      <c r="J225" s="43"/>
      <c r="K225" s="49"/>
      <c r="L225" s="49"/>
      <c r="M225" s="49"/>
      <c r="N225" s="49"/>
    </row>
    <row r="226" spans="2:14">
      <c r="B226" s="5"/>
      <c r="C226" s="5"/>
      <c r="D226" s="17"/>
      <c r="E226" s="5"/>
      <c r="F226" s="7"/>
      <c r="G226" s="7"/>
      <c r="H226" s="7"/>
      <c r="I226" s="7"/>
      <c r="J226" s="43"/>
      <c r="K226" s="49"/>
      <c r="L226" s="49"/>
      <c r="M226" s="49"/>
      <c r="N226" s="49"/>
    </row>
    <row r="227" spans="2:14">
      <c r="B227" s="5"/>
      <c r="C227" s="5"/>
      <c r="D227" s="17"/>
      <c r="E227" s="5"/>
      <c r="F227" s="7"/>
      <c r="G227" s="7"/>
      <c r="H227" s="7"/>
      <c r="I227" s="7"/>
      <c r="J227" s="43"/>
      <c r="K227" s="49"/>
      <c r="L227" s="49"/>
      <c r="M227" s="49"/>
      <c r="N227" s="49"/>
    </row>
    <row r="228" spans="2:14">
      <c r="B228" s="5"/>
      <c r="C228" s="5"/>
      <c r="D228" s="17"/>
      <c r="E228" s="5"/>
      <c r="F228" s="7"/>
      <c r="G228" s="7"/>
      <c r="H228" s="7"/>
      <c r="I228" s="7"/>
      <c r="J228" s="43"/>
      <c r="K228" s="49"/>
      <c r="L228" s="49"/>
      <c r="M228" s="49"/>
      <c r="N228" s="49"/>
    </row>
    <row r="229" spans="2:14">
      <c r="B229" s="5"/>
      <c r="C229" s="5"/>
      <c r="D229" s="17"/>
      <c r="E229" s="5"/>
      <c r="F229" s="7"/>
      <c r="G229" s="7"/>
      <c r="H229" s="7"/>
      <c r="I229" s="7"/>
      <c r="J229" s="43"/>
      <c r="K229" s="49"/>
      <c r="L229" s="49"/>
      <c r="M229" s="49"/>
      <c r="N229" s="49"/>
    </row>
    <row r="230" spans="2:14">
      <c r="B230" s="5"/>
      <c r="C230" s="5"/>
      <c r="D230" s="17"/>
      <c r="E230" s="5"/>
      <c r="F230" s="7"/>
      <c r="G230" s="7"/>
      <c r="H230" s="7"/>
      <c r="I230" s="7"/>
      <c r="J230" s="43"/>
      <c r="K230" s="49"/>
      <c r="L230" s="49"/>
      <c r="M230" s="49"/>
      <c r="N230" s="49"/>
    </row>
    <row r="231" spans="2:14">
      <c r="B231" s="5"/>
      <c r="C231" s="5"/>
      <c r="D231" s="17"/>
      <c r="E231" s="5"/>
      <c r="F231" s="7"/>
      <c r="G231" s="7"/>
      <c r="H231" s="7"/>
      <c r="I231" s="7"/>
      <c r="J231" s="43"/>
      <c r="K231" s="49"/>
      <c r="L231" s="49"/>
      <c r="M231" s="49"/>
      <c r="N231" s="49"/>
    </row>
    <row r="232" spans="2:14">
      <c r="B232" s="5"/>
      <c r="C232" s="5"/>
      <c r="D232" s="17"/>
      <c r="E232" s="5"/>
      <c r="F232" s="7"/>
      <c r="G232" s="7"/>
      <c r="H232" s="7"/>
      <c r="I232" s="7"/>
      <c r="J232" s="43"/>
      <c r="K232" s="49"/>
      <c r="L232" s="49"/>
      <c r="M232" s="49"/>
      <c r="N232" s="49"/>
    </row>
    <row r="233" spans="2:14">
      <c r="B233" s="5"/>
      <c r="C233" s="5"/>
      <c r="D233" s="17"/>
      <c r="E233" s="5"/>
      <c r="F233" s="7"/>
      <c r="G233" s="7"/>
      <c r="H233" s="7"/>
      <c r="I233" s="7"/>
      <c r="J233" s="43"/>
      <c r="K233" s="49"/>
      <c r="L233" s="49"/>
      <c r="M233" s="49"/>
      <c r="N233" s="49"/>
    </row>
    <row r="234" spans="2:14">
      <c r="B234" s="5"/>
      <c r="C234" s="5"/>
      <c r="D234" s="17"/>
      <c r="E234" s="5"/>
      <c r="F234" s="7"/>
      <c r="G234" s="7"/>
      <c r="H234" s="7"/>
      <c r="I234" s="7"/>
      <c r="J234" s="43"/>
      <c r="K234" s="49"/>
      <c r="L234" s="49"/>
      <c r="M234" s="49"/>
      <c r="N234" s="49"/>
    </row>
    <row r="235" spans="2:14">
      <c r="B235" s="5"/>
      <c r="C235" s="5"/>
      <c r="D235" s="17"/>
      <c r="E235" s="5"/>
      <c r="F235" s="7"/>
      <c r="G235" s="7"/>
      <c r="H235" s="7"/>
      <c r="I235" s="7"/>
      <c r="J235" s="43"/>
      <c r="K235" s="49"/>
      <c r="L235" s="49"/>
      <c r="M235" s="49"/>
      <c r="N235" s="49"/>
    </row>
    <row r="236" spans="2:14">
      <c r="B236" s="5"/>
      <c r="C236" s="5"/>
      <c r="D236" s="17"/>
      <c r="E236" s="5"/>
      <c r="F236" s="7"/>
      <c r="G236" s="7"/>
      <c r="H236" s="7"/>
      <c r="I236" s="7"/>
      <c r="J236" s="43"/>
      <c r="K236" s="49"/>
      <c r="L236" s="49"/>
      <c r="M236" s="49"/>
      <c r="N236" s="49"/>
    </row>
    <row r="237" spans="2:14">
      <c r="B237" s="5"/>
      <c r="C237" s="5"/>
      <c r="D237" s="17"/>
      <c r="E237" s="5"/>
      <c r="F237" s="7"/>
      <c r="G237" s="7"/>
      <c r="H237" s="7"/>
      <c r="I237" s="7"/>
      <c r="J237" s="43"/>
      <c r="K237" s="49"/>
      <c r="L237" s="49"/>
      <c r="M237" s="49"/>
      <c r="N237" s="49"/>
    </row>
    <row r="238" spans="2:14">
      <c r="B238" s="5"/>
      <c r="C238" s="5"/>
      <c r="D238" s="17"/>
      <c r="E238" s="5"/>
      <c r="F238" s="7"/>
      <c r="G238" s="7"/>
      <c r="H238" s="7"/>
      <c r="I238" s="7"/>
      <c r="J238" s="43"/>
      <c r="K238" s="49"/>
      <c r="L238" s="49"/>
      <c r="M238" s="49"/>
      <c r="N238" s="49"/>
    </row>
    <row r="239" spans="2:14">
      <c r="B239" s="5"/>
      <c r="C239" s="5"/>
      <c r="D239" s="17"/>
      <c r="E239" s="5"/>
      <c r="F239" s="7"/>
      <c r="G239" s="7"/>
      <c r="H239" s="7"/>
      <c r="I239" s="7"/>
      <c r="J239" s="43"/>
      <c r="K239" s="49"/>
      <c r="L239" s="49"/>
      <c r="M239" s="49"/>
      <c r="N239" s="49"/>
    </row>
    <row r="240" spans="2:14">
      <c r="B240" s="5"/>
      <c r="C240" s="5"/>
      <c r="D240" s="17"/>
      <c r="E240" s="5"/>
      <c r="F240" s="7"/>
      <c r="G240" s="7"/>
      <c r="H240" s="7"/>
      <c r="I240" s="7"/>
      <c r="J240" s="43"/>
      <c r="K240" s="49"/>
      <c r="L240" s="49"/>
      <c r="M240" s="49"/>
      <c r="N240" s="49"/>
    </row>
    <row r="241" spans="2:36">
      <c r="B241" s="5"/>
      <c r="C241" s="5"/>
      <c r="D241" s="17"/>
      <c r="E241" s="5"/>
      <c r="F241" s="7"/>
      <c r="G241" s="7"/>
      <c r="H241" s="7"/>
      <c r="I241" s="7"/>
      <c r="J241" s="43"/>
      <c r="K241" s="49"/>
      <c r="L241" s="49"/>
      <c r="M241" s="49"/>
      <c r="N241" s="49"/>
    </row>
    <row r="242" spans="2:36">
      <c r="B242" s="5"/>
      <c r="C242" s="5"/>
      <c r="D242" s="17"/>
      <c r="E242" s="5"/>
      <c r="F242" s="7"/>
      <c r="G242" s="7"/>
      <c r="H242" s="7"/>
      <c r="I242" s="7"/>
      <c r="J242" s="43"/>
      <c r="K242" s="49"/>
      <c r="L242" s="49"/>
      <c r="M242" s="49"/>
      <c r="N242" s="49"/>
    </row>
    <row r="243" spans="2:36">
      <c r="B243" s="5"/>
      <c r="C243" s="5"/>
      <c r="D243" s="17"/>
      <c r="E243" s="5"/>
      <c r="F243" s="7"/>
      <c r="G243" s="7"/>
      <c r="H243" s="7"/>
      <c r="I243" s="7"/>
      <c r="J243" s="43"/>
      <c r="K243" s="49"/>
      <c r="L243" s="49"/>
      <c r="M243" s="49"/>
      <c r="N243" s="49"/>
    </row>
    <row r="244" spans="2:36">
      <c r="B244" s="5"/>
      <c r="C244" s="5"/>
      <c r="D244" s="17"/>
      <c r="E244" s="5"/>
      <c r="F244" s="7"/>
      <c r="G244" s="7"/>
      <c r="H244" s="7"/>
      <c r="I244" s="7"/>
      <c r="J244" s="43"/>
      <c r="K244" s="49"/>
      <c r="L244" s="49"/>
      <c r="M244" s="49"/>
      <c r="N244" s="49"/>
    </row>
    <row r="245" spans="2:36">
      <c r="B245" s="5"/>
      <c r="C245" s="5"/>
      <c r="D245" s="17"/>
      <c r="E245" s="5"/>
      <c r="F245" s="7"/>
      <c r="G245" s="7"/>
      <c r="H245" s="7"/>
      <c r="I245" s="7"/>
      <c r="J245" s="43"/>
      <c r="K245" s="49"/>
      <c r="L245" s="49"/>
      <c r="M245" s="49"/>
      <c r="N245" s="49"/>
    </row>
    <row r="246" spans="2:36">
      <c r="B246" s="5"/>
      <c r="C246" s="5"/>
      <c r="D246" s="17"/>
      <c r="E246" s="5"/>
      <c r="F246" s="7"/>
      <c r="G246" s="7"/>
      <c r="H246" s="7"/>
      <c r="I246" s="7"/>
      <c r="J246" s="43"/>
      <c r="K246" s="49"/>
      <c r="L246" s="49"/>
      <c r="M246" s="49"/>
      <c r="N246" s="49"/>
    </row>
    <row r="251" spans="2:36">
      <c r="B251" s="2" t="s">
        <v>475</v>
      </c>
      <c r="C251" s="2" t="e">
        <v>#N/A</v>
      </c>
      <c r="D251" s="17" t="e">
        <v>#N/A</v>
      </c>
      <c r="E251" s="5" t="e">
        <v>#REF!</v>
      </c>
      <c r="F251" s="14" t="e">
        <v>#N/A</v>
      </c>
      <c r="G251" s="14" t="e">
        <v>#N/A</v>
      </c>
      <c r="H251" s="14" t="e">
        <v>#N/A</v>
      </c>
      <c r="I251" s="14" t="e">
        <v>#N/A</v>
      </c>
      <c r="J251" s="28" t="e">
        <v>#N/A</v>
      </c>
      <c r="K251" s="36" t="e">
        <v>#N/A</v>
      </c>
      <c r="L251" s="36" t="e">
        <v>#N/A</v>
      </c>
      <c r="M251" s="36" t="e">
        <v>#N/A</v>
      </c>
      <c r="N251" s="36" t="e">
        <v>#N/A</v>
      </c>
      <c r="P251" s="25">
        <v>3058.6646655999994</v>
      </c>
      <c r="Q251" s="32" t="e">
        <v>#N/A</v>
      </c>
      <c r="V251" s="14">
        <v>44.5</v>
      </c>
      <c r="W251" s="14">
        <v>44</v>
      </c>
      <c r="X251" s="14">
        <v>6</v>
      </c>
      <c r="Y251" s="14">
        <v>3180</v>
      </c>
      <c r="Z251" s="28">
        <v>1.1748E-2</v>
      </c>
      <c r="AB251" s="14"/>
      <c r="AC251" s="14"/>
      <c r="AD251" s="14"/>
      <c r="AE251" s="14"/>
      <c r="AF251" s="14"/>
      <c r="AG251" s="14"/>
      <c r="AH251" s="14"/>
      <c r="AI251" s="14"/>
      <c r="AJ251" s="14"/>
    </row>
    <row r="252" spans="2:36">
      <c r="B252" s="2" t="s">
        <v>476</v>
      </c>
      <c r="C252" s="2" t="e">
        <v>#N/A</v>
      </c>
      <c r="D252" s="17" t="e">
        <v>#N/A</v>
      </c>
      <c r="E252" s="5" t="e">
        <v>#REF!</v>
      </c>
      <c r="F252" s="14" t="e">
        <v>#N/A</v>
      </c>
      <c r="G252" s="14" t="e">
        <v>#N/A</v>
      </c>
      <c r="H252" s="14" t="e">
        <v>#N/A</v>
      </c>
      <c r="I252" s="14" t="e">
        <v>#N/A</v>
      </c>
      <c r="J252" s="28" t="e">
        <v>#N/A</v>
      </c>
      <c r="K252" s="36" t="e">
        <v>#N/A</v>
      </c>
      <c r="L252" s="36" t="e">
        <v>#N/A</v>
      </c>
      <c r="M252" s="36" t="e">
        <v>#N/A</v>
      </c>
      <c r="N252" s="36" t="e">
        <v>#N/A</v>
      </c>
      <c r="P252" s="25">
        <v>7732.980473999999</v>
      </c>
      <c r="Q252" s="32" t="e">
        <v>#N/A</v>
      </c>
      <c r="V252" s="14">
        <v>82</v>
      </c>
      <c r="W252" s="14">
        <v>44</v>
      </c>
      <c r="X252" s="14">
        <v>6.5</v>
      </c>
      <c r="Y252" s="14">
        <v>8400</v>
      </c>
      <c r="Z252" s="28">
        <v>2.3452000000000001E-2</v>
      </c>
      <c r="AB252" s="14"/>
      <c r="AC252" s="14"/>
      <c r="AD252" s="14"/>
      <c r="AE252" s="41"/>
      <c r="AF252" s="12"/>
      <c r="AG252" s="12"/>
      <c r="AH252" s="12"/>
      <c r="AI252" s="12"/>
      <c r="AJ252" s="12"/>
    </row>
    <row r="253" spans="2:36">
      <c r="B253" s="2" t="s">
        <v>477</v>
      </c>
      <c r="C253" s="2" t="e">
        <v>#N/A</v>
      </c>
      <c r="D253" s="17" t="e">
        <v>#N/A</v>
      </c>
      <c r="E253" s="5" t="e">
        <v>#REF!</v>
      </c>
      <c r="F253" s="14" t="e">
        <v>#N/A</v>
      </c>
      <c r="G253" s="14" t="e">
        <v>#N/A</v>
      </c>
      <c r="H253" s="14" t="e">
        <v>#N/A</v>
      </c>
      <c r="I253" s="14" t="e">
        <v>#N/A</v>
      </c>
      <c r="J253" s="28" t="e">
        <v>#N/A</v>
      </c>
      <c r="K253" s="36" t="e">
        <v>#N/A</v>
      </c>
      <c r="L253" s="36" t="e">
        <v>#N/A</v>
      </c>
      <c r="M253" s="36" t="e">
        <v>#N/A</v>
      </c>
      <c r="N253" s="36" t="e">
        <v>#N/A</v>
      </c>
      <c r="P253" s="25">
        <v>445.05500000000001</v>
      </c>
      <c r="Q253" s="32" t="e">
        <v>#N/A</v>
      </c>
      <c r="V253" s="14">
        <v>67</v>
      </c>
      <c r="W253" s="14">
        <v>67</v>
      </c>
      <c r="X253" s="14">
        <v>6.5</v>
      </c>
      <c r="Y253" s="14">
        <v>9850</v>
      </c>
      <c r="Z253" s="28">
        <v>2.91785E-2</v>
      </c>
      <c r="AB253" s="14"/>
      <c r="AC253" s="14"/>
      <c r="AD253" s="14"/>
      <c r="AE253" s="14"/>
      <c r="AF253" s="12"/>
      <c r="AG253" s="12"/>
      <c r="AH253" s="12"/>
      <c r="AI253" s="12"/>
      <c r="AJ253" s="12"/>
    </row>
    <row r="254" spans="2:36">
      <c r="B254" s="2" t="s">
        <v>478</v>
      </c>
      <c r="C254" s="2">
        <v>1</v>
      </c>
      <c r="D254" s="17" t="e">
        <v>#N/A</v>
      </c>
      <c r="E254" s="5" t="e">
        <v>#REF!</v>
      </c>
      <c r="F254" s="14" t="e">
        <v>#N/A</v>
      </c>
      <c r="G254" s="14" t="e">
        <v>#N/A</v>
      </c>
      <c r="H254" s="14" t="e">
        <v>#N/A</v>
      </c>
      <c r="I254" s="14" t="e">
        <v>#N/A</v>
      </c>
      <c r="J254" s="28" t="e">
        <v>#N/A</v>
      </c>
      <c r="K254" s="36" t="e">
        <v>#N/A</v>
      </c>
      <c r="L254" s="36" t="e">
        <v>#N/A</v>
      </c>
      <c r="M254" s="36" t="e">
        <v>#N/A</v>
      </c>
      <c r="N254" s="36" t="e">
        <v>#N/A</v>
      </c>
      <c r="P254" s="25">
        <v>4810.2686655999987</v>
      </c>
      <c r="Q254" s="32" t="e">
        <v>#N/A</v>
      </c>
      <c r="V254" s="14">
        <v>87</v>
      </c>
      <c r="W254" s="14">
        <v>49</v>
      </c>
      <c r="X254" s="14">
        <v>6</v>
      </c>
      <c r="Y254" s="14">
        <v>4700</v>
      </c>
      <c r="Z254" s="28">
        <v>2.5578E-2</v>
      </c>
      <c r="AB254" s="14"/>
      <c r="AC254" s="14"/>
      <c r="AD254" s="14"/>
      <c r="AE254" s="14"/>
      <c r="AF254" s="14"/>
      <c r="AG254" s="14"/>
      <c r="AH254" s="14"/>
      <c r="AI254" s="14"/>
      <c r="AJ254" s="14"/>
    </row>
    <row r="255" spans="2:36">
      <c r="B255" s="2" t="s">
        <v>479</v>
      </c>
      <c r="C255" s="2" t="e">
        <v>#N/A</v>
      </c>
      <c r="D255" s="17" t="e">
        <v>#N/A</v>
      </c>
      <c r="E255" s="5" t="e">
        <v>#REF!</v>
      </c>
      <c r="F255" s="14" t="e">
        <v>#N/A</v>
      </c>
      <c r="G255" s="14" t="e">
        <v>#N/A</v>
      </c>
      <c r="H255" s="14" t="e">
        <v>#N/A</v>
      </c>
      <c r="I255" s="14" t="e">
        <v>#N/A</v>
      </c>
      <c r="J255" s="28" t="e">
        <v>#N/A</v>
      </c>
      <c r="K255" s="36" t="e">
        <v>#N/A</v>
      </c>
      <c r="L255" s="36" t="e">
        <v>#N/A</v>
      </c>
      <c r="M255" s="36" t="e">
        <v>#N/A</v>
      </c>
      <c r="N255" s="36" t="e">
        <v>#N/A</v>
      </c>
      <c r="P255" s="25">
        <v>4757.756665599999</v>
      </c>
      <c r="Q255" s="32" t="e">
        <v>#N/A</v>
      </c>
      <c r="V255" s="14">
        <v>69</v>
      </c>
      <c r="W255" s="14">
        <v>69</v>
      </c>
      <c r="X255" s="14">
        <v>6</v>
      </c>
      <c r="Y255" s="14">
        <v>4900</v>
      </c>
      <c r="Z255" s="28">
        <v>2.8566000000000001E-2</v>
      </c>
      <c r="AB255" s="14"/>
      <c r="AC255" s="14"/>
      <c r="AD255" s="14"/>
      <c r="AE255" s="14"/>
      <c r="AF255" s="14"/>
      <c r="AG255" s="14"/>
      <c r="AH255" s="14"/>
      <c r="AI255" s="14"/>
      <c r="AJ255" s="14"/>
    </row>
    <row r="256" spans="2:36">
      <c r="B256" s="8" t="s">
        <v>480</v>
      </c>
      <c r="C256" s="2" t="e">
        <v>#N/A</v>
      </c>
      <c r="D256" s="17" t="e">
        <v>#N/A</v>
      </c>
      <c r="E256" s="5" t="e">
        <v>#REF!</v>
      </c>
      <c r="F256" s="14" t="e">
        <v>#N/A</v>
      </c>
      <c r="G256" s="14" t="e">
        <v>#N/A</v>
      </c>
      <c r="H256" s="14" t="e">
        <v>#N/A</v>
      </c>
      <c r="I256" s="14" t="e">
        <v>#N/A</v>
      </c>
      <c r="J256" s="28" t="e">
        <v>#N/A</v>
      </c>
      <c r="K256" s="36" t="e">
        <v>#N/A</v>
      </c>
      <c r="L256" s="36" t="e">
        <v>#N/A</v>
      </c>
      <c r="M256" s="36" t="e">
        <v>#N/A</v>
      </c>
      <c r="N256" s="36" t="e">
        <v>#N/A</v>
      </c>
      <c r="P256" s="25">
        <v>2169.0469513599996</v>
      </c>
      <c r="Q256" s="32" t="e">
        <v>#N/A</v>
      </c>
      <c r="V256" s="9">
        <v>64</v>
      </c>
      <c r="W256" s="9">
        <v>33.5</v>
      </c>
      <c r="X256" s="9">
        <v>5</v>
      </c>
      <c r="Y256" s="9">
        <v>2400</v>
      </c>
      <c r="Z256" s="28">
        <v>1.072E-2</v>
      </c>
      <c r="AB256" s="9"/>
      <c r="AC256" s="9"/>
      <c r="AD256" s="9"/>
      <c r="AE256" s="9"/>
      <c r="AF256" s="9"/>
      <c r="AG256" s="9">
        <v>67</v>
      </c>
      <c r="AH256" s="9">
        <v>42</v>
      </c>
      <c r="AI256" s="9">
        <v>7</v>
      </c>
      <c r="AJ256" s="9">
        <v>2970</v>
      </c>
    </row>
    <row r="257" spans="2:36">
      <c r="B257" s="2" t="s">
        <v>481</v>
      </c>
      <c r="C257" s="2" t="e">
        <v>#N/A</v>
      </c>
      <c r="D257" s="17" t="e">
        <v>#N/A</v>
      </c>
      <c r="E257" s="5" t="e">
        <v>#REF!</v>
      </c>
      <c r="F257" s="14" t="e">
        <v>#N/A</v>
      </c>
      <c r="G257" s="14" t="e">
        <v>#N/A</v>
      </c>
      <c r="H257" s="14" t="e">
        <v>#N/A</v>
      </c>
      <c r="I257" s="14" t="e">
        <v>#N/A</v>
      </c>
      <c r="J257" s="28" t="e">
        <v>#N/A</v>
      </c>
      <c r="K257" s="36" t="e">
        <v>#N/A</v>
      </c>
      <c r="L257" s="36" t="e">
        <v>#N/A</v>
      </c>
      <c r="M257" s="36" t="e">
        <v>#N/A</v>
      </c>
      <c r="N257" s="36" t="e">
        <v>#N/A</v>
      </c>
      <c r="P257" s="25">
        <v>512.00044869999999</v>
      </c>
      <c r="Q257" s="32" t="e">
        <v>#N/A</v>
      </c>
      <c r="V257" s="14">
        <v>32.5</v>
      </c>
      <c r="W257" s="14">
        <v>15.5</v>
      </c>
      <c r="X257" s="14">
        <v>6</v>
      </c>
      <c r="Y257" s="14">
        <v>260</v>
      </c>
      <c r="Z257" s="28">
        <v>3.0225E-3</v>
      </c>
      <c r="AB257" s="9">
        <v>33.5</v>
      </c>
      <c r="AC257" s="9">
        <v>32.5</v>
      </c>
      <c r="AD257" s="9">
        <v>7</v>
      </c>
      <c r="AE257" s="9">
        <v>1330</v>
      </c>
      <c r="AF257" s="14"/>
      <c r="AG257" s="14"/>
      <c r="AH257" s="14"/>
      <c r="AI257" s="14"/>
      <c r="AJ257" s="14"/>
    </row>
    <row r="258" spans="2:36">
      <c r="B258" s="3" t="s">
        <v>482</v>
      </c>
      <c r="C258" s="2" t="e">
        <v>#N/A</v>
      </c>
      <c r="D258" s="17" t="e">
        <v>#N/A</v>
      </c>
      <c r="E258" s="5" t="e">
        <v>#REF!</v>
      </c>
      <c r="F258" s="14" t="e">
        <v>#N/A</v>
      </c>
      <c r="G258" s="14" t="e">
        <v>#N/A</v>
      </c>
      <c r="H258" s="14" t="e">
        <v>#N/A</v>
      </c>
      <c r="I258" s="14" t="e">
        <v>#N/A</v>
      </c>
      <c r="J258" s="28" t="e">
        <v>#N/A</v>
      </c>
      <c r="K258" s="36" t="e">
        <v>#N/A</v>
      </c>
      <c r="L258" s="36" t="e">
        <v>#N/A</v>
      </c>
      <c r="M258" s="36" t="e">
        <v>#N/A</v>
      </c>
      <c r="N258" s="36" t="e">
        <v>#N/A</v>
      </c>
      <c r="P258" s="25">
        <v>5795.8294656000007</v>
      </c>
      <c r="Q258" s="32" t="e">
        <v>#N/A</v>
      </c>
      <c r="V258" s="14">
        <v>87</v>
      </c>
      <c r="W258" s="14">
        <v>49</v>
      </c>
      <c r="X258" s="14">
        <v>6</v>
      </c>
      <c r="Y258" s="14">
        <v>6400</v>
      </c>
      <c r="Z258" s="28">
        <v>2.5578E-2</v>
      </c>
      <c r="AB258" s="7"/>
      <c r="AC258" s="7"/>
      <c r="AD258" s="7"/>
      <c r="AE258" s="7"/>
      <c r="AF258" s="14"/>
      <c r="AG258" s="14"/>
      <c r="AH258" s="14"/>
      <c r="AI258" s="14"/>
      <c r="AJ258" s="14"/>
    </row>
    <row r="259" spans="2:36">
      <c r="B259" s="3" t="s">
        <v>483</v>
      </c>
      <c r="C259" s="2" t="e">
        <v>#N/A</v>
      </c>
      <c r="D259" s="17" t="e">
        <v>#N/A</v>
      </c>
      <c r="E259" s="5" t="e">
        <v>#REF!</v>
      </c>
      <c r="F259" s="14" t="e">
        <v>#N/A</v>
      </c>
      <c r="G259" s="14" t="e">
        <v>#N/A</v>
      </c>
      <c r="H259" s="14" t="e">
        <v>#N/A</v>
      </c>
      <c r="I259" s="14" t="e">
        <v>#N/A</v>
      </c>
      <c r="J259" s="28" t="e">
        <v>#N/A</v>
      </c>
      <c r="K259" s="36" t="e">
        <v>#N/A</v>
      </c>
      <c r="L259" s="36" t="e">
        <v>#N/A</v>
      </c>
      <c r="M259" s="36" t="e">
        <v>#N/A</v>
      </c>
      <c r="N259" s="36" t="e">
        <v>#N/A</v>
      </c>
      <c r="P259" s="25">
        <v>1198.8786999999998</v>
      </c>
      <c r="Q259" s="32" t="e">
        <v>#N/A</v>
      </c>
      <c r="V259" s="14">
        <v>54</v>
      </c>
      <c r="W259" s="14">
        <v>28</v>
      </c>
      <c r="X259" s="14">
        <v>4.5</v>
      </c>
      <c r="Y259" s="14">
        <v>680</v>
      </c>
      <c r="Z259" s="28">
        <v>6.8040000000000002E-3</v>
      </c>
      <c r="AB259" s="7">
        <v>82</v>
      </c>
      <c r="AC259" s="7">
        <v>36</v>
      </c>
      <c r="AD259" s="7">
        <v>7</v>
      </c>
      <c r="AE259" s="7">
        <v>8600</v>
      </c>
      <c r="AF259" s="14"/>
      <c r="AG259" s="14"/>
      <c r="AH259" s="14"/>
      <c r="AI259" s="14"/>
      <c r="AJ259" s="14"/>
    </row>
    <row r="260" spans="2:36">
      <c r="B260" s="11" t="s">
        <v>484</v>
      </c>
      <c r="C260" s="2" t="e">
        <v>#N/A</v>
      </c>
      <c r="D260" s="17" t="e">
        <v>#N/A</v>
      </c>
      <c r="E260" s="5" t="e">
        <v>#REF!</v>
      </c>
      <c r="F260" s="14" t="e">
        <v>#N/A</v>
      </c>
      <c r="G260" s="14" t="e">
        <v>#N/A</v>
      </c>
      <c r="H260" s="14" t="e">
        <v>#N/A</v>
      </c>
      <c r="I260" s="14" t="e">
        <v>#N/A</v>
      </c>
      <c r="J260" s="28" t="e">
        <v>#N/A</v>
      </c>
      <c r="K260" s="36" t="e">
        <v>#N/A</v>
      </c>
      <c r="L260" s="36" t="e">
        <v>#N/A</v>
      </c>
      <c r="M260" s="36" t="e">
        <v>#N/A</v>
      </c>
      <c r="N260" s="36" t="e">
        <v>#N/A</v>
      </c>
      <c r="P260" s="25">
        <v>1406.2755399999999</v>
      </c>
      <c r="Q260" s="32" t="e">
        <v>#N/A</v>
      </c>
      <c r="V260" s="14">
        <v>54</v>
      </c>
      <c r="W260" s="14">
        <v>28</v>
      </c>
      <c r="X260" s="14">
        <v>5.5</v>
      </c>
      <c r="Y260" s="15">
        <v>1590</v>
      </c>
      <c r="Z260" s="28">
        <v>8.3160000000000005E-3</v>
      </c>
      <c r="AB260" s="14"/>
      <c r="AC260" s="14"/>
      <c r="AD260" s="14"/>
      <c r="AE260" s="14"/>
      <c r="AF260" s="15"/>
      <c r="AG260" s="14"/>
      <c r="AH260" s="14"/>
      <c r="AI260" s="14"/>
      <c r="AJ260" s="15"/>
    </row>
    <row r="261" spans="2:36">
      <c r="B261" s="5" t="s">
        <v>485</v>
      </c>
      <c r="C261" s="2" t="e">
        <v>#N/A</v>
      </c>
      <c r="D261" s="17" t="e">
        <v>#N/A</v>
      </c>
      <c r="E261" s="5" t="e">
        <v>#REF!</v>
      </c>
      <c r="F261" s="14" t="e">
        <v>#N/A</v>
      </c>
      <c r="G261" s="14" t="e">
        <v>#N/A</v>
      </c>
      <c r="H261" s="14" t="e">
        <v>#N/A</v>
      </c>
      <c r="I261" s="14" t="e">
        <v>#N/A</v>
      </c>
      <c r="J261" s="28" t="e">
        <v>#N/A</v>
      </c>
      <c r="K261" s="36" t="e">
        <v>#N/A</v>
      </c>
      <c r="L261" s="36" t="e">
        <v>#N/A</v>
      </c>
      <c r="M261" s="36" t="e">
        <v>#N/A</v>
      </c>
      <c r="N261" s="36" t="e">
        <v>#N/A</v>
      </c>
      <c r="P261" s="25">
        <v>2250.7039999999997</v>
      </c>
      <c r="Q261" s="32" t="e">
        <v>#N/A</v>
      </c>
      <c r="V261" s="7">
        <v>67</v>
      </c>
      <c r="W261" s="7">
        <v>39</v>
      </c>
      <c r="X261" s="7">
        <v>5</v>
      </c>
      <c r="Y261" s="7">
        <v>2200</v>
      </c>
      <c r="Z261" s="28">
        <v>1.3065E-2</v>
      </c>
      <c r="AB261" s="7"/>
      <c r="AC261" s="7"/>
      <c r="AD261" s="7"/>
      <c r="AE261" s="7"/>
      <c r="AF261" s="6"/>
      <c r="AG261" s="6"/>
      <c r="AH261" s="6"/>
      <c r="AI261" s="6"/>
      <c r="AJ261" s="6"/>
    </row>
    <row r="262" spans="2:36">
      <c r="B262" s="5" t="s">
        <v>486</v>
      </c>
      <c r="C262" s="2" t="e">
        <v>#N/A</v>
      </c>
      <c r="D262" s="17" t="e">
        <v>#N/A</v>
      </c>
      <c r="E262" s="5" t="e">
        <v>#REF!</v>
      </c>
      <c r="F262" s="14" t="e">
        <v>#N/A</v>
      </c>
      <c r="G262" s="14" t="e">
        <v>#N/A</v>
      </c>
      <c r="H262" s="14" t="e">
        <v>#N/A</v>
      </c>
      <c r="I262" s="14" t="e">
        <v>#N/A</v>
      </c>
      <c r="J262" s="28" t="e">
        <v>#N/A</v>
      </c>
      <c r="K262" s="36" t="e">
        <v>#N/A</v>
      </c>
      <c r="L262" s="36" t="e">
        <v>#N/A</v>
      </c>
      <c r="M262" s="36" t="e">
        <v>#N/A</v>
      </c>
      <c r="N262" s="36" t="e">
        <v>#N/A</v>
      </c>
      <c r="P262" s="25" t="e">
        <v>#N/A</v>
      </c>
      <c r="Q262" s="32" t="e">
        <v>#N/A</v>
      </c>
      <c r="V262" s="7">
        <v>67</v>
      </c>
      <c r="W262" s="7">
        <v>39</v>
      </c>
      <c r="X262" s="7">
        <v>5</v>
      </c>
      <c r="Y262" s="7">
        <v>2300</v>
      </c>
      <c r="Z262" s="28">
        <v>1.3065E-2</v>
      </c>
      <c r="AB262" s="7"/>
      <c r="AC262" s="7"/>
      <c r="AD262" s="7"/>
      <c r="AE262" s="7"/>
      <c r="AF262" s="6"/>
      <c r="AG262" s="6"/>
      <c r="AH262" s="6"/>
      <c r="AI262" s="6"/>
      <c r="AJ262" s="6"/>
    </row>
    <row r="263" spans="2:36">
      <c r="B263" s="5" t="s">
        <v>487</v>
      </c>
      <c r="C263" s="2" t="e">
        <v>#N/A</v>
      </c>
      <c r="D263" s="17" t="e">
        <v>#N/A</v>
      </c>
      <c r="E263" s="5" t="e">
        <v>#REF!</v>
      </c>
      <c r="F263" s="14" t="e">
        <v>#N/A</v>
      </c>
      <c r="G263" s="14" t="e">
        <v>#N/A</v>
      </c>
      <c r="H263" s="14" t="e">
        <v>#N/A</v>
      </c>
      <c r="I263" s="14" t="e">
        <v>#N/A</v>
      </c>
      <c r="J263" s="28" t="e">
        <v>#N/A</v>
      </c>
      <c r="K263" s="36" t="e">
        <v>#N/A</v>
      </c>
      <c r="L263" s="36" t="e">
        <v>#N/A</v>
      </c>
      <c r="M263" s="36" t="e">
        <v>#N/A</v>
      </c>
      <c r="N263" s="36" t="e">
        <v>#N/A</v>
      </c>
      <c r="P263" s="25" t="e">
        <v>#N/A</v>
      </c>
      <c r="Q263" s="32" t="e">
        <v>#N/A</v>
      </c>
      <c r="V263" s="7">
        <v>28</v>
      </c>
      <c r="W263" s="7">
        <v>19</v>
      </c>
      <c r="X263" s="7">
        <v>6</v>
      </c>
      <c r="Y263" s="7">
        <v>550</v>
      </c>
      <c r="Z263" s="28">
        <v>3.192E-3</v>
      </c>
      <c r="AB263" s="7"/>
      <c r="AC263" s="7"/>
      <c r="AD263" s="7"/>
      <c r="AE263" s="7"/>
      <c r="AF263" s="6"/>
      <c r="AG263" s="6"/>
      <c r="AH263" s="6"/>
      <c r="AI263" s="6"/>
      <c r="AJ263" s="6"/>
    </row>
  </sheetData>
  <autoFilter ref="B3:AK3" xr:uid="{00000000-0009-0000-0000-000001000000}">
    <sortState xmlns:xlrd2="http://schemas.microsoft.com/office/spreadsheetml/2017/richdata2" ref="B4:AK141">
      <sortCondition ref="B3"/>
    </sortState>
  </autoFilter>
  <mergeCells count="1">
    <mergeCell ref="P2:Q2"/>
  </mergeCells>
  <phoneticPr fontId="19" type="noConversion"/>
  <conditionalFormatting sqref="B150">
    <cfRule type="duplicateValues" dxfId="141" priority="53"/>
  </conditionalFormatting>
  <conditionalFormatting sqref="B151:B152">
    <cfRule type="duplicateValues" dxfId="140" priority="48"/>
  </conditionalFormatting>
  <conditionalFormatting sqref="B153">
    <cfRule type="duplicateValues" dxfId="139" priority="43"/>
  </conditionalFormatting>
  <conditionalFormatting sqref="B154:B155">
    <cfRule type="duplicateValues" dxfId="138" priority="38"/>
  </conditionalFormatting>
  <conditionalFormatting sqref="B156:B164">
    <cfRule type="duplicateValues" dxfId="137" priority="32"/>
  </conditionalFormatting>
  <conditionalFormatting sqref="B165">
    <cfRule type="duplicateValues" dxfId="136" priority="27"/>
    <cfRule type="duplicateValues" dxfId="135" priority="26"/>
    <cfRule type="duplicateValues" dxfId="134" priority="28"/>
  </conditionalFormatting>
  <conditionalFormatting sqref="B166">
    <cfRule type="duplicateValues" dxfId="133" priority="25"/>
  </conditionalFormatting>
  <conditionalFormatting sqref="B167">
    <cfRule type="duplicateValues" dxfId="132" priority="24"/>
  </conditionalFormatting>
  <conditionalFormatting sqref="B168:B169 B1:B149 B195:B1048576">
    <cfRule type="duplicateValues" dxfId="131" priority="58"/>
  </conditionalFormatting>
  <conditionalFormatting sqref="B170:B171">
    <cfRule type="expression" dxfId="130" priority="18">
      <formula>MOD(ROW(),2)</formula>
    </cfRule>
  </conditionalFormatting>
  <conditionalFormatting sqref="B172">
    <cfRule type="duplicateValues" dxfId="129" priority="13"/>
    <cfRule type="duplicateValues" dxfId="128" priority="14"/>
    <cfRule type="duplicateValues" dxfId="127" priority="15"/>
  </conditionalFormatting>
  <conditionalFormatting sqref="B173">
    <cfRule type="duplicateValues" dxfId="126" priority="11"/>
    <cfRule type="duplicateValues" dxfId="125" priority="10"/>
    <cfRule type="duplicateValues" dxfId="124" priority="12"/>
  </conditionalFormatting>
  <conditionalFormatting sqref="B174">
    <cfRule type="duplicateValues" dxfId="123" priority="7"/>
    <cfRule type="duplicateValues" dxfId="122" priority="8"/>
    <cfRule type="duplicateValues" dxfId="121" priority="9"/>
  </conditionalFormatting>
  <conditionalFormatting sqref="B175:B178">
    <cfRule type="duplicateValues" dxfId="120" priority="4"/>
    <cfRule type="duplicateValues" dxfId="119" priority="5"/>
    <cfRule type="duplicateValues" dxfId="118" priority="6"/>
  </conditionalFormatting>
  <conditionalFormatting sqref="B179:B187">
    <cfRule type="duplicateValues" dxfId="117" priority="2"/>
    <cfRule type="duplicateValues" dxfId="116" priority="3"/>
    <cfRule type="duplicateValues" dxfId="115" priority="1"/>
  </conditionalFormatting>
  <conditionalFormatting sqref="B188">
    <cfRule type="duplicateValues" dxfId="114" priority="16"/>
  </conditionalFormatting>
  <conditionalFormatting sqref="B189:B194">
    <cfRule type="duplicateValues" dxfId="113" priority="17"/>
  </conditionalFormatting>
  <conditionalFormatting sqref="C142:C145">
    <cfRule type="duplicateValues" dxfId="112" priority="67"/>
  </conditionalFormatting>
  <conditionalFormatting sqref="C146:C149">
    <cfRule type="duplicateValues" dxfId="111" priority="62"/>
  </conditionalFormatting>
  <conditionalFormatting sqref="C150">
    <cfRule type="duplicateValues" dxfId="110" priority="57"/>
  </conditionalFormatting>
  <conditionalFormatting sqref="C151:C152">
    <cfRule type="duplicateValues" dxfId="109" priority="52"/>
  </conditionalFormatting>
  <conditionalFormatting sqref="C153">
    <cfRule type="duplicateValues" dxfId="108" priority="47"/>
  </conditionalFormatting>
  <conditionalFormatting sqref="C154:C155">
    <cfRule type="duplicateValues" dxfId="107" priority="42"/>
  </conditionalFormatting>
  <conditionalFormatting sqref="C156:C165">
    <cfRule type="duplicateValues" dxfId="106" priority="31"/>
  </conditionalFormatting>
  <conditionalFormatting sqref="C166:C194">
    <cfRule type="duplicateValues" dxfId="105" priority="22"/>
  </conditionalFormatting>
  <conditionalFormatting sqref="F2:J1048576">
    <cfRule type="containsText" dxfId="104" priority="21" operator="containsText" text="x">
      <formula>NOT(ISERROR(SEARCH("x",F2)))</formula>
    </cfRule>
  </conditionalFormatting>
  <conditionalFormatting sqref="J1">
    <cfRule type="containsText" dxfId="103" priority="77" operator="containsText" text="x">
      <formula>NOT(ISERROR(SEARCH("x",J1)))</formula>
    </cfRule>
  </conditionalFormatting>
  <conditionalFormatting sqref="Q1:Q1048576">
    <cfRule type="cellIs" dxfId="102" priority="39" operator="lessThan">
      <formula>-0.05</formula>
    </cfRule>
    <cfRule type="cellIs" dxfId="101" priority="40" operator="greaterThan">
      <formula>0.05</formula>
    </cfRule>
  </conditionalFormatting>
  <conditionalFormatting sqref="T1:T1048576">
    <cfRule type="cellIs" dxfId="100" priority="20" operator="lessThan">
      <formula>0</formula>
    </cfRule>
  </conditionalFormatting>
  <conditionalFormatting sqref="V1:Z1048576">
    <cfRule type="containsText" dxfId="99" priority="41" operator="containsText" text="x">
      <formula>NOT(ISERROR(SEARCH("x",V1)))</formula>
    </cfRule>
  </conditionalFormatting>
  <pageMargins left="0.7" right="0.7" top="0.75" bottom="0.75" header="0.3" footer="0.3"/>
  <pageSetup orientation="portrait" r:id="rId1"/>
  <ignoredErrors>
    <ignoredError sqref="D264:I267 D250:I250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179"/>
  <sheetViews>
    <sheetView topLeftCell="B1" zoomScaleNormal="100" workbookViewId="0">
      <pane ySplit="2" topLeftCell="A19" activePane="bottomLeft" state="frozen"/>
      <selection pane="bottomLeft" activeCell="Q19" sqref="Q19"/>
    </sheetView>
  </sheetViews>
  <sheetFormatPr defaultColWidth="9.140625" defaultRowHeight="15"/>
  <cols>
    <col min="2" max="2" width="17.42578125" style="1" customWidth="1"/>
    <col min="3" max="3" width="6.140625" style="1" bestFit="1" customWidth="1"/>
    <col min="4" max="4" width="5.42578125" style="1" customWidth="1"/>
    <col min="5" max="8" width="9.140625" style="19"/>
    <col min="20" max="20" width="14" bestFit="1" customWidth="1"/>
  </cols>
  <sheetData>
    <row r="1" spans="2:20" s="1" customFormat="1">
      <c r="B1" s="5"/>
      <c r="C1" s="5"/>
      <c r="D1" s="5"/>
      <c r="E1" s="17" t="s">
        <v>8</v>
      </c>
      <c r="F1" s="17" t="s">
        <v>9</v>
      </c>
      <c r="G1" s="17" t="s">
        <v>10</v>
      </c>
      <c r="H1" s="18" t="s">
        <v>402</v>
      </c>
      <c r="I1" s="1" t="s">
        <v>42</v>
      </c>
      <c r="J1" s="5" t="s">
        <v>8</v>
      </c>
      <c r="K1" s="5" t="s">
        <v>9</v>
      </c>
      <c r="L1" s="5" t="s">
        <v>10</v>
      </c>
      <c r="M1" s="24">
        <v>43435</v>
      </c>
      <c r="N1" s="16" t="s">
        <v>42</v>
      </c>
      <c r="O1" s="5" t="s">
        <v>8</v>
      </c>
      <c r="P1" s="5" t="s">
        <v>9</v>
      </c>
      <c r="Q1" s="5" t="s">
        <v>10</v>
      </c>
      <c r="R1" s="16" t="s">
        <v>405</v>
      </c>
      <c r="S1" s="1" t="s">
        <v>42</v>
      </c>
      <c r="T1" s="1" t="s">
        <v>488</v>
      </c>
    </row>
    <row r="2" spans="2:20" s="1" customFormat="1">
      <c r="B2" s="5" t="s">
        <v>406</v>
      </c>
      <c r="C2" s="5" t="s">
        <v>489</v>
      </c>
      <c r="D2" s="5" t="s">
        <v>409</v>
      </c>
      <c r="E2" s="17" t="s">
        <v>21</v>
      </c>
      <c r="F2" s="17" t="s">
        <v>22</v>
      </c>
      <c r="G2" s="17" t="s">
        <v>23</v>
      </c>
      <c r="H2" s="17" t="s">
        <v>24</v>
      </c>
      <c r="J2" s="5" t="s">
        <v>21</v>
      </c>
      <c r="K2" s="5" t="s">
        <v>22</v>
      </c>
      <c r="L2" s="5" t="s">
        <v>23</v>
      </c>
      <c r="M2" s="5" t="s">
        <v>24</v>
      </c>
      <c r="N2" s="5"/>
      <c r="O2" s="5" t="s">
        <v>21</v>
      </c>
      <c r="P2" s="5" t="s">
        <v>22</v>
      </c>
      <c r="Q2" s="5" t="s">
        <v>23</v>
      </c>
      <c r="R2" s="5" t="s">
        <v>24</v>
      </c>
      <c r="T2" s="21" t="s">
        <v>415</v>
      </c>
    </row>
    <row r="3" spans="2:20">
      <c r="B3" s="5" t="s">
        <v>490</v>
      </c>
      <c r="C3" s="5" t="s">
        <v>491</v>
      </c>
      <c r="D3" s="5" t="e">
        <v>#REF!</v>
      </c>
      <c r="E3" s="7">
        <v>27</v>
      </c>
      <c r="F3" s="7">
        <v>16</v>
      </c>
      <c r="G3" s="7">
        <v>1</v>
      </c>
      <c r="H3" s="7">
        <v>120</v>
      </c>
      <c r="J3" s="7"/>
      <c r="K3" s="7"/>
      <c r="L3" s="7"/>
      <c r="M3" s="7"/>
      <c r="N3" s="7"/>
      <c r="O3" s="7"/>
      <c r="P3" s="7"/>
      <c r="Q3" s="7"/>
      <c r="R3" s="7"/>
      <c r="T3" s="19">
        <v>0</v>
      </c>
    </row>
    <row r="4" spans="2:20">
      <c r="B4" s="5" t="s">
        <v>492</v>
      </c>
      <c r="C4" s="5" t="s">
        <v>491</v>
      </c>
      <c r="D4" s="5" t="e">
        <v>#REF!</v>
      </c>
      <c r="E4" s="7">
        <v>10</v>
      </c>
      <c r="F4" s="7">
        <v>6</v>
      </c>
      <c r="G4" s="7">
        <v>0.2</v>
      </c>
      <c r="H4" s="7">
        <v>50</v>
      </c>
      <c r="J4" s="7"/>
      <c r="K4" s="7"/>
      <c r="L4" s="7"/>
      <c r="M4" s="7"/>
      <c r="N4" s="7"/>
      <c r="O4" s="7"/>
      <c r="P4" s="7"/>
      <c r="Q4" s="7"/>
      <c r="R4" s="7"/>
      <c r="T4" s="19">
        <v>0</v>
      </c>
    </row>
    <row r="5" spans="2:20">
      <c r="B5" s="2" t="s">
        <v>61</v>
      </c>
      <c r="C5" s="5" t="s">
        <v>491</v>
      </c>
      <c r="D5" s="5" t="e">
        <v>#REF!</v>
      </c>
      <c r="E5" s="14">
        <v>43</v>
      </c>
      <c r="F5" s="14">
        <v>40</v>
      </c>
      <c r="G5" s="14">
        <v>8.5</v>
      </c>
      <c r="H5" s="14">
        <v>2350</v>
      </c>
      <c r="J5" s="14">
        <v>42</v>
      </c>
      <c r="K5" s="14">
        <v>38</v>
      </c>
      <c r="L5" s="14">
        <v>11</v>
      </c>
      <c r="M5" s="14">
        <v>4680</v>
      </c>
      <c r="N5" s="14"/>
      <c r="O5" s="14"/>
      <c r="P5" s="14"/>
      <c r="Q5" s="14"/>
      <c r="R5" s="14"/>
      <c r="T5" s="20">
        <v>4672.1494006487801</v>
      </c>
    </row>
    <row r="6" spans="2:20">
      <c r="B6" s="5" t="s">
        <v>62</v>
      </c>
      <c r="C6" s="5" t="s">
        <v>491</v>
      </c>
      <c r="D6" s="5" t="e">
        <v>#REF!</v>
      </c>
      <c r="E6" s="7">
        <v>59</v>
      </c>
      <c r="F6" s="7">
        <v>44.5</v>
      </c>
      <c r="G6" s="7">
        <v>10.5</v>
      </c>
      <c r="H6" s="7">
        <v>8900</v>
      </c>
      <c r="J6" s="7"/>
      <c r="K6" s="7"/>
      <c r="L6" s="7"/>
      <c r="M6" s="7"/>
      <c r="N6" s="7"/>
      <c r="O6" s="7"/>
      <c r="P6" s="7"/>
      <c r="Q6" s="7"/>
      <c r="R6" s="7"/>
      <c r="T6" s="20">
        <v>8813.4698117100979</v>
      </c>
    </row>
    <row r="7" spans="2:20">
      <c r="B7" s="5" t="s">
        <v>64</v>
      </c>
      <c r="C7" s="5" t="s">
        <v>491</v>
      </c>
      <c r="D7" s="5" t="e">
        <v>#REF!</v>
      </c>
      <c r="E7" s="7">
        <v>65</v>
      </c>
      <c r="F7" s="7">
        <v>57.5</v>
      </c>
      <c r="G7" s="7">
        <v>11.5</v>
      </c>
      <c r="H7" s="7">
        <v>14500</v>
      </c>
      <c r="J7" s="7"/>
      <c r="K7" s="7"/>
      <c r="L7" s="7"/>
      <c r="M7" s="7"/>
      <c r="N7" s="7"/>
      <c r="O7" s="7">
        <v>64</v>
      </c>
      <c r="P7" s="7">
        <v>58</v>
      </c>
      <c r="Q7" s="7">
        <v>12.5</v>
      </c>
      <c r="R7" s="7">
        <v>14365</v>
      </c>
      <c r="T7" s="20">
        <v>14057.127069192025</v>
      </c>
    </row>
    <row r="8" spans="2:20">
      <c r="B8" s="2" t="s">
        <v>475</v>
      </c>
      <c r="C8" s="5" t="s">
        <v>491</v>
      </c>
      <c r="D8" s="5" t="e">
        <v>#REF!</v>
      </c>
      <c r="E8" s="14">
        <v>44.5</v>
      </c>
      <c r="F8" s="14">
        <v>44</v>
      </c>
      <c r="G8" s="14">
        <v>6</v>
      </c>
      <c r="H8" s="14">
        <v>3180</v>
      </c>
      <c r="J8" s="14"/>
      <c r="K8" s="14"/>
      <c r="L8" s="14"/>
      <c r="M8" s="14"/>
      <c r="N8" s="14"/>
      <c r="O8" s="14"/>
      <c r="P8" s="14"/>
      <c r="Q8" s="14"/>
      <c r="R8" s="14"/>
      <c r="T8" s="20">
        <v>3058.6646655999994</v>
      </c>
    </row>
    <row r="9" spans="2:20">
      <c r="B9" s="5" t="s">
        <v>65</v>
      </c>
      <c r="C9" s="5" t="s">
        <v>491</v>
      </c>
      <c r="D9" s="5" t="e">
        <v>#REF!</v>
      </c>
      <c r="E9" s="7">
        <v>50</v>
      </c>
      <c r="F9" s="7">
        <v>42.5</v>
      </c>
      <c r="G9" s="7">
        <v>10</v>
      </c>
      <c r="H9" s="7">
        <v>8000</v>
      </c>
      <c r="J9" s="7">
        <v>48.5</v>
      </c>
      <c r="K9" s="7">
        <v>45</v>
      </c>
      <c r="L9" s="7">
        <v>7</v>
      </c>
      <c r="M9" s="7">
        <v>7785</v>
      </c>
      <c r="N9" s="7"/>
      <c r="O9" s="7"/>
      <c r="P9" s="7"/>
      <c r="Q9" s="7"/>
      <c r="R9" s="7"/>
      <c r="T9" s="20">
        <v>8064.5757226067726</v>
      </c>
    </row>
    <row r="10" spans="2:20">
      <c r="B10" s="5" t="s">
        <v>493</v>
      </c>
      <c r="C10" s="5"/>
      <c r="D10" s="5" t="e">
        <v>#REF!</v>
      </c>
      <c r="E10" s="7">
        <v>39</v>
      </c>
      <c r="F10" s="7">
        <v>39</v>
      </c>
      <c r="G10" s="7">
        <v>5</v>
      </c>
      <c r="H10" s="7">
        <v>2600</v>
      </c>
      <c r="J10" s="7"/>
      <c r="K10" s="7"/>
      <c r="L10" s="7"/>
      <c r="M10" s="7"/>
      <c r="N10" s="7"/>
      <c r="O10" s="7"/>
      <c r="P10" s="7"/>
      <c r="Q10" s="7"/>
      <c r="R10" s="7"/>
      <c r="T10" s="20">
        <v>2654.3591999999999</v>
      </c>
    </row>
    <row r="11" spans="2:20">
      <c r="B11" s="2" t="s">
        <v>494</v>
      </c>
      <c r="C11" s="5" t="s">
        <v>491</v>
      </c>
      <c r="D11" s="5" t="e">
        <v>#REF!</v>
      </c>
      <c r="E11" s="14">
        <v>34</v>
      </c>
      <c r="F11" s="14">
        <v>16.5</v>
      </c>
      <c r="G11" s="14">
        <v>6</v>
      </c>
      <c r="H11" s="14">
        <v>320</v>
      </c>
      <c r="J11" s="14"/>
      <c r="K11" s="14"/>
      <c r="L11" s="14"/>
      <c r="M11" s="14"/>
      <c r="N11" s="14"/>
      <c r="O11" s="14"/>
      <c r="P11" s="14"/>
      <c r="Q11" s="14"/>
      <c r="R11" s="14"/>
      <c r="T11" s="20">
        <v>555.03590399999996</v>
      </c>
    </row>
    <row r="12" spans="2:20">
      <c r="B12" s="2" t="s">
        <v>495</v>
      </c>
      <c r="C12" s="5" t="s">
        <v>491</v>
      </c>
      <c r="D12" s="5" t="e">
        <v>#REF!</v>
      </c>
      <c r="E12" s="14">
        <v>52</v>
      </c>
      <c r="F12" s="14">
        <v>16.5</v>
      </c>
      <c r="G12" s="14">
        <v>6</v>
      </c>
      <c r="H12" s="14">
        <v>460</v>
      </c>
      <c r="J12" s="14"/>
      <c r="K12" s="14"/>
      <c r="L12" s="14"/>
      <c r="M12" s="14"/>
      <c r="N12" s="14"/>
      <c r="O12" s="14"/>
      <c r="P12" s="14"/>
      <c r="Q12" s="14"/>
      <c r="R12" s="14"/>
      <c r="T12" s="20">
        <v>798.71197380000001</v>
      </c>
    </row>
    <row r="13" spans="2:20">
      <c r="B13" s="2" t="s">
        <v>496</v>
      </c>
      <c r="C13" s="5" t="s">
        <v>491</v>
      </c>
      <c r="D13" s="5" t="e">
        <v>#REF!</v>
      </c>
      <c r="E13" s="14">
        <v>23</v>
      </c>
      <c r="F13" s="14">
        <v>23</v>
      </c>
      <c r="G13" s="14">
        <v>6</v>
      </c>
      <c r="H13" s="14">
        <v>240</v>
      </c>
      <c r="J13" s="14"/>
      <c r="K13" s="14"/>
      <c r="L13" s="14"/>
      <c r="M13" s="14"/>
      <c r="N13" s="14"/>
      <c r="O13" s="14"/>
      <c r="P13" s="14"/>
      <c r="Q13" s="14"/>
      <c r="R13" s="14"/>
      <c r="T13" s="20">
        <v>407.39944000000003</v>
      </c>
    </row>
    <row r="14" spans="2:20">
      <c r="B14" s="5" t="s">
        <v>419</v>
      </c>
      <c r="C14" s="5" t="s">
        <v>491</v>
      </c>
      <c r="D14" s="5" t="e">
        <v>#REF!</v>
      </c>
      <c r="E14" s="7">
        <v>13.5</v>
      </c>
      <c r="F14" s="7">
        <v>13</v>
      </c>
      <c r="G14" s="7">
        <v>9</v>
      </c>
      <c r="H14" s="7">
        <v>280</v>
      </c>
      <c r="J14" s="7"/>
      <c r="K14" s="7"/>
      <c r="L14" s="7"/>
      <c r="M14" s="7"/>
      <c r="N14" s="7"/>
      <c r="O14" s="7">
        <v>14</v>
      </c>
      <c r="P14" s="7">
        <v>14</v>
      </c>
      <c r="Q14" s="7">
        <v>9</v>
      </c>
      <c r="R14" s="7">
        <v>280</v>
      </c>
      <c r="T14" s="20">
        <v>245.83520000000001</v>
      </c>
    </row>
    <row r="15" spans="2:20">
      <c r="B15" s="5" t="s">
        <v>420</v>
      </c>
      <c r="C15" s="5" t="s">
        <v>491</v>
      </c>
      <c r="D15" s="5" t="e">
        <v>#REF!</v>
      </c>
      <c r="E15" s="7">
        <v>13.5</v>
      </c>
      <c r="F15" s="7">
        <v>13</v>
      </c>
      <c r="G15" s="7">
        <v>9</v>
      </c>
      <c r="H15" s="7">
        <v>400</v>
      </c>
      <c r="J15" s="7"/>
      <c r="K15" s="7"/>
      <c r="L15" s="7"/>
      <c r="M15" s="7"/>
      <c r="N15" s="7"/>
      <c r="O15" s="7">
        <v>14</v>
      </c>
      <c r="P15" s="7">
        <v>14</v>
      </c>
      <c r="Q15" s="7">
        <v>9</v>
      </c>
      <c r="R15" s="7">
        <v>410</v>
      </c>
      <c r="T15" s="20">
        <v>429.61198592000005</v>
      </c>
    </row>
    <row r="16" spans="2:20">
      <c r="B16" s="2" t="s">
        <v>476</v>
      </c>
      <c r="C16" s="5" t="s">
        <v>491</v>
      </c>
      <c r="D16" s="5" t="e">
        <v>#REF!</v>
      </c>
      <c r="E16" s="14">
        <v>82</v>
      </c>
      <c r="F16" s="14">
        <v>44</v>
      </c>
      <c r="G16" s="14">
        <v>6.5</v>
      </c>
      <c r="H16" s="14">
        <v>8400</v>
      </c>
      <c r="J16" s="14"/>
      <c r="K16" s="14"/>
      <c r="L16" s="14"/>
      <c r="M16" s="14"/>
      <c r="N16" s="12"/>
      <c r="O16" s="12"/>
      <c r="P16" s="12"/>
      <c r="Q16" s="12"/>
      <c r="R16" s="12"/>
      <c r="T16" s="20">
        <v>7732.980473999999</v>
      </c>
    </row>
    <row r="17" spans="2:20">
      <c r="B17" s="2" t="s">
        <v>477</v>
      </c>
      <c r="C17" s="5" t="s">
        <v>491</v>
      </c>
      <c r="D17" s="5" t="e">
        <v>#REF!</v>
      </c>
      <c r="E17" s="14">
        <v>67</v>
      </c>
      <c r="F17" s="14">
        <v>67</v>
      </c>
      <c r="G17" s="14">
        <v>6.5</v>
      </c>
      <c r="H17" s="14">
        <v>9850</v>
      </c>
      <c r="J17" s="14"/>
      <c r="K17" s="14"/>
      <c r="L17" s="14"/>
      <c r="M17" s="14"/>
      <c r="N17" s="12"/>
      <c r="O17" s="12"/>
      <c r="P17" s="12"/>
      <c r="Q17" s="12"/>
      <c r="R17" s="12"/>
      <c r="T17" s="20">
        <v>445.05500000000001</v>
      </c>
    </row>
    <row r="18" spans="2:20">
      <c r="B18" s="5" t="s">
        <v>79</v>
      </c>
      <c r="C18" s="5" t="s">
        <v>491</v>
      </c>
      <c r="D18" s="5" t="e">
        <v>#REF!</v>
      </c>
      <c r="E18" s="7">
        <v>132</v>
      </c>
      <c r="F18" s="7">
        <v>56.5</v>
      </c>
      <c r="G18" s="7">
        <v>8</v>
      </c>
      <c r="H18" s="7">
        <v>20300</v>
      </c>
      <c r="J18" s="7"/>
      <c r="K18" s="7"/>
      <c r="L18" s="7"/>
      <c r="M18" s="7"/>
      <c r="N18" s="7"/>
      <c r="O18" s="7">
        <v>132.5</v>
      </c>
      <c r="P18" s="7">
        <v>60</v>
      </c>
      <c r="Q18" s="7">
        <v>9</v>
      </c>
      <c r="R18" s="7">
        <v>20410</v>
      </c>
      <c r="T18" s="20">
        <v>18973.920355932853</v>
      </c>
    </row>
    <row r="19" spans="2:20">
      <c r="B19" s="2" t="s">
        <v>478</v>
      </c>
      <c r="C19" s="5" t="s">
        <v>491</v>
      </c>
      <c r="D19" s="5" t="e">
        <v>#REF!</v>
      </c>
      <c r="E19" s="14">
        <v>87</v>
      </c>
      <c r="F19" s="14">
        <v>49</v>
      </c>
      <c r="G19" s="14">
        <v>6</v>
      </c>
      <c r="H19" s="14">
        <v>4700</v>
      </c>
      <c r="J19" s="14"/>
      <c r="K19" s="14"/>
      <c r="L19" s="14"/>
      <c r="M19" s="14"/>
      <c r="N19" s="14"/>
      <c r="O19" s="14"/>
      <c r="P19" s="14"/>
      <c r="Q19" s="14"/>
      <c r="R19" s="14"/>
      <c r="T19" s="20">
        <v>4810.2686655999987</v>
      </c>
    </row>
    <row r="20" spans="2:20">
      <c r="B20" s="2" t="s">
        <v>479</v>
      </c>
      <c r="C20" s="5" t="s">
        <v>491</v>
      </c>
      <c r="D20" s="5" t="e">
        <v>#REF!</v>
      </c>
      <c r="E20" s="14">
        <v>69</v>
      </c>
      <c r="F20" s="14">
        <v>69</v>
      </c>
      <c r="G20" s="14">
        <v>6</v>
      </c>
      <c r="H20" s="14">
        <v>4900</v>
      </c>
      <c r="J20" s="14"/>
      <c r="K20" s="14"/>
      <c r="L20" s="14"/>
      <c r="M20" s="14"/>
      <c r="N20" s="14"/>
      <c r="O20" s="14"/>
      <c r="P20" s="14"/>
      <c r="Q20" s="14"/>
      <c r="R20" s="14"/>
      <c r="T20" s="20">
        <v>4757.756665599999</v>
      </c>
    </row>
    <row r="21" spans="2:20">
      <c r="B21" s="5" t="s">
        <v>85</v>
      </c>
      <c r="C21" s="5" t="s">
        <v>491</v>
      </c>
      <c r="D21" s="5" t="e">
        <v>#REF!</v>
      </c>
      <c r="E21" s="7">
        <v>100</v>
      </c>
      <c r="F21" s="7">
        <v>49</v>
      </c>
      <c r="G21" s="7">
        <v>8</v>
      </c>
      <c r="H21" s="7">
        <v>13400</v>
      </c>
      <c r="J21" s="7">
        <v>99</v>
      </c>
      <c r="K21" s="7">
        <v>50</v>
      </c>
      <c r="L21" s="7">
        <v>5</v>
      </c>
      <c r="M21" s="7">
        <v>13335</v>
      </c>
      <c r="N21" s="7"/>
      <c r="O21" s="7">
        <v>100</v>
      </c>
      <c r="P21" s="7">
        <v>49.5</v>
      </c>
      <c r="Q21" s="7">
        <v>8</v>
      </c>
      <c r="R21" s="7">
        <v>14325</v>
      </c>
      <c r="T21" s="20">
        <v>20355.199599351323</v>
      </c>
    </row>
    <row r="22" spans="2:20">
      <c r="B22" s="5" t="s">
        <v>86</v>
      </c>
      <c r="C22" s="5" t="s">
        <v>491</v>
      </c>
      <c r="D22" s="5" t="e">
        <v>#REF!</v>
      </c>
      <c r="E22" s="7">
        <v>77</v>
      </c>
      <c r="F22" s="7">
        <v>77</v>
      </c>
      <c r="G22" s="7">
        <v>8</v>
      </c>
      <c r="H22" s="7">
        <v>14990</v>
      </c>
      <c r="J22" s="7">
        <v>76</v>
      </c>
      <c r="K22" s="7">
        <v>76</v>
      </c>
      <c r="L22" s="7">
        <v>5</v>
      </c>
      <c r="M22" s="7">
        <v>14725</v>
      </c>
      <c r="N22" s="7"/>
      <c r="O22" s="7">
        <v>78</v>
      </c>
      <c r="P22" s="7">
        <v>78</v>
      </c>
      <c r="Q22" s="7">
        <v>9</v>
      </c>
      <c r="R22" s="7">
        <v>15995</v>
      </c>
      <c r="T22" s="20">
        <v>21649.338044536413</v>
      </c>
    </row>
    <row r="23" spans="2:20">
      <c r="B23" s="5" t="s">
        <v>87</v>
      </c>
      <c r="C23" s="5" t="s">
        <v>491</v>
      </c>
      <c r="D23" s="5" t="e">
        <v>#REF!</v>
      </c>
      <c r="E23" s="7">
        <v>104.5</v>
      </c>
      <c r="F23" s="7">
        <v>46.5</v>
      </c>
      <c r="G23" s="7">
        <v>8</v>
      </c>
      <c r="H23" s="7">
        <v>13950</v>
      </c>
      <c r="J23" s="7"/>
      <c r="K23" s="7"/>
      <c r="L23" s="7"/>
      <c r="M23" s="7"/>
      <c r="N23" s="7"/>
      <c r="O23" s="7"/>
      <c r="P23" s="7"/>
      <c r="Q23" s="7"/>
      <c r="R23" s="7"/>
      <c r="T23" s="20">
        <v>13128.201719169632</v>
      </c>
    </row>
    <row r="24" spans="2:20">
      <c r="B24" s="5" t="s">
        <v>91</v>
      </c>
      <c r="C24" s="5" t="s">
        <v>491</v>
      </c>
      <c r="D24" s="5" t="e">
        <v>#REF!</v>
      </c>
      <c r="E24" s="7">
        <v>89</v>
      </c>
      <c r="F24" s="7">
        <v>82</v>
      </c>
      <c r="G24" s="7">
        <v>9</v>
      </c>
      <c r="H24" s="7">
        <v>19000</v>
      </c>
      <c r="J24" s="7"/>
      <c r="K24" s="7"/>
      <c r="L24" s="7"/>
      <c r="M24" s="7"/>
      <c r="N24" s="7"/>
      <c r="O24" s="7">
        <v>90</v>
      </c>
      <c r="P24" s="7">
        <v>83</v>
      </c>
      <c r="Q24" s="7">
        <v>9</v>
      </c>
      <c r="R24" s="7">
        <v>18220</v>
      </c>
      <c r="T24" s="20">
        <v>17241.887526996583</v>
      </c>
    </row>
    <row r="25" spans="2:20">
      <c r="B25" s="5" t="s">
        <v>96</v>
      </c>
      <c r="C25" s="5" t="s">
        <v>491</v>
      </c>
      <c r="D25" s="5" t="e">
        <v>#REF!</v>
      </c>
      <c r="E25" s="7">
        <v>106.5</v>
      </c>
      <c r="F25" s="7">
        <v>48</v>
      </c>
      <c r="G25" s="7">
        <v>11.5</v>
      </c>
      <c r="H25" s="7">
        <v>21940</v>
      </c>
      <c r="J25" s="7">
        <v>106</v>
      </c>
      <c r="K25" s="7">
        <v>49.5</v>
      </c>
      <c r="L25" s="7">
        <v>8</v>
      </c>
      <c r="M25" s="7">
        <v>19370</v>
      </c>
      <c r="N25" s="7"/>
      <c r="O25" s="7"/>
      <c r="P25" s="7"/>
      <c r="Q25" s="7"/>
      <c r="R25" s="7"/>
      <c r="T25" s="20">
        <v>20027.406993897621</v>
      </c>
    </row>
    <row r="26" spans="2:20">
      <c r="B26" s="2" t="s">
        <v>101</v>
      </c>
      <c r="C26" s="5" t="s">
        <v>491</v>
      </c>
      <c r="D26" s="5" t="e">
        <v>#REF!</v>
      </c>
      <c r="E26" s="14">
        <v>87</v>
      </c>
      <c r="F26" s="14">
        <v>87</v>
      </c>
      <c r="G26" s="14">
        <v>5</v>
      </c>
      <c r="H26" s="14">
        <v>10000</v>
      </c>
      <c r="J26" s="14"/>
      <c r="K26" s="14"/>
      <c r="L26" s="14"/>
      <c r="M26" s="14"/>
      <c r="N26" s="14"/>
      <c r="O26" s="14"/>
      <c r="P26" s="14"/>
      <c r="Q26" s="14"/>
      <c r="R26" s="14"/>
      <c r="T26" s="20">
        <v>10689.305154032916</v>
      </c>
    </row>
    <row r="27" spans="2:20">
      <c r="B27" s="2" t="s">
        <v>102</v>
      </c>
      <c r="C27" s="5" t="s">
        <v>491</v>
      </c>
      <c r="D27" s="5" t="e">
        <v>#REF!</v>
      </c>
      <c r="E27" s="14">
        <v>158</v>
      </c>
      <c r="F27" s="14">
        <v>80</v>
      </c>
      <c r="G27" s="14">
        <v>5</v>
      </c>
      <c r="H27" s="14">
        <v>16500</v>
      </c>
      <c r="J27" s="14"/>
      <c r="K27" s="14"/>
      <c r="L27" s="14"/>
      <c r="M27" s="14"/>
      <c r="N27" s="14"/>
      <c r="O27" s="14"/>
      <c r="P27" s="14"/>
      <c r="Q27" s="14"/>
      <c r="R27" s="14"/>
      <c r="T27" s="20">
        <v>14397.451499999997</v>
      </c>
    </row>
    <row r="28" spans="2:20">
      <c r="B28" s="3" t="s">
        <v>103</v>
      </c>
      <c r="C28" s="5" t="s">
        <v>491</v>
      </c>
      <c r="D28" s="5" t="e">
        <v>#REF!</v>
      </c>
      <c r="E28" s="14">
        <v>117</v>
      </c>
      <c r="F28" s="14">
        <v>42</v>
      </c>
      <c r="G28" s="14">
        <v>6</v>
      </c>
      <c r="H28" s="14">
        <v>5300</v>
      </c>
      <c r="J28" s="14"/>
      <c r="K28" s="14"/>
      <c r="L28" s="14"/>
      <c r="M28" s="14"/>
      <c r="N28" s="14"/>
      <c r="O28" s="14"/>
      <c r="P28" s="14"/>
      <c r="Q28" s="14"/>
      <c r="R28" s="14"/>
      <c r="T28" s="20">
        <v>5685.1456513415069</v>
      </c>
    </row>
    <row r="29" spans="2:20">
      <c r="B29" s="3" t="s">
        <v>105</v>
      </c>
      <c r="C29" s="5" t="s">
        <v>491</v>
      </c>
      <c r="D29" s="5" t="e">
        <v>#REF!</v>
      </c>
      <c r="E29" s="14">
        <v>84</v>
      </c>
      <c r="F29" s="14">
        <v>34</v>
      </c>
      <c r="G29" s="14">
        <v>6</v>
      </c>
      <c r="H29" s="14">
        <v>3610</v>
      </c>
      <c r="J29" s="14">
        <v>83</v>
      </c>
      <c r="K29" s="14">
        <v>37</v>
      </c>
      <c r="L29" s="14">
        <v>10</v>
      </c>
      <c r="M29" s="14">
        <v>3120</v>
      </c>
      <c r="N29" s="14"/>
      <c r="O29" s="14"/>
      <c r="P29" s="14"/>
      <c r="Q29" s="14"/>
      <c r="R29" s="14"/>
      <c r="T29" s="20">
        <v>3124.0480160000002</v>
      </c>
    </row>
    <row r="30" spans="2:20">
      <c r="B30" s="3" t="s">
        <v>106</v>
      </c>
      <c r="C30" s="5" t="s">
        <v>491</v>
      </c>
      <c r="D30" s="5" t="e">
        <v>#REF!</v>
      </c>
      <c r="E30" s="14">
        <v>31</v>
      </c>
      <c r="F30" s="14">
        <v>27</v>
      </c>
      <c r="G30" s="14">
        <v>6</v>
      </c>
      <c r="H30" s="14">
        <v>1170</v>
      </c>
      <c r="J30" s="14">
        <v>30</v>
      </c>
      <c r="K30" s="14">
        <v>26.5</v>
      </c>
      <c r="L30" s="14">
        <v>6</v>
      </c>
      <c r="M30" s="14">
        <v>1225</v>
      </c>
      <c r="N30" s="14"/>
      <c r="O30" s="14"/>
      <c r="P30" s="14"/>
      <c r="Q30" s="14"/>
      <c r="R30" s="14"/>
      <c r="T30" s="20">
        <v>1358.1118625961267</v>
      </c>
    </row>
    <row r="31" spans="2:20">
      <c r="B31" s="5" t="s">
        <v>385</v>
      </c>
      <c r="C31" s="5" t="s">
        <v>491</v>
      </c>
      <c r="D31" s="5" t="e">
        <v>#REF!</v>
      </c>
      <c r="E31" s="7">
        <v>28</v>
      </c>
      <c r="F31" s="7">
        <v>20</v>
      </c>
      <c r="G31" s="7">
        <v>7.5</v>
      </c>
      <c r="H31" s="7">
        <v>475</v>
      </c>
      <c r="J31" s="7">
        <v>25</v>
      </c>
      <c r="K31" s="7">
        <v>20</v>
      </c>
      <c r="L31" s="7">
        <v>7</v>
      </c>
      <c r="M31" s="7">
        <v>425</v>
      </c>
      <c r="N31" s="7"/>
      <c r="O31" s="7">
        <v>28</v>
      </c>
      <c r="P31" s="7">
        <v>20</v>
      </c>
      <c r="Q31" s="7">
        <v>7.5</v>
      </c>
      <c r="R31" s="7">
        <v>490</v>
      </c>
      <c r="T31" s="20">
        <v>395.25271200000003</v>
      </c>
    </row>
    <row r="32" spans="2:20">
      <c r="B32" s="8" t="s">
        <v>421</v>
      </c>
      <c r="C32" s="5" t="s">
        <v>491</v>
      </c>
      <c r="D32" s="5" t="e">
        <v>#REF!</v>
      </c>
      <c r="E32" s="9">
        <v>24</v>
      </c>
      <c r="F32" s="9">
        <v>16</v>
      </c>
      <c r="G32" s="9">
        <v>5.5</v>
      </c>
      <c r="H32" s="9">
        <v>350</v>
      </c>
      <c r="J32" s="9">
        <v>28</v>
      </c>
      <c r="K32" s="9">
        <v>18.5</v>
      </c>
      <c r="L32" s="9">
        <v>6</v>
      </c>
      <c r="M32" s="9">
        <v>520</v>
      </c>
      <c r="N32" s="9"/>
      <c r="O32" s="9">
        <v>28</v>
      </c>
      <c r="P32" s="9">
        <v>19</v>
      </c>
      <c r="Q32" s="9">
        <v>6</v>
      </c>
      <c r="R32" s="9">
        <v>490</v>
      </c>
      <c r="T32" s="20">
        <v>375.93308279999991</v>
      </c>
    </row>
    <row r="33" spans="2:20">
      <c r="B33" s="8" t="s">
        <v>422</v>
      </c>
      <c r="C33" s="5" t="s">
        <v>491</v>
      </c>
      <c r="D33" s="5" t="e">
        <v>#REF!</v>
      </c>
      <c r="E33" s="9">
        <v>24</v>
      </c>
      <c r="F33" s="9">
        <v>11</v>
      </c>
      <c r="G33" s="9">
        <v>5.5</v>
      </c>
      <c r="H33" s="9">
        <v>210</v>
      </c>
      <c r="J33" s="9">
        <v>37</v>
      </c>
      <c r="K33" s="9">
        <v>10</v>
      </c>
      <c r="L33" s="9">
        <v>6</v>
      </c>
      <c r="M33" s="9">
        <v>320</v>
      </c>
      <c r="N33" s="9"/>
      <c r="O33" s="9">
        <v>37</v>
      </c>
      <c r="P33" s="9">
        <v>10</v>
      </c>
      <c r="Q33" s="9">
        <v>6</v>
      </c>
      <c r="R33" s="9">
        <v>325</v>
      </c>
      <c r="T33" s="20">
        <v>230.26220479999998</v>
      </c>
    </row>
    <row r="34" spans="2:20">
      <c r="B34" s="3" t="s">
        <v>110</v>
      </c>
      <c r="C34" s="5" t="s">
        <v>491</v>
      </c>
      <c r="D34" s="5" t="e">
        <v>#REF!</v>
      </c>
      <c r="E34" s="14">
        <v>34</v>
      </c>
      <c r="F34" s="14">
        <v>23</v>
      </c>
      <c r="G34" s="14">
        <v>8</v>
      </c>
      <c r="H34" s="14">
        <v>865</v>
      </c>
      <c r="J34" s="14">
        <v>34</v>
      </c>
      <c r="K34" s="14">
        <v>33</v>
      </c>
      <c r="L34" s="14">
        <v>6.5</v>
      </c>
      <c r="M34" s="14">
        <v>910</v>
      </c>
      <c r="N34" s="14"/>
      <c r="O34" s="14">
        <v>34</v>
      </c>
      <c r="P34" s="14">
        <v>24</v>
      </c>
      <c r="Q34" s="14">
        <v>8</v>
      </c>
      <c r="R34" s="14">
        <v>620</v>
      </c>
      <c r="T34" s="20">
        <v>597.40916799999991</v>
      </c>
    </row>
    <row r="35" spans="2:20">
      <c r="B35" s="5" t="s">
        <v>423</v>
      </c>
      <c r="C35" s="5" t="s">
        <v>491</v>
      </c>
      <c r="D35" s="5" t="e">
        <v>#REF!</v>
      </c>
      <c r="E35" s="7">
        <v>28</v>
      </c>
      <c r="F35" s="7">
        <v>20</v>
      </c>
      <c r="G35" s="7">
        <v>8</v>
      </c>
      <c r="H35" s="7">
        <v>585</v>
      </c>
      <c r="J35" s="7">
        <v>28</v>
      </c>
      <c r="K35" s="7">
        <v>20</v>
      </c>
      <c r="L35" s="7">
        <v>8</v>
      </c>
      <c r="M35" s="7">
        <v>580</v>
      </c>
      <c r="N35" s="7"/>
      <c r="O35" s="7">
        <v>25</v>
      </c>
      <c r="P35" s="7">
        <v>20</v>
      </c>
      <c r="Q35" s="7">
        <v>8</v>
      </c>
      <c r="R35" s="7">
        <v>580</v>
      </c>
      <c r="T35" s="20">
        <v>490.67320960000001</v>
      </c>
    </row>
    <row r="36" spans="2:20">
      <c r="B36" s="5" t="s">
        <v>424</v>
      </c>
      <c r="C36" s="5" t="s">
        <v>491</v>
      </c>
      <c r="D36" s="5" t="e">
        <v>#REF!</v>
      </c>
      <c r="E36" s="7">
        <v>35</v>
      </c>
      <c r="F36" s="7">
        <v>32</v>
      </c>
      <c r="G36" s="7">
        <v>6.5</v>
      </c>
      <c r="H36" s="7">
        <v>1600</v>
      </c>
      <c r="J36" s="7">
        <v>33.5</v>
      </c>
      <c r="K36" s="7">
        <v>32.5</v>
      </c>
      <c r="L36" s="7">
        <v>6</v>
      </c>
      <c r="M36" s="7">
        <v>1725</v>
      </c>
      <c r="N36" s="7"/>
      <c r="O36" s="7">
        <v>34</v>
      </c>
      <c r="P36" s="7">
        <v>33</v>
      </c>
      <c r="Q36" s="7">
        <v>7</v>
      </c>
      <c r="R36" s="7">
        <v>1620</v>
      </c>
      <c r="T36" s="20">
        <v>993.55902399999991</v>
      </c>
    </row>
    <row r="37" spans="2:20">
      <c r="B37" s="5" t="s">
        <v>111</v>
      </c>
      <c r="C37" s="5" t="s">
        <v>491</v>
      </c>
      <c r="D37" s="5" t="e">
        <v>#REF!</v>
      </c>
      <c r="E37" s="7">
        <v>28</v>
      </c>
      <c r="F37" s="7">
        <v>19</v>
      </c>
      <c r="G37" s="7">
        <v>6</v>
      </c>
      <c r="H37" s="7">
        <v>855</v>
      </c>
      <c r="J37" s="7">
        <v>28</v>
      </c>
      <c r="K37" s="7">
        <v>19</v>
      </c>
      <c r="L37" s="7">
        <v>6</v>
      </c>
      <c r="M37" s="7">
        <v>880</v>
      </c>
      <c r="N37" s="7"/>
      <c r="O37" s="7">
        <v>28</v>
      </c>
      <c r="P37" s="7">
        <v>19</v>
      </c>
      <c r="Q37" s="7">
        <v>6</v>
      </c>
      <c r="R37" s="7">
        <v>835</v>
      </c>
      <c r="T37" s="20">
        <v>640.95739000000003</v>
      </c>
    </row>
    <row r="38" spans="2:20">
      <c r="B38" s="5" t="s">
        <v>112</v>
      </c>
      <c r="C38" s="5" t="s">
        <v>491</v>
      </c>
      <c r="D38" s="5" t="e">
        <v>#REF!</v>
      </c>
      <c r="E38" s="7">
        <v>24</v>
      </c>
      <c r="F38" s="7">
        <v>24</v>
      </c>
      <c r="G38" s="7">
        <v>6.5</v>
      </c>
      <c r="H38" s="7">
        <v>570</v>
      </c>
      <c r="J38" s="7">
        <v>24</v>
      </c>
      <c r="K38" s="7">
        <v>24</v>
      </c>
      <c r="L38" s="7">
        <v>6.5</v>
      </c>
      <c r="M38" s="7">
        <v>480</v>
      </c>
      <c r="N38" s="7"/>
      <c r="O38" s="7">
        <v>24</v>
      </c>
      <c r="P38" s="7">
        <v>24</v>
      </c>
      <c r="Q38" s="7">
        <v>7</v>
      </c>
      <c r="R38" s="7">
        <v>530</v>
      </c>
      <c r="T38" s="20">
        <v>460.54061124543853</v>
      </c>
    </row>
    <row r="39" spans="2:20">
      <c r="B39" s="5" t="s">
        <v>113</v>
      </c>
      <c r="C39" s="5" t="s">
        <v>491</v>
      </c>
      <c r="D39" s="5" t="e">
        <v>#REF!</v>
      </c>
      <c r="E39" s="7">
        <v>34.5</v>
      </c>
      <c r="F39" s="7">
        <v>33</v>
      </c>
      <c r="G39" s="7">
        <v>6.5</v>
      </c>
      <c r="H39" s="7">
        <v>1300</v>
      </c>
      <c r="J39" s="7">
        <v>34</v>
      </c>
      <c r="K39" s="7">
        <v>32.5</v>
      </c>
      <c r="L39" s="7">
        <v>7</v>
      </c>
      <c r="M39" s="7">
        <v>1260</v>
      </c>
      <c r="N39" s="7"/>
      <c r="O39" s="7">
        <v>34</v>
      </c>
      <c r="P39" s="7">
        <v>33</v>
      </c>
      <c r="Q39" s="7">
        <v>6</v>
      </c>
      <c r="R39" s="7">
        <v>1300</v>
      </c>
      <c r="T39" s="20">
        <v>901.93999999999994</v>
      </c>
    </row>
    <row r="40" spans="2:20">
      <c r="B40" s="5" t="s">
        <v>114</v>
      </c>
      <c r="C40" s="5" t="s">
        <v>491</v>
      </c>
      <c r="D40" s="5" t="e">
        <v>#REF!</v>
      </c>
      <c r="E40" s="7">
        <v>36.5</v>
      </c>
      <c r="F40" s="7">
        <v>10</v>
      </c>
      <c r="G40" s="7">
        <v>5.5</v>
      </c>
      <c r="H40" s="7">
        <v>305</v>
      </c>
      <c r="J40" s="7"/>
      <c r="K40" s="7"/>
      <c r="L40" s="7"/>
      <c r="M40" s="7"/>
      <c r="N40" s="7"/>
      <c r="O40" s="7">
        <v>37</v>
      </c>
      <c r="P40" s="7">
        <v>10</v>
      </c>
      <c r="Q40" s="7">
        <v>6</v>
      </c>
      <c r="R40" s="7">
        <v>315</v>
      </c>
      <c r="T40" s="20">
        <v>226.40714285714284</v>
      </c>
    </row>
    <row r="41" spans="2:20">
      <c r="B41" s="5" t="s">
        <v>425</v>
      </c>
      <c r="C41" s="5" t="s">
        <v>491</v>
      </c>
      <c r="D41" s="5" t="e">
        <v>#REF!</v>
      </c>
      <c r="E41" s="7">
        <v>24</v>
      </c>
      <c r="F41" s="7">
        <v>6</v>
      </c>
      <c r="G41" s="7">
        <v>6</v>
      </c>
      <c r="H41" s="7">
        <v>200</v>
      </c>
      <c r="J41" s="7"/>
      <c r="K41" s="7"/>
      <c r="L41" s="7"/>
      <c r="M41" s="7"/>
      <c r="N41" s="7"/>
      <c r="O41" s="7">
        <v>24</v>
      </c>
      <c r="P41" s="7">
        <v>6</v>
      </c>
      <c r="Q41" s="7">
        <v>6</v>
      </c>
      <c r="R41" s="7">
        <v>200</v>
      </c>
      <c r="T41" s="20">
        <v>165.67809523809524</v>
      </c>
    </row>
    <row r="42" spans="2:20">
      <c r="B42" s="5" t="s">
        <v>117</v>
      </c>
      <c r="C42" s="5" t="s">
        <v>491</v>
      </c>
      <c r="D42" s="5" t="e">
        <v>#REF!</v>
      </c>
      <c r="E42" s="7">
        <v>25</v>
      </c>
      <c r="F42" s="7">
        <v>16.5</v>
      </c>
      <c r="G42" s="7">
        <v>7</v>
      </c>
      <c r="H42" s="7">
        <v>350</v>
      </c>
      <c r="J42" s="7">
        <v>24</v>
      </c>
      <c r="K42" s="7">
        <v>16</v>
      </c>
      <c r="L42" s="7">
        <v>6</v>
      </c>
      <c r="M42" s="7">
        <v>340</v>
      </c>
      <c r="N42" s="7"/>
      <c r="O42" s="7">
        <v>24</v>
      </c>
      <c r="P42" s="7">
        <v>16</v>
      </c>
      <c r="Q42" s="7">
        <v>6.5</v>
      </c>
      <c r="R42" s="7">
        <v>310</v>
      </c>
      <c r="T42" s="20">
        <v>287.50323999999995</v>
      </c>
    </row>
    <row r="43" spans="2:20">
      <c r="B43" s="8" t="s">
        <v>480</v>
      </c>
      <c r="C43" s="5" t="s">
        <v>491</v>
      </c>
      <c r="D43" s="5" t="e">
        <v>#REF!</v>
      </c>
      <c r="E43" s="9">
        <v>64</v>
      </c>
      <c r="F43" s="9">
        <v>33.5</v>
      </c>
      <c r="G43" s="9">
        <v>5</v>
      </c>
      <c r="H43" s="9">
        <v>2400</v>
      </c>
      <c r="J43" s="9"/>
      <c r="K43" s="9"/>
      <c r="L43" s="9"/>
      <c r="M43" s="9"/>
      <c r="N43" s="9"/>
      <c r="O43" s="9">
        <v>67</v>
      </c>
      <c r="P43" s="9">
        <v>42</v>
      </c>
      <c r="Q43" s="9">
        <v>7</v>
      </c>
      <c r="R43" s="9">
        <v>2970</v>
      </c>
      <c r="T43" s="20">
        <v>2169.0469513599996</v>
      </c>
    </row>
    <row r="44" spans="2:20">
      <c r="B44" s="5" t="s">
        <v>426</v>
      </c>
      <c r="C44" s="5" t="s">
        <v>491</v>
      </c>
      <c r="D44" s="5" t="e">
        <v>#REF!</v>
      </c>
      <c r="E44" s="7">
        <v>67</v>
      </c>
      <c r="F44" s="7">
        <v>34</v>
      </c>
      <c r="G44" s="7">
        <v>5.5</v>
      </c>
      <c r="H44" s="7">
        <v>3350</v>
      </c>
      <c r="J44" s="7"/>
      <c r="K44" s="7"/>
      <c r="L44" s="7"/>
      <c r="M44" s="7"/>
      <c r="N44" s="9"/>
      <c r="O44" s="9">
        <v>67</v>
      </c>
      <c r="P44" s="9">
        <v>42</v>
      </c>
      <c r="Q44" s="9">
        <v>7</v>
      </c>
      <c r="R44" s="9">
        <v>2970</v>
      </c>
      <c r="T44" s="20">
        <v>3390.7068220776505</v>
      </c>
    </row>
    <row r="45" spans="2:20">
      <c r="B45" s="5" t="s">
        <v>427</v>
      </c>
      <c r="C45" s="5" t="s">
        <v>491</v>
      </c>
      <c r="D45" s="5" t="e">
        <v>#REF!</v>
      </c>
      <c r="E45" s="7">
        <v>65</v>
      </c>
      <c r="F45" s="7">
        <v>36.5</v>
      </c>
      <c r="G45" s="7">
        <v>6</v>
      </c>
      <c r="H45" s="7">
        <v>2650</v>
      </c>
      <c r="J45" s="7"/>
      <c r="K45" s="7"/>
      <c r="L45" s="7"/>
      <c r="M45" s="7"/>
      <c r="N45" s="7"/>
      <c r="O45" s="7"/>
      <c r="P45" s="7"/>
      <c r="Q45" s="7"/>
      <c r="R45" s="7"/>
      <c r="T45" s="20">
        <v>2908.7769830900934</v>
      </c>
    </row>
    <row r="46" spans="2:20">
      <c r="B46" s="5" t="s">
        <v>388</v>
      </c>
      <c r="C46" s="5" t="s">
        <v>491</v>
      </c>
      <c r="D46" s="5" t="e">
        <v>#REF!</v>
      </c>
      <c r="E46" s="7">
        <v>172.5</v>
      </c>
      <c r="F46" s="7">
        <v>65</v>
      </c>
      <c r="G46" s="7">
        <v>6</v>
      </c>
      <c r="H46" s="7">
        <v>20300</v>
      </c>
      <c r="J46" s="7"/>
      <c r="K46" s="7"/>
      <c r="L46" s="7"/>
      <c r="M46" s="7"/>
      <c r="N46" s="7"/>
      <c r="O46" s="7">
        <v>172</v>
      </c>
      <c r="P46" s="7">
        <v>65</v>
      </c>
      <c r="Q46" s="7">
        <v>6</v>
      </c>
      <c r="R46" s="7">
        <v>20460</v>
      </c>
      <c r="T46" s="20">
        <v>13852.569520103985</v>
      </c>
    </row>
    <row r="47" spans="2:20">
      <c r="B47" s="5" t="s">
        <v>428</v>
      </c>
      <c r="C47" s="5" t="s">
        <v>491</v>
      </c>
      <c r="D47" s="5" t="e">
        <v>#REF!</v>
      </c>
      <c r="E47" s="7">
        <v>79</v>
      </c>
      <c r="F47" s="7">
        <v>62.5</v>
      </c>
      <c r="G47" s="7">
        <v>5.5</v>
      </c>
      <c r="H47" s="7">
        <v>8000</v>
      </c>
      <c r="J47" s="7"/>
      <c r="K47" s="7"/>
      <c r="L47" s="7"/>
      <c r="M47" s="7"/>
      <c r="N47" s="7"/>
      <c r="O47" s="7"/>
      <c r="P47" s="7"/>
      <c r="Q47" s="7"/>
      <c r="R47" s="7"/>
      <c r="T47" s="20">
        <v>4549.7770869199994</v>
      </c>
    </row>
    <row r="48" spans="2:20">
      <c r="B48" s="5" t="s">
        <v>497</v>
      </c>
      <c r="C48" s="5" t="s">
        <v>491</v>
      </c>
      <c r="D48" s="5" t="e">
        <v>#REF!</v>
      </c>
      <c r="E48" s="7">
        <v>11</v>
      </c>
      <c r="F48" s="7">
        <v>8</v>
      </c>
      <c r="G48" s="7">
        <v>5.5</v>
      </c>
      <c r="H48" s="7">
        <v>50</v>
      </c>
      <c r="J48" s="7"/>
      <c r="K48" s="7"/>
      <c r="L48" s="7"/>
      <c r="M48" s="7"/>
      <c r="N48" s="7"/>
      <c r="O48" s="7"/>
      <c r="P48" s="7"/>
      <c r="Q48" s="7"/>
      <c r="R48" s="7"/>
      <c r="T48" s="20" t="e">
        <v>#N/A</v>
      </c>
    </row>
    <row r="49" spans="2:20">
      <c r="B49" s="5" t="s">
        <v>498</v>
      </c>
      <c r="C49" s="5" t="s">
        <v>491</v>
      </c>
      <c r="D49" s="5" t="e">
        <v>#REF!</v>
      </c>
      <c r="E49" s="7">
        <v>13</v>
      </c>
      <c r="F49" s="7">
        <v>13</v>
      </c>
      <c r="G49" s="7">
        <v>9</v>
      </c>
      <c r="H49" s="7">
        <v>100</v>
      </c>
      <c r="J49" s="7"/>
      <c r="K49" s="7"/>
      <c r="L49" s="7"/>
      <c r="M49" s="7"/>
      <c r="N49" s="7"/>
      <c r="O49" s="7"/>
      <c r="P49" s="7"/>
      <c r="Q49" s="7"/>
      <c r="R49" s="7"/>
      <c r="T49" s="20" t="e">
        <v>#N/A</v>
      </c>
    </row>
    <row r="50" spans="2:20">
      <c r="B50" s="5" t="s">
        <v>499</v>
      </c>
      <c r="C50" s="5" t="s">
        <v>491</v>
      </c>
      <c r="D50" s="5" t="e">
        <v>#REF!</v>
      </c>
      <c r="E50" s="7">
        <v>13</v>
      </c>
      <c r="F50" s="7">
        <v>13</v>
      </c>
      <c r="G50" s="7">
        <v>9</v>
      </c>
      <c r="H50" s="7">
        <v>100</v>
      </c>
      <c r="J50" s="7"/>
      <c r="K50" s="7"/>
      <c r="L50" s="7"/>
      <c r="M50" s="7"/>
      <c r="N50" s="7"/>
      <c r="O50" s="7"/>
      <c r="P50" s="7"/>
      <c r="Q50" s="7"/>
      <c r="R50" s="7"/>
      <c r="T50" s="20" t="e">
        <v>#N/A</v>
      </c>
    </row>
    <row r="51" spans="2:20">
      <c r="B51" s="5" t="s">
        <v>500</v>
      </c>
      <c r="C51" s="5" t="s">
        <v>491</v>
      </c>
      <c r="D51" s="5" t="e">
        <v>#REF!</v>
      </c>
      <c r="E51" s="7">
        <v>20</v>
      </c>
      <c r="F51" s="7">
        <v>13</v>
      </c>
      <c r="G51" s="7">
        <v>9</v>
      </c>
      <c r="H51" s="7">
        <v>200</v>
      </c>
      <c r="J51" s="7"/>
      <c r="K51" s="7"/>
      <c r="L51" s="7"/>
      <c r="M51" s="7"/>
      <c r="N51" s="7"/>
      <c r="O51" s="7"/>
      <c r="P51" s="7"/>
      <c r="Q51" s="7"/>
      <c r="R51" s="7"/>
      <c r="T51" s="20" t="e">
        <v>#N/A</v>
      </c>
    </row>
    <row r="52" spans="2:20">
      <c r="B52" s="5" t="s">
        <v>501</v>
      </c>
      <c r="C52" s="5" t="s">
        <v>491</v>
      </c>
      <c r="D52" s="5" t="e">
        <v>#REF!</v>
      </c>
      <c r="E52" s="7">
        <v>13</v>
      </c>
      <c r="F52" s="7">
        <v>13</v>
      </c>
      <c r="G52" s="7">
        <v>9</v>
      </c>
      <c r="H52" s="7">
        <v>100</v>
      </c>
      <c r="J52" s="7"/>
      <c r="K52" s="7"/>
      <c r="L52" s="7"/>
      <c r="M52" s="7"/>
      <c r="N52" s="7"/>
      <c r="O52" s="7"/>
      <c r="P52" s="7"/>
      <c r="Q52" s="7"/>
      <c r="R52" s="7"/>
      <c r="T52" s="20" t="e">
        <v>#N/A</v>
      </c>
    </row>
    <row r="53" spans="2:20">
      <c r="B53" s="5" t="s">
        <v>502</v>
      </c>
      <c r="C53" s="5" t="s">
        <v>491</v>
      </c>
      <c r="D53" s="5" t="e">
        <v>#REF!</v>
      </c>
      <c r="E53" s="7">
        <v>13</v>
      </c>
      <c r="F53" s="7">
        <v>13</v>
      </c>
      <c r="G53" s="7">
        <v>9</v>
      </c>
      <c r="H53" s="7">
        <v>100</v>
      </c>
      <c r="J53" s="7"/>
      <c r="K53" s="7"/>
      <c r="L53" s="7"/>
      <c r="M53" s="7"/>
      <c r="N53" s="7"/>
      <c r="O53" s="7"/>
      <c r="P53" s="7"/>
      <c r="Q53" s="7"/>
      <c r="R53" s="7"/>
      <c r="T53" s="20" t="e">
        <v>#N/A</v>
      </c>
    </row>
    <row r="54" spans="2:20">
      <c r="B54" s="5" t="s">
        <v>503</v>
      </c>
      <c r="C54" s="5" t="s">
        <v>491</v>
      </c>
      <c r="D54" s="5" t="e">
        <v>#REF!</v>
      </c>
      <c r="E54" s="7">
        <v>13</v>
      </c>
      <c r="F54" s="7">
        <v>13</v>
      </c>
      <c r="G54" s="7">
        <v>9</v>
      </c>
      <c r="H54" s="7">
        <v>100</v>
      </c>
      <c r="J54" s="7"/>
      <c r="K54" s="7"/>
      <c r="L54" s="7"/>
      <c r="M54" s="7"/>
      <c r="N54" s="7"/>
      <c r="O54" s="7"/>
      <c r="P54" s="7"/>
      <c r="Q54" s="7"/>
      <c r="R54" s="7"/>
      <c r="T54" s="20" t="e">
        <v>#N/A</v>
      </c>
    </row>
    <row r="55" spans="2:20">
      <c r="B55" s="5" t="s">
        <v>504</v>
      </c>
      <c r="C55" s="5" t="s">
        <v>491</v>
      </c>
      <c r="D55" s="5" t="e">
        <v>#REF!</v>
      </c>
      <c r="E55" s="7">
        <v>13</v>
      </c>
      <c r="F55" s="7">
        <v>13</v>
      </c>
      <c r="G55" s="7">
        <v>9</v>
      </c>
      <c r="H55" s="7">
        <v>100</v>
      </c>
      <c r="J55" s="7"/>
      <c r="K55" s="7"/>
      <c r="L55" s="7"/>
      <c r="M55" s="7"/>
      <c r="N55" s="7"/>
      <c r="O55" s="7"/>
      <c r="P55" s="7"/>
      <c r="Q55" s="7"/>
      <c r="R55" s="7"/>
      <c r="T55" s="20" t="e">
        <v>#N/A</v>
      </c>
    </row>
    <row r="56" spans="2:20">
      <c r="B56" s="5" t="s">
        <v>505</v>
      </c>
      <c r="C56" s="5" t="s">
        <v>491</v>
      </c>
      <c r="D56" s="5" t="e">
        <v>#REF!</v>
      </c>
      <c r="E56" s="7">
        <v>13</v>
      </c>
      <c r="F56" s="7">
        <v>13</v>
      </c>
      <c r="G56" s="7">
        <v>9</v>
      </c>
      <c r="H56" s="7">
        <v>100</v>
      </c>
      <c r="J56" s="7"/>
      <c r="K56" s="7"/>
      <c r="L56" s="7"/>
      <c r="M56" s="7"/>
      <c r="N56" s="7"/>
      <c r="O56" s="7"/>
      <c r="P56" s="7"/>
      <c r="Q56" s="7"/>
      <c r="R56" s="7"/>
      <c r="T56" s="20" t="e">
        <v>#N/A</v>
      </c>
    </row>
    <row r="57" spans="2:20">
      <c r="B57" s="5" t="s">
        <v>429</v>
      </c>
      <c r="C57" s="5" t="s">
        <v>491</v>
      </c>
      <c r="D57" s="5" t="e">
        <v>#REF!</v>
      </c>
      <c r="E57" s="7">
        <v>15</v>
      </c>
      <c r="F57" s="7">
        <v>11</v>
      </c>
      <c r="G57" s="7">
        <v>10</v>
      </c>
      <c r="H57" s="7">
        <v>150</v>
      </c>
      <c r="J57" s="7"/>
      <c r="K57" s="7"/>
      <c r="L57" s="7"/>
      <c r="M57" s="7"/>
      <c r="N57" s="7"/>
      <c r="O57" s="7">
        <v>22</v>
      </c>
      <c r="P57" s="7">
        <v>14</v>
      </c>
      <c r="Q57" s="7">
        <v>8</v>
      </c>
      <c r="R57" s="7">
        <v>250</v>
      </c>
      <c r="T57" s="20" t="e">
        <v>#N/A</v>
      </c>
    </row>
    <row r="58" spans="2:20">
      <c r="B58" s="5" t="s">
        <v>430</v>
      </c>
      <c r="C58" s="5" t="s">
        <v>491</v>
      </c>
      <c r="D58" s="5" t="e">
        <v>#REF!</v>
      </c>
      <c r="E58" s="7">
        <v>13</v>
      </c>
      <c r="F58" s="7">
        <v>13</v>
      </c>
      <c r="G58" s="7">
        <v>9</v>
      </c>
      <c r="H58" s="7">
        <v>200</v>
      </c>
      <c r="J58" s="7"/>
      <c r="K58" s="7"/>
      <c r="L58" s="7"/>
      <c r="M58" s="7"/>
      <c r="N58" s="7"/>
      <c r="O58" s="7"/>
      <c r="P58" s="7"/>
      <c r="Q58" s="7"/>
      <c r="R58" s="7"/>
      <c r="T58" s="20" t="e">
        <v>#N/A</v>
      </c>
    </row>
    <row r="59" spans="2:20">
      <c r="B59" s="5" t="s">
        <v>431</v>
      </c>
      <c r="C59" s="5" t="s">
        <v>491</v>
      </c>
      <c r="D59" s="5" t="e">
        <v>#REF!</v>
      </c>
      <c r="E59" s="7">
        <v>13</v>
      </c>
      <c r="F59" s="7">
        <v>13</v>
      </c>
      <c r="G59" s="7">
        <v>9</v>
      </c>
      <c r="H59" s="7">
        <v>250</v>
      </c>
      <c r="J59" s="7"/>
      <c r="K59" s="7"/>
      <c r="L59" s="7"/>
      <c r="M59" s="7"/>
      <c r="N59" s="7"/>
      <c r="O59" s="7"/>
      <c r="P59" s="7"/>
      <c r="Q59" s="7"/>
      <c r="R59" s="7"/>
      <c r="T59" s="20" t="e">
        <v>#N/A</v>
      </c>
    </row>
    <row r="60" spans="2:20">
      <c r="B60" s="5" t="s">
        <v>432</v>
      </c>
      <c r="C60" s="5" t="s">
        <v>491</v>
      </c>
      <c r="D60" s="5" t="e">
        <v>#REF!</v>
      </c>
      <c r="E60" s="9">
        <v>13.5</v>
      </c>
      <c r="F60" s="9">
        <v>13</v>
      </c>
      <c r="G60" s="9">
        <v>9.5</v>
      </c>
      <c r="H60" s="9">
        <v>232</v>
      </c>
      <c r="J60" s="9"/>
      <c r="K60" s="9"/>
      <c r="L60" s="9"/>
      <c r="M60" s="9"/>
      <c r="N60" s="9"/>
      <c r="O60" s="9"/>
      <c r="P60" s="9"/>
      <c r="Q60" s="9"/>
      <c r="R60" s="9"/>
      <c r="T60" s="20">
        <v>269.05259999999998</v>
      </c>
    </row>
    <row r="61" spans="2:20">
      <c r="B61" s="5" t="s">
        <v>433</v>
      </c>
      <c r="C61" s="5" t="s">
        <v>491</v>
      </c>
      <c r="D61" s="5" t="e">
        <v>#REF!</v>
      </c>
      <c r="E61" s="9">
        <v>18</v>
      </c>
      <c r="F61" s="9">
        <v>18</v>
      </c>
      <c r="G61" s="9">
        <v>7</v>
      </c>
      <c r="H61" s="9">
        <v>304</v>
      </c>
      <c r="J61" s="9">
        <v>13</v>
      </c>
      <c r="K61" s="9">
        <v>13</v>
      </c>
      <c r="L61" s="9">
        <v>9</v>
      </c>
      <c r="M61" s="9">
        <v>240</v>
      </c>
      <c r="N61" s="9"/>
      <c r="O61" s="9"/>
      <c r="P61" s="9"/>
      <c r="Q61" s="9"/>
      <c r="R61" s="9"/>
      <c r="T61" s="20">
        <v>144.14400000000001</v>
      </c>
    </row>
    <row r="62" spans="2:20">
      <c r="B62" s="2" t="s">
        <v>389</v>
      </c>
      <c r="C62" s="5" t="s">
        <v>491</v>
      </c>
      <c r="D62" s="5" t="e">
        <v>#REF!</v>
      </c>
      <c r="E62" s="14">
        <v>18</v>
      </c>
      <c r="F62" s="14">
        <v>18</v>
      </c>
      <c r="G62" s="14">
        <v>6.5</v>
      </c>
      <c r="H62" s="14">
        <v>250</v>
      </c>
      <c r="J62" s="14">
        <v>14</v>
      </c>
      <c r="K62" s="14">
        <v>14</v>
      </c>
      <c r="L62" s="14">
        <v>9</v>
      </c>
      <c r="M62" s="14">
        <v>175</v>
      </c>
      <c r="N62" s="14"/>
      <c r="O62" s="14">
        <v>18</v>
      </c>
      <c r="P62" s="14">
        <v>18</v>
      </c>
      <c r="Q62" s="14">
        <v>6.5</v>
      </c>
      <c r="R62" s="14">
        <v>180</v>
      </c>
      <c r="T62" s="20">
        <v>146.25142112</v>
      </c>
    </row>
    <row r="63" spans="2:20">
      <c r="B63" s="2" t="s">
        <v>390</v>
      </c>
      <c r="C63" s="5" t="s">
        <v>491</v>
      </c>
      <c r="D63" s="5" t="e">
        <v>#REF!</v>
      </c>
      <c r="E63" s="14">
        <v>13</v>
      </c>
      <c r="F63" s="14">
        <v>13</v>
      </c>
      <c r="G63" s="14">
        <v>7</v>
      </c>
      <c r="H63" s="14">
        <v>200</v>
      </c>
      <c r="J63" s="14"/>
      <c r="K63" s="14"/>
      <c r="L63" s="14"/>
      <c r="M63" s="14"/>
      <c r="N63" s="14"/>
      <c r="O63" s="14">
        <v>13.5</v>
      </c>
      <c r="P63" s="14">
        <v>13</v>
      </c>
      <c r="Q63" s="14">
        <v>9</v>
      </c>
      <c r="R63" s="14">
        <v>180</v>
      </c>
      <c r="T63" s="20">
        <v>149.05910112000001</v>
      </c>
    </row>
    <row r="64" spans="2:20">
      <c r="B64" s="5" t="s">
        <v>434</v>
      </c>
      <c r="C64" s="5" t="s">
        <v>491</v>
      </c>
      <c r="D64" s="5" t="e">
        <v>#REF!</v>
      </c>
      <c r="E64" s="7">
        <v>22</v>
      </c>
      <c r="F64" s="7">
        <v>13</v>
      </c>
      <c r="G64" s="7">
        <v>9</v>
      </c>
      <c r="H64" s="7">
        <v>350</v>
      </c>
      <c r="J64" s="7"/>
      <c r="K64" s="7"/>
      <c r="L64" s="7"/>
      <c r="M64" s="7"/>
      <c r="N64" s="7"/>
      <c r="O64" s="7"/>
      <c r="P64" s="7"/>
      <c r="Q64" s="7"/>
      <c r="R64" s="7"/>
      <c r="T64" s="20">
        <v>329.18428399999993</v>
      </c>
    </row>
    <row r="65" spans="2:20">
      <c r="B65" s="5" t="s">
        <v>435</v>
      </c>
      <c r="C65" s="5" t="s">
        <v>491</v>
      </c>
      <c r="D65" s="5" t="e">
        <v>#REF!</v>
      </c>
      <c r="E65" s="7">
        <v>22</v>
      </c>
      <c r="F65" s="7">
        <v>13</v>
      </c>
      <c r="G65" s="7">
        <v>9</v>
      </c>
      <c r="H65" s="7">
        <v>270</v>
      </c>
      <c r="J65" s="7"/>
      <c r="K65" s="7"/>
      <c r="L65" s="7"/>
      <c r="M65" s="7"/>
      <c r="N65" s="7"/>
      <c r="O65" s="7"/>
      <c r="P65" s="7"/>
      <c r="Q65" s="7"/>
      <c r="R65" s="7"/>
      <c r="T65" s="20">
        <v>313.13515999999993</v>
      </c>
    </row>
    <row r="66" spans="2:20">
      <c r="B66" s="5" t="s">
        <v>436</v>
      </c>
      <c r="C66" s="5" t="s">
        <v>491</v>
      </c>
      <c r="D66" s="5" t="e">
        <v>#REF!</v>
      </c>
      <c r="E66" s="7">
        <v>22</v>
      </c>
      <c r="F66" s="7">
        <v>13</v>
      </c>
      <c r="G66" s="7">
        <v>9</v>
      </c>
      <c r="H66" s="7">
        <v>270</v>
      </c>
      <c r="J66" s="7"/>
      <c r="K66" s="7"/>
      <c r="L66" s="7"/>
      <c r="M66" s="7"/>
      <c r="N66" s="7"/>
      <c r="O66" s="7"/>
      <c r="P66" s="7"/>
      <c r="Q66" s="7"/>
      <c r="R66" s="7"/>
      <c r="T66" s="20">
        <v>172.616704</v>
      </c>
    </row>
    <row r="67" spans="2:20">
      <c r="B67" s="5" t="s">
        <v>437</v>
      </c>
      <c r="C67" s="5" t="s">
        <v>491</v>
      </c>
      <c r="D67" s="5" t="e">
        <v>#REF!</v>
      </c>
      <c r="E67" s="7">
        <v>37</v>
      </c>
      <c r="F67" s="7">
        <v>10</v>
      </c>
      <c r="G67" s="7">
        <v>6</v>
      </c>
      <c r="H67" s="7">
        <v>360</v>
      </c>
      <c r="J67" s="7"/>
      <c r="K67" s="7"/>
      <c r="L67" s="7"/>
      <c r="M67" s="7"/>
      <c r="N67" s="7"/>
      <c r="O67" s="7">
        <v>37</v>
      </c>
      <c r="P67" s="7">
        <v>10</v>
      </c>
      <c r="Q67" s="7">
        <v>6</v>
      </c>
      <c r="R67" s="7">
        <v>320</v>
      </c>
      <c r="T67" s="20">
        <v>257.15014285714284</v>
      </c>
    </row>
    <row r="68" spans="2:20">
      <c r="B68" s="5" t="s">
        <v>438</v>
      </c>
      <c r="C68" s="5" t="s">
        <v>491</v>
      </c>
      <c r="D68" s="5" t="e">
        <v>#REF!</v>
      </c>
      <c r="E68" s="7">
        <v>37</v>
      </c>
      <c r="F68" s="7">
        <v>10</v>
      </c>
      <c r="G68" s="7">
        <v>6</v>
      </c>
      <c r="H68" s="7">
        <v>435</v>
      </c>
      <c r="J68" s="7"/>
      <c r="K68" s="7"/>
      <c r="L68" s="7"/>
      <c r="M68" s="7"/>
      <c r="N68" s="7"/>
      <c r="O68" s="7">
        <v>37</v>
      </c>
      <c r="P68" s="7">
        <v>10</v>
      </c>
      <c r="Q68" s="7">
        <v>6</v>
      </c>
      <c r="R68" s="7">
        <v>455</v>
      </c>
      <c r="T68" s="20">
        <v>377.03904347826085</v>
      </c>
    </row>
    <row r="69" spans="2:20">
      <c r="B69" s="5" t="s">
        <v>439</v>
      </c>
      <c r="C69" s="5" t="s">
        <v>491</v>
      </c>
      <c r="D69" s="5" t="e">
        <v>#REF!</v>
      </c>
      <c r="E69" s="7">
        <v>34</v>
      </c>
      <c r="F69" s="7">
        <v>34</v>
      </c>
      <c r="G69" s="7">
        <v>6.5</v>
      </c>
      <c r="H69" s="7">
        <v>1200</v>
      </c>
      <c r="J69" s="7"/>
      <c r="K69" s="7"/>
      <c r="L69" s="7"/>
      <c r="M69" s="7"/>
      <c r="N69" s="7"/>
      <c r="O69" s="7">
        <v>36</v>
      </c>
      <c r="P69" s="7">
        <v>34</v>
      </c>
      <c r="Q69" s="7">
        <v>6</v>
      </c>
      <c r="R69" s="7">
        <v>1200</v>
      </c>
      <c r="T69" s="20">
        <v>752.22529999999995</v>
      </c>
    </row>
    <row r="70" spans="2:20">
      <c r="B70" s="5" t="s">
        <v>440</v>
      </c>
      <c r="C70" s="5" t="s">
        <v>491</v>
      </c>
      <c r="D70" s="5" t="e">
        <v>#REF!</v>
      </c>
      <c r="E70" s="7">
        <v>51</v>
      </c>
      <c r="F70" s="7">
        <v>25.5</v>
      </c>
      <c r="G70" s="7">
        <v>4.5</v>
      </c>
      <c r="H70" s="7">
        <v>1420</v>
      </c>
      <c r="J70" s="7"/>
      <c r="K70" s="7"/>
      <c r="L70" s="7"/>
      <c r="M70" s="7"/>
      <c r="N70" s="7"/>
      <c r="O70" s="7"/>
      <c r="P70" s="7"/>
      <c r="Q70" s="7"/>
      <c r="R70" s="7"/>
      <c r="T70" s="20">
        <v>1147.0835173999997</v>
      </c>
    </row>
    <row r="71" spans="2:20">
      <c r="B71" s="5" t="s">
        <v>441</v>
      </c>
      <c r="C71" s="5" t="s">
        <v>491</v>
      </c>
      <c r="D71" s="5" t="e">
        <v>#REF!</v>
      </c>
      <c r="E71" s="7">
        <v>66.5</v>
      </c>
      <c r="F71" s="7">
        <v>26</v>
      </c>
      <c r="G71" s="7">
        <v>4.5</v>
      </c>
      <c r="H71" s="7">
        <v>1800</v>
      </c>
      <c r="J71" s="7"/>
      <c r="K71" s="7"/>
      <c r="L71" s="7"/>
      <c r="M71" s="7"/>
      <c r="N71" s="7"/>
      <c r="O71" s="7"/>
      <c r="P71" s="7"/>
      <c r="Q71" s="7"/>
      <c r="R71" s="7"/>
      <c r="T71" s="20">
        <v>1490.0749680000004</v>
      </c>
    </row>
    <row r="72" spans="2:20">
      <c r="B72" s="5" t="s">
        <v>442</v>
      </c>
      <c r="C72" s="5" t="s">
        <v>491</v>
      </c>
      <c r="D72" s="5" t="e">
        <v>#REF!</v>
      </c>
      <c r="E72" s="7">
        <v>66.5</v>
      </c>
      <c r="F72" s="7">
        <v>25</v>
      </c>
      <c r="G72" s="7">
        <v>4.5</v>
      </c>
      <c r="H72" s="7">
        <v>2400</v>
      </c>
      <c r="J72" s="7"/>
      <c r="K72" s="7"/>
      <c r="L72" s="7"/>
      <c r="M72" s="7"/>
      <c r="N72" s="7"/>
      <c r="O72" s="7"/>
      <c r="P72" s="7"/>
      <c r="Q72" s="7"/>
      <c r="R72" s="7"/>
      <c r="T72" s="20">
        <v>1844.8937099999996</v>
      </c>
    </row>
    <row r="73" spans="2:20">
      <c r="B73" s="5" t="s">
        <v>126</v>
      </c>
      <c r="C73" s="5" t="s">
        <v>491</v>
      </c>
      <c r="D73" s="5" t="e">
        <v>#REF!</v>
      </c>
      <c r="E73" s="7">
        <v>25</v>
      </c>
      <c r="F73" s="7">
        <v>21</v>
      </c>
      <c r="G73" s="7">
        <v>12</v>
      </c>
      <c r="H73" s="7">
        <v>740</v>
      </c>
      <c r="J73" s="7">
        <v>25</v>
      </c>
      <c r="K73" s="7">
        <v>21</v>
      </c>
      <c r="L73" s="7">
        <v>10</v>
      </c>
      <c r="M73" s="7">
        <v>920</v>
      </c>
      <c r="N73" s="7"/>
      <c r="O73" s="7">
        <v>25</v>
      </c>
      <c r="P73" s="7">
        <v>20</v>
      </c>
      <c r="Q73" s="7">
        <v>12</v>
      </c>
      <c r="R73" s="7">
        <v>680</v>
      </c>
      <c r="T73" s="20">
        <v>885.49457951999989</v>
      </c>
    </row>
    <row r="74" spans="2:20">
      <c r="B74" s="5" t="s">
        <v>128</v>
      </c>
      <c r="C74" s="5" t="s">
        <v>491</v>
      </c>
      <c r="D74" s="5" t="e">
        <v>#REF!</v>
      </c>
      <c r="E74" s="7">
        <v>39</v>
      </c>
      <c r="F74" s="7">
        <v>13</v>
      </c>
      <c r="G74" s="7">
        <v>7</v>
      </c>
      <c r="H74" s="7">
        <v>450</v>
      </c>
      <c r="J74" s="7"/>
      <c r="K74" s="7"/>
      <c r="L74" s="7"/>
      <c r="M74" s="7"/>
      <c r="N74" s="7"/>
      <c r="O74" s="7">
        <v>37.5</v>
      </c>
      <c r="P74" s="7">
        <v>13</v>
      </c>
      <c r="Q74" s="7">
        <v>7</v>
      </c>
      <c r="R74" s="7">
        <v>445</v>
      </c>
      <c r="T74" s="20">
        <v>287.35574400000002</v>
      </c>
    </row>
    <row r="75" spans="2:20">
      <c r="B75" s="5" t="s">
        <v>129</v>
      </c>
      <c r="C75" s="5" t="s">
        <v>491</v>
      </c>
      <c r="D75" s="5" t="e">
        <v>#REF!</v>
      </c>
      <c r="E75" s="7">
        <v>37.5</v>
      </c>
      <c r="F75" s="7">
        <v>13</v>
      </c>
      <c r="G75" s="7">
        <v>7</v>
      </c>
      <c r="H75" s="7">
        <v>430</v>
      </c>
      <c r="J75" s="7">
        <v>37.5</v>
      </c>
      <c r="K75" s="7">
        <v>13</v>
      </c>
      <c r="L75" s="7">
        <v>7</v>
      </c>
      <c r="M75" s="7">
        <v>430</v>
      </c>
      <c r="N75" s="7"/>
      <c r="O75" s="7">
        <v>38</v>
      </c>
      <c r="P75" s="7">
        <v>13</v>
      </c>
      <c r="Q75" s="7">
        <v>7</v>
      </c>
      <c r="R75" s="7">
        <v>420</v>
      </c>
      <c r="T75" s="20">
        <v>269.39600999999993</v>
      </c>
    </row>
    <row r="76" spans="2:20">
      <c r="B76" s="5" t="s">
        <v>127</v>
      </c>
      <c r="C76" s="5" t="s">
        <v>491</v>
      </c>
      <c r="D76" s="5" t="e">
        <v>#REF!</v>
      </c>
      <c r="E76" s="7">
        <v>20</v>
      </c>
      <c r="F76" s="7">
        <v>16.5</v>
      </c>
      <c r="G76" s="7">
        <v>15.5</v>
      </c>
      <c r="H76" s="7">
        <v>540</v>
      </c>
      <c r="J76" s="7"/>
      <c r="K76" s="7"/>
      <c r="L76" s="7"/>
      <c r="M76" s="7"/>
      <c r="N76" s="7"/>
      <c r="O76" s="7"/>
      <c r="P76" s="7"/>
      <c r="Q76" s="7"/>
      <c r="R76" s="7"/>
      <c r="T76" s="20">
        <v>737.1058028651853</v>
      </c>
    </row>
    <row r="77" spans="2:20">
      <c r="B77" s="5" t="s">
        <v>133</v>
      </c>
      <c r="C77" s="5" t="s">
        <v>491</v>
      </c>
      <c r="D77" s="5" t="e">
        <v>#REF!</v>
      </c>
      <c r="E77" s="7">
        <v>168</v>
      </c>
      <c r="F77" s="7">
        <v>79</v>
      </c>
      <c r="G77" s="7">
        <v>7.5</v>
      </c>
      <c r="H77" s="7">
        <v>24700</v>
      </c>
      <c r="J77" s="7"/>
      <c r="K77" s="7"/>
      <c r="L77" s="7"/>
      <c r="M77" s="7"/>
      <c r="N77" s="7"/>
      <c r="O77" s="7"/>
      <c r="P77" s="7"/>
      <c r="Q77" s="7"/>
      <c r="R77" s="7"/>
      <c r="T77" s="20">
        <v>18573.125058800004</v>
      </c>
    </row>
    <row r="78" spans="2:20">
      <c r="B78" s="5" t="s">
        <v>134</v>
      </c>
      <c r="C78" s="5" t="s">
        <v>491</v>
      </c>
      <c r="D78" s="5" t="e">
        <v>#REF!</v>
      </c>
      <c r="E78" s="7">
        <v>105</v>
      </c>
      <c r="F78" s="7">
        <v>56</v>
      </c>
      <c r="G78" s="7">
        <v>7</v>
      </c>
      <c r="H78" s="7">
        <v>9800</v>
      </c>
      <c r="J78" s="7">
        <v>101</v>
      </c>
      <c r="K78" s="7">
        <v>55</v>
      </c>
      <c r="L78" s="7">
        <v>3.5</v>
      </c>
      <c r="M78" s="7">
        <v>9600</v>
      </c>
      <c r="N78" s="7"/>
      <c r="O78" s="7"/>
      <c r="P78" s="7"/>
      <c r="Q78" s="7"/>
      <c r="R78" s="7"/>
      <c r="T78" s="20">
        <v>6979.9580870790614</v>
      </c>
    </row>
    <row r="79" spans="2:20">
      <c r="B79" s="13" t="s">
        <v>136</v>
      </c>
      <c r="C79" s="5" t="s">
        <v>491</v>
      </c>
      <c r="D79" s="5" t="e">
        <v>#REF!</v>
      </c>
      <c r="E79" s="14">
        <v>49.7</v>
      </c>
      <c r="F79" s="14">
        <v>15.5</v>
      </c>
      <c r="G79" s="14">
        <v>6.5</v>
      </c>
      <c r="H79" s="14">
        <v>1500</v>
      </c>
      <c r="J79" s="14"/>
      <c r="K79" s="14"/>
      <c r="L79" s="14"/>
      <c r="M79" s="14"/>
      <c r="N79" s="14"/>
      <c r="O79" s="14"/>
      <c r="P79" s="14"/>
      <c r="Q79" s="14"/>
      <c r="R79" s="14"/>
      <c r="T79" s="20" t="e">
        <v>#N/A</v>
      </c>
    </row>
    <row r="80" spans="2:20">
      <c r="B80" s="5" t="s">
        <v>137</v>
      </c>
      <c r="C80" s="5" t="s">
        <v>491</v>
      </c>
      <c r="D80" s="5" t="e">
        <v>#REF!</v>
      </c>
      <c r="E80" s="7">
        <v>95</v>
      </c>
      <c r="F80" s="7">
        <v>33</v>
      </c>
      <c r="G80" s="7">
        <v>8</v>
      </c>
      <c r="H80" s="7">
        <v>6100</v>
      </c>
      <c r="J80" s="7">
        <v>94.5</v>
      </c>
      <c r="K80" s="7">
        <v>34</v>
      </c>
      <c r="L80" s="7">
        <v>5.5</v>
      </c>
      <c r="M80" s="7">
        <v>5920</v>
      </c>
      <c r="N80" s="7"/>
      <c r="O80" s="7"/>
      <c r="P80" s="7"/>
      <c r="Q80" s="7"/>
      <c r="R80" s="7"/>
      <c r="T80" s="20">
        <v>7140.658329727944</v>
      </c>
    </row>
    <row r="81" spans="2:20">
      <c r="B81" s="5" t="s">
        <v>138</v>
      </c>
      <c r="C81" s="5" t="s">
        <v>491</v>
      </c>
      <c r="D81" s="5" t="e">
        <v>#REF!</v>
      </c>
      <c r="E81" s="7">
        <v>187</v>
      </c>
      <c r="F81" s="7">
        <v>40</v>
      </c>
      <c r="G81" s="7">
        <v>11</v>
      </c>
      <c r="H81" s="7">
        <v>22000</v>
      </c>
      <c r="J81" s="7">
        <v>187</v>
      </c>
      <c r="K81" s="7">
        <v>35</v>
      </c>
      <c r="L81" s="7">
        <v>6</v>
      </c>
      <c r="M81" s="7">
        <v>18690</v>
      </c>
      <c r="N81" s="7"/>
      <c r="O81" s="7"/>
      <c r="P81" s="7"/>
      <c r="Q81" s="7"/>
      <c r="R81" s="7"/>
      <c r="T81" s="20">
        <v>3178.4217057576179</v>
      </c>
    </row>
    <row r="82" spans="2:20">
      <c r="B82" s="5" t="s">
        <v>140</v>
      </c>
      <c r="C82" s="5" t="s">
        <v>491</v>
      </c>
      <c r="D82" s="5" t="e">
        <v>#REF!</v>
      </c>
      <c r="E82" s="7">
        <v>91</v>
      </c>
      <c r="F82" s="7">
        <v>25</v>
      </c>
      <c r="G82" s="7">
        <v>8</v>
      </c>
      <c r="H82" s="7">
        <v>5700</v>
      </c>
      <c r="J82" s="7">
        <v>84</v>
      </c>
      <c r="K82" s="7">
        <v>26</v>
      </c>
      <c r="L82" s="7">
        <v>5</v>
      </c>
      <c r="M82" s="7">
        <v>5765</v>
      </c>
      <c r="N82" s="7"/>
      <c r="O82" s="7">
        <v>91</v>
      </c>
      <c r="P82" s="7">
        <v>25</v>
      </c>
      <c r="Q82" s="7">
        <v>8</v>
      </c>
      <c r="R82" s="7">
        <v>5880</v>
      </c>
      <c r="T82" s="20">
        <v>6381.0479074116665</v>
      </c>
    </row>
    <row r="83" spans="2:20">
      <c r="B83" s="5" t="s">
        <v>443</v>
      </c>
      <c r="C83" s="5" t="s">
        <v>491</v>
      </c>
      <c r="D83" s="5" t="e">
        <v>#REF!</v>
      </c>
      <c r="E83" s="7">
        <v>56.5</v>
      </c>
      <c r="F83" s="7">
        <v>15.5</v>
      </c>
      <c r="G83" s="7">
        <v>8</v>
      </c>
      <c r="H83" s="7">
        <v>1400</v>
      </c>
      <c r="J83" s="7"/>
      <c r="K83" s="7"/>
      <c r="L83" s="7"/>
      <c r="M83" s="7"/>
      <c r="N83" s="7"/>
      <c r="O83" s="7">
        <v>58</v>
      </c>
      <c r="P83" s="7">
        <v>16</v>
      </c>
      <c r="Q83" s="7">
        <v>7</v>
      </c>
      <c r="R83" s="7">
        <v>1365</v>
      </c>
      <c r="T83" s="20">
        <v>1898.6596999999999</v>
      </c>
    </row>
    <row r="84" spans="2:20">
      <c r="B84" s="5" t="s">
        <v>142</v>
      </c>
      <c r="C84" s="5" t="s">
        <v>491</v>
      </c>
      <c r="D84" s="5" t="e">
        <v>#REF!</v>
      </c>
      <c r="E84" s="7">
        <v>25.5</v>
      </c>
      <c r="F84" s="7">
        <v>16</v>
      </c>
      <c r="G84" s="7">
        <v>14.5</v>
      </c>
      <c r="H84" s="7">
        <v>1650</v>
      </c>
      <c r="J84" s="7"/>
      <c r="K84" s="7"/>
      <c r="L84" s="7"/>
      <c r="M84" s="7"/>
      <c r="N84" s="7"/>
      <c r="O84" s="7">
        <v>26</v>
      </c>
      <c r="P84" s="7">
        <v>16</v>
      </c>
      <c r="Q84" s="7">
        <v>14</v>
      </c>
      <c r="R84" s="7">
        <v>1650</v>
      </c>
      <c r="T84" s="20">
        <v>1442.9062824999999</v>
      </c>
    </row>
    <row r="85" spans="2:20">
      <c r="B85" s="3" t="s">
        <v>143</v>
      </c>
      <c r="C85" s="5" t="s">
        <v>491</v>
      </c>
      <c r="D85" s="5" t="e">
        <v>#REF!</v>
      </c>
      <c r="E85" s="14">
        <v>22.5</v>
      </c>
      <c r="F85" s="14">
        <v>18.5</v>
      </c>
      <c r="G85" s="14">
        <v>14</v>
      </c>
      <c r="H85" s="14">
        <v>1500</v>
      </c>
      <c r="J85" s="14"/>
      <c r="K85" s="14"/>
      <c r="L85" s="14"/>
      <c r="M85" s="14"/>
      <c r="N85" s="14"/>
      <c r="O85" s="14"/>
      <c r="P85" s="14"/>
      <c r="Q85" s="14"/>
      <c r="R85" s="14"/>
      <c r="T85" s="20">
        <v>1539.0564139999999</v>
      </c>
    </row>
    <row r="86" spans="2:20">
      <c r="B86" s="3" t="s">
        <v>144</v>
      </c>
      <c r="C86" s="5" t="s">
        <v>491</v>
      </c>
      <c r="D86" s="5" t="e">
        <v>#REF!</v>
      </c>
      <c r="E86" s="14">
        <v>25.5</v>
      </c>
      <c r="F86" s="14">
        <v>19</v>
      </c>
      <c r="G86" s="14">
        <v>23.5</v>
      </c>
      <c r="H86" s="14">
        <v>3000</v>
      </c>
      <c r="J86" s="14"/>
      <c r="K86" s="14"/>
      <c r="L86" s="14"/>
      <c r="M86" s="14"/>
      <c r="N86" s="14"/>
      <c r="O86" s="14"/>
      <c r="P86" s="14"/>
      <c r="Q86" s="14"/>
      <c r="R86" s="14"/>
      <c r="T86" s="20">
        <v>3127.0688279999999</v>
      </c>
    </row>
    <row r="87" spans="2:20">
      <c r="B87" s="5" t="s">
        <v>444</v>
      </c>
      <c r="C87" s="5" t="s">
        <v>491</v>
      </c>
      <c r="D87" s="5" t="e">
        <v>#REF!</v>
      </c>
      <c r="E87" s="7">
        <v>87</v>
      </c>
      <c r="F87" s="7">
        <v>39</v>
      </c>
      <c r="G87" s="7">
        <v>14.5</v>
      </c>
      <c r="H87" s="7">
        <v>18300</v>
      </c>
      <c r="J87" s="7">
        <v>83</v>
      </c>
      <c r="K87" s="7">
        <v>34</v>
      </c>
      <c r="L87" s="7">
        <v>9</v>
      </c>
      <c r="M87" s="7">
        <v>14320</v>
      </c>
      <c r="N87" s="7"/>
      <c r="O87" s="7"/>
      <c r="P87" s="7"/>
      <c r="Q87" s="7"/>
      <c r="R87" s="7"/>
      <c r="T87" s="20">
        <v>14533.894301648279</v>
      </c>
    </row>
    <row r="88" spans="2:20">
      <c r="B88" s="5" t="s">
        <v>445</v>
      </c>
      <c r="C88" s="5" t="s">
        <v>491</v>
      </c>
      <c r="D88" s="5" t="e">
        <v>#REF!</v>
      </c>
      <c r="E88" s="7">
        <v>134</v>
      </c>
      <c r="F88" s="7">
        <v>44.5</v>
      </c>
      <c r="G88" s="7">
        <v>11.5</v>
      </c>
      <c r="H88" s="7">
        <v>22800</v>
      </c>
      <c r="J88" s="7"/>
      <c r="K88" s="7"/>
      <c r="L88" s="7"/>
      <c r="M88" s="7"/>
      <c r="N88" s="7"/>
      <c r="O88" s="7"/>
      <c r="P88" s="7"/>
      <c r="Q88" s="7"/>
      <c r="R88" s="7"/>
      <c r="T88" s="20">
        <v>19020.411952959839</v>
      </c>
    </row>
    <row r="89" spans="2:20">
      <c r="B89" s="5" t="s">
        <v>446</v>
      </c>
      <c r="C89" s="5" t="s">
        <v>491</v>
      </c>
      <c r="D89" s="5" t="e">
        <v>#REF!</v>
      </c>
      <c r="E89" s="7">
        <v>166</v>
      </c>
      <c r="F89" s="7">
        <v>36.5</v>
      </c>
      <c r="G89" s="7">
        <v>13</v>
      </c>
      <c r="H89" s="7">
        <v>22500</v>
      </c>
      <c r="J89" s="7"/>
      <c r="K89" s="7"/>
      <c r="L89" s="7"/>
      <c r="M89" s="7"/>
      <c r="N89" s="7"/>
      <c r="O89" s="7"/>
      <c r="P89" s="7"/>
      <c r="Q89" s="7"/>
      <c r="R89" s="7"/>
      <c r="T89" s="20">
        <v>20101.230795745352</v>
      </c>
    </row>
    <row r="90" spans="2:20">
      <c r="B90" s="5" t="s">
        <v>146</v>
      </c>
      <c r="C90" s="5" t="s">
        <v>491</v>
      </c>
      <c r="D90" s="5" t="e">
        <v>#REF!</v>
      </c>
      <c r="E90" s="7">
        <v>164</v>
      </c>
      <c r="F90" s="7">
        <v>36.5</v>
      </c>
      <c r="G90" s="7">
        <v>13</v>
      </c>
      <c r="H90" s="7">
        <v>27800</v>
      </c>
      <c r="J90" s="7">
        <v>159</v>
      </c>
      <c r="K90" s="7">
        <v>32.5</v>
      </c>
      <c r="L90" s="7">
        <v>9.5</v>
      </c>
      <c r="M90" s="7">
        <v>25750</v>
      </c>
      <c r="N90" s="7"/>
      <c r="O90" s="7"/>
      <c r="P90" s="7"/>
      <c r="Q90" s="7"/>
      <c r="R90" s="7"/>
      <c r="T90" s="20">
        <v>25312.099090365555</v>
      </c>
    </row>
    <row r="91" spans="2:20">
      <c r="B91" s="5" t="s">
        <v>147</v>
      </c>
      <c r="C91" s="5" t="s">
        <v>491</v>
      </c>
      <c r="D91" s="5" t="e">
        <v>#REF!</v>
      </c>
      <c r="E91" s="7">
        <v>172.5</v>
      </c>
      <c r="F91" s="7">
        <v>36.5</v>
      </c>
      <c r="G91" s="7">
        <v>11</v>
      </c>
      <c r="H91" s="7">
        <v>22500</v>
      </c>
      <c r="J91" s="7">
        <v>172</v>
      </c>
      <c r="K91" s="7">
        <v>33</v>
      </c>
      <c r="L91" s="7">
        <v>7</v>
      </c>
      <c r="M91" s="7">
        <v>20370</v>
      </c>
      <c r="N91" s="7"/>
      <c r="O91" s="7"/>
      <c r="P91" s="7"/>
      <c r="Q91" s="7"/>
      <c r="R91" s="7"/>
      <c r="T91" s="20">
        <v>20351.225598963283</v>
      </c>
    </row>
    <row r="92" spans="2:20">
      <c r="B92" s="5" t="s">
        <v>148</v>
      </c>
      <c r="C92" s="5" t="s">
        <v>491</v>
      </c>
      <c r="D92" s="5" t="e">
        <v>#REF!</v>
      </c>
      <c r="E92" s="7">
        <v>172.3</v>
      </c>
      <c r="F92" s="7">
        <v>36.5</v>
      </c>
      <c r="G92" s="7">
        <v>13</v>
      </c>
      <c r="H92" s="7">
        <v>35000</v>
      </c>
      <c r="J92" s="7"/>
      <c r="K92" s="7"/>
      <c r="L92" s="7"/>
      <c r="M92" s="7"/>
      <c r="N92" s="7"/>
      <c r="O92" s="7"/>
      <c r="P92" s="7"/>
      <c r="Q92" s="7"/>
      <c r="R92" s="7"/>
      <c r="T92" s="20">
        <v>30478.030471788152</v>
      </c>
    </row>
    <row r="93" spans="2:20">
      <c r="B93" s="5" t="s">
        <v>149</v>
      </c>
      <c r="C93" s="5" t="s">
        <v>491</v>
      </c>
      <c r="D93" s="5" t="e">
        <v>#REF!</v>
      </c>
      <c r="E93" s="7">
        <v>3</v>
      </c>
      <c r="F93" s="7">
        <v>16</v>
      </c>
      <c r="G93" s="7">
        <v>6</v>
      </c>
      <c r="H93" s="7">
        <v>2900</v>
      </c>
      <c r="J93" s="7">
        <v>71.5</v>
      </c>
      <c r="K93" s="7">
        <v>16</v>
      </c>
      <c r="L93" s="7">
        <v>6</v>
      </c>
      <c r="M93" s="7">
        <v>2945</v>
      </c>
      <c r="N93" s="7"/>
      <c r="O93" s="7">
        <v>73</v>
      </c>
      <c r="P93" s="7">
        <v>16</v>
      </c>
      <c r="Q93" s="7">
        <v>8</v>
      </c>
      <c r="R93" s="7">
        <v>2890</v>
      </c>
      <c r="T93" s="20">
        <v>2966.9405766591499</v>
      </c>
    </row>
    <row r="94" spans="2:20">
      <c r="B94" s="3" t="s">
        <v>506</v>
      </c>
      <c r="C94" s="5" t="s">
        <v>491</v>
      </c>
      <c r="D94" s="5" t="e">
        <v>#REF!</v>
      </c>
      <c r="E94" s="14">
        <v>97</v>
      </c>
      <c r="F94" s="14">
        <v>24</v>
      </c>
      <c r="G94" s="14">
        <v>11.5</v>
      </c>
      <c r="H94" s="14">
        <v>7600</v>
      </c>
      <c r="J94" s="14">
        <v>98</v>
      </c>
      <c r="K94" s="14">
        <v>29</v>
      </c>
      <c r="L94" s="14">
        <v>8.5</v>
      </c>
      <c r="M94" s="14">
        <v>6885</v>
      </c>
      <c r="N94" s="14"/>
      <c r="O94" s="14"/>
      <c r="P94" s="14"/>
      <c r="Q94" s="14"/>
      <c r="R94" s="14"/>
      <c r="T94" s="20" t="e">
        <v>#N/A</v>
      </c>
    </row>
    <row r="95" spans="2:20">
      <c r="B95" s="2" t="s">
        <v>161</v>
      </c>
      <c r="C95" s="5" t="s">
        <v>491</v>
      </c>
      <c r="D95" s="5" t="e">
        <v>#REF!</v>
      </c>
      <c r="E95" s="14">
        <v>122</v>
      </c>
      <c r="F95" s="14">
        <v>44</v>
      </c>
      <c r="G95" s="14">
        <v>7.5</v>
      </c>
      <c r="H95" s="14">
        <v>10100</v>
      </c>
      <c r="J95" s="14">
        <v>67</v>
      </c>
      <c r="K95" s="14">
        <v>17</v>
      </c>
      <c r="L95" s="14">
        <v>10</v>
      </c>
      <c r="M95" s="14">
        <v>3350</v>
      </c>
      <c r="N95" s="14"/>
      <c r="O95" s="14"/>
      <c r="P95" s="14"/>
      <c r="Q95" s="14"/>
      <c r="R95" s="14"/>
      <c r="T95" s="20">
        <v>5121.9593215884306</v>
      </c>
    </row>
    <row r="96" spans="2:20">
      <c r="B96" s="5" t="s">
        <v>162</v>
      </c>
      <c r="C96" s="5" t="s">
        <v>491</v>
      </c>
      <c r="D96" s="5" t="e">
        <v>#REF!</v>
      </c>
      <c r="E96" s="7">
        <v>75</v>
      </c>
      <c r="F96" s="7">
        <v>16</v>
      </c>
      <c r="G96" s="7">
        <v>8</v>
      </c>
      <c r="H96" s="7">
        <v>2500</v>
      </c>
      <c r="J96" s="14">
        <v>121</v>
      </c>
      <c r="K96" s="14">
        <v>45</v>
      </c>
      <c r="L96" s="14">
        <v>6</v>
      </c>
      <c r="M96" s="14">
        <v>9760</v>
      </c>
      <c r="N96" s="7"/>
      <c r="O96" s="7">
        <v>75</v>
      </c>
      <c r="P96" s="7">
        <v>16</v>
      </c>
      <c r="Q96" s="7">
        <v>8</v>
      </c>
      <c r="R96" s="7">
        <v>2410</v>
      </c>
      <c r="T96" s="20">
        <v>2484.8231555139287</v>
      </c>
    </row>
    <row r="97" spans="2:20">
      <c r="B97" s="3" t="s">
        <v>163</v>
      </c>
      <c r="C97" s="5" t="s">
        <v>491</v>
      </c>
      <c r="D97" s="5" t="e">
        <v>#REF!</v>
      </c>
      <c r="E97" s="14">
        <v>75</v>
      </c>
      <c r="F97" s="14">
        <v>32.5</v>
      </c>
      <c r="G97" s="14">
        <v>6.5</v>
      </c>
      <c r="H97" s="14">
        <v>3260</v>
      </c>
      <c r="J97" s="7">
        <v>72</v>
      </c>
      <c r="K97" s="7">
        <v>17</v>
      </c>
      <c r="L97" s="7">
        <v>5.5</v>
      </c>
      <c r="M97" s="7">
        <v>2350</v>
      </c>
      <c r="N97" s="14"/>
      <c r="O97" s="14">
        <v>65</v>
      </c>
      <c r="P97" s="14">
        <v>33.5</v>
      </c>
      <c r="Q97" s="14">
        <v>6</v>
      </c>
      <c r="R97" s="14">
        <v>3000</v>
      </c>
      <c r="T97" s="20">
        <v>3496.8242700518708</v>
      </c>
    </row>
    <row r="98" spans="2:20">
      <c r="B98" s="2" t="s">
        <v>164</v>
      </c>
      <c r="C98" s="5" t="s">
        <v>491</v>
      </c>
      <c r="D98" s="5" t="e">
        <v>#REF!</v>
      </c>
      <c r="E98" s="14">
        <v>66</v>
      </c>
      <c r="F98" s="14">
        <v>43.5</v>
      </c>
      <c r="G98" s="14">
        <v>6.5</v>
      </c>
      <c r="H98" s="14">
        <v>5030</v>
      </c>
      <c r="J98" s="14">
        <v>72</v>
      </c>
      <c r="K98" s="14">
        <v>34</v>
      </c>
      <c r="L98" s="14">
        <v>4</v>
      </c>
      <c r="M98" s="14">
        <v>3365</v>
      </c>
      <c r="N98" s="14"/>
      <c r="O98" s="14">
        <v>66</v>
      </c>
      <c r="P98" s="14">
        <v>33</v>
      </c>
      <c r="Q98" s="14">
        <v>8</v>
      </c>
      <c r="R98" s="14">
        <v>4635</v>
      </c>
      <c r="T98" s="20">
        <v>5084.6509277712576</v>
      </c>
    </row>
    <row r="99" spans="2:20">
      <c r="B99" s="2" t="s">
        <v>165</v>
      </c>
      <c r="C99" s="5" t="s">
        <v>491</v>
      </c>
      <c r="D99" s="5" t="e">
        <v>#REF!</v>
      </c>
      <c r="E99" s="14">
        <v>119.5</v>
      </c>
      <c r="F99" s="14">
        <v>26.5</v>
      </c>
      <c r="G99" s="14">
        <v>8</v>
      </c>
      <c r="H99" s="14">
        <v>5030</v>
      </c>
      <c r="J99" s="14">
        <v>65</v>
      </c>
      <c r="K99" s="14">
        <v>35</v>
      </c>
      <c r="L99" s="14">
        <v>5</v>
      </c>
      <c r="M99" s="14">
        <v>4680</v>
      </c>
      <c r="N99" s="14"/>
      <c r="O99" s="14">
        <v>117</v>
      </c>
      <c r="P99" s="14">
        <v>28</v>
      </c>
      <c r="Q99" s="14">
        <v>8</v>
      </c>
      <c r="R99" s="14">
        <v>6315</v>
      </c>
      <c r="T99" s="20">
        <v>6222.4990690991135</v>
      </c>
    </row>
    <row r="100" spans="2:20">
      <c r="B100" s="5" t="s">
        <v>169</v>
      </c>
      <c r="C100" s="5" t="s">
        <v>491</v>
      </c>
      <c r="D100" s="5" t="e">
        <v>#REF!</v>
      </c>
      <c r="E100" s="7">
        <v>144.5</v>
      </c>
      <c r="F100" s="7">
        <v>29</v>
      </c>
      <c r="G100" s="7">
        <v>6.5</v>
      </c>
      <c r="H100" s="7">
        <v>6900</v>
      </c>
      <c r="J100" s="14">
        <v>118</v>
      </c>
      <c r="K100" s="14">
        <v>27</v>
      </c>
      <c r="L100" s="14">
        <v>5</v>
      </c>
      <c r="M100" s="14">
        <v>5875</v>
      </c>
      <c r="N100" s="7"/>
      <c r="O100" s="7">
        <v>145</v>
      </c>
      <c r="P100" s="7">
        <v>29.5</v>
      </c>
      <c r="Q100" s="7">
        <v>6</v>
      </c>
      <c r="R100" s="7">
        <v>7580</v>
      </c>
      <c r="T100" s="20">
        <v>7014.0894197764856</v>
      </c>
    </row>
    <row r="101" spans="2:20">
      <c r="B101" s="3" t="s">
        <v>170</v>
      </c>
      <c r="C101" s="5" t="s">
        <v>491</v>
      </c>
      <c r="D101" s="5" t="e">
        <v>#REF!</v>
      </c>
      <c r="E101" s="14">
        <v>114.5</v>
      </c>
      <c r="F101" s="14">
        <v>19</v>
      </c>
      <c r="G101" s="14">
        <v>9.5</v>
      </c>
      <c r="H101" s="14">
        <v>7500</v>
      </c>
      <c r="J101" s="7">
        <v>143</v>
      </c>
      <c r="K101" s="7">
        <v>30</v>
      </c>
      <c r="L101" s="7">
        <v>4</v>
      </c>
      <c r="M101" s="7">
        <v>7370</v>
      </c>
      <c r="N101" s="14"/>
      <c r="O101" s="14"/>
      <c r="P101" s="14"/>
      <c r="Q101" s="14"/>
      <c r="R101" s="14"/>
      <c r="T101" s="20">
        <v>7537.2811453454087</v>
      </c>
    </row>
    <row r="102" spans="2:20">
      <c r="B102" s="5" t="s">
        <v>173</v>
      </c>
      <c r="C102" s="5" t="s">
        <v>491</v>
      </c>
      <c r="D102" s="5" t="e">
        <v>#REF!</v>
      </c>
      <c r="E102" s="9">
        <v>34</v>
      </c>
      <c r="F102" s="9">
        <v>34</v>
      </c>
      <c r="G102" s="9">
        <v>8</v>
      </c>
      <c r="H102" s="9">
        <v>1170</v>
      </c>
      <c r="J102" s="14">
        <v>143</v>
      </c>
      <c r="K102" s="14">
        <v>20</v>
      </c>
      <c r="L102" s="14">
        <v>7</v>
      </c>
      <c r="M102" s="14">
        <v>7530</v>
      </c>
      <c r="N102" s="9"/>
      <c r="O102" s="9"/>
      <c r="P102" s="9"/>
      <c r="Q102" s="9"/>
      <c r="R102" s="9"/>
      <c r="T102" s="20">
        <v>1049.98164</v>
      </c>
    </row>
    <row r="103" spans="2:20">
      <c r="B103" s="2" t="s">
        <v>481</v>
      </c>
      <c r="C103" s="5" t="s">
        <v>491</v>
      </c>
      <c r="D103" s="5" t="e">
        <v>#REF!</v>
      </c>
      <c r="E103" s="14">
        <v>32.5</v>
      </c>
      <c r="F103" s="14">
        <v>15.5</v>
      </c>
      <c r="G103" s="14">
        <v>6</v>
      </c>
      <c r="H103" s="14">
        <v>260</v>
      </c>
      <c r="J103" s="9">
        <v>33.5</v>
      </c>
      <c r="K103" s="9">
        <v>32.5</v>
      </c>
      <c r="L103" s="9">
        <v>7</v>
      </c>
      <c r="M103" s="9">
        <v>1330</v>
      </c>
      <c r="N103" s="14"/>
      <c r="O103" s="14"/>
      <c r="P103" s="14"/>
      <c r="Q103" s="14"/>
      <c r="R103" s="14"/>
      <c r="T103" s="20">
        <v>512.00044869999999</v>
      </c>
    </row>
    <row r="104" spans="2:20">
      <c r="B104" s="3" t="s">
        <v>448</v>
      </c>
      <c r="C104" s="5" t="s">
        <v>491</v>
      </c>
      <c r="D104" s="5" t="e">
        <v>#REF!</v>
      </c>
      <c r="E104" s="7">
        <v>34</v>
      </c>
      <c r="F104" s="7">
        <v>16</v>
      </c>
      <c r="G104" s="7">
        <v>14</v>
      </c>
      <c r="H104" s="7">
        <v>1000</v>
      </c>
      <c r="J104" s="14"/>
      <c r="K104" s="14"/>
      <c r="L104" s="14"/>
      <c r="M104" s="14"/>
      <c r="N104" s="6"/>
      <c r="O104" s="6"/>
      <c r="P104" s="6"/>
      <c r="Q104" s="6"/>
      <c r="R104" s="6"/>
      <c r="T104" s="20">
        <v>772.18056999999976</v>
      </c>
    </row>
    <row r="105" spans="2:20">
      <c r="B105" s="5" t="s">
        <v>177</v>
      </c>
      <c r="C105" s="5" t="s">
        <v>491</v>
      </c>
      <c r="D105" s="5" t="e">
        <v>#REF!</v>
      </c>
      <c r="E105" s="7">
        <v>22</v>
      </c>
      <c r="F105" s="7">
        <v>17</v>
      </c>
      <c r="G105" s="7">
        <v>12</v>
      </c>
      <c r="H105" s="7">
        <v>980</v>
      </c>
      <c r="J105" s="7">
        <v>37</v>
      </c>
      <c r="K105" s="7">
        <v>14</v>
      </c>
      <c r="L105" s="7">
        <v>13</v>
      </c>
      <c r="M105" s="7">
        <v>1450</v>
      </c>
      <c r="N105" s="7"/>
      <c r="O105" s="7">
        <v>22</v>
      </c>
      <c r="P105" s="7">
        <v>18</v>
      </c>
      <c r="Q105" s="7">
        <v>12</v>
      </c>
      <c r="R105" s="7">
        <v>980</v>
      </c>
      <c r="T105" s="20">
        <v>618.45931428571441</v>
      </c>
    </row>
    <row r="106" spans="2:20">
      <c r="B106" s="11" t="s">
        <v>181</v>
      </c>
      <c r="C106" s="5" t="s">
        <v>491</v>
      </c>
      <c r="D106" s="5" t="e">
        <v>#REF!</v>
      </c>
      <c r="E106" s="14">
        <v>58</v>
      </c>
      <c r="F106" s="14">
        <v>17.2</v>
      </c>
      <c r="G106" s="14">
        <v>6.3</v>
      </c>
      <c r="H106" s="14">
        <v>1300</v>
      </c>
      <c r="J106" s="7">
        <v>22</v>
      </c>
      <c r="K106" s="7">
        <v>17</v>
      </c>
      <c r="L106" s="7">
        <v>12</v>
      </c>
      <c r="M106" s="7">
        <v>980</v>
      </c>
      <c r="N106" s="14"/>
      <c r="O106" s="14"/>
      <c r="P106" s="14"/>
      <c r="Q106" s="14"/>
      <c r="R106" s="14"/>
      <c r="T106" s="20">
        <v>1708.8352659072107</v>
      </c>
    </row>
    <row r="107" spans="2:20">
      <c r="B107" s="5" t="s">
        <v>182</v>
      </c>
      <c r="C107" s="5" t="s">
        <v>491</v>
      </c>
      <c r="D107" s="5" t="e">
        <v>#REF!</v>
      </c>
      <c r="E107" s="7">
        <v>112</v>
      </c>
      <c r="F107" s="7">
        <v>16</v>
      </c>
      <c r="G107" s="7">
        <v>6</v>
      </c>
      <c r="H107" s="7">
        <v>3210</v>
      </c>
      <c r="J107" s="14">
        <v>61</v>
      </c>
      <c r="K107" s="14">
        <v>17</v>
      </c>
      <c r="L107" s="14">
        <v>6</v>
      </c>
      <c r="M107" s="14">
        <v>1520</v>
      </c>
      <c r="N107" s="7"/>
      <c r="O107" s="7">
        <v>112</v>
      </c>
      <c r="P107" s="7">
        <v>17</v>
      </c>
      <c r="Q107" s="7">
        <v>6</v>
      </c>
      <c r="R107" s="7">
        <v>3110</v>
      </c>
      <c r="T107" s="20">
        <v>3168.5477091080802</v>
      </c>
    </row>
    <row r="108" spans="2:20">
      <c r="B108" s="5" t="s">
        <v>449</v>
      </c>
      <c r="C108" s="5" t="s">
        <v>491</v>
      </c>
      <c r="D108" s="5" t="e">
        <v>#REF!</v>
      </c>
      <c r="E108" s="7">
        <v>52</v>
      </c>
      <c r="F108" s="7">
        <v>37</v>
      </c>
      <c r="G108" s="7">
        <v>21</v>
      </c>
      <c r="H108" s="7">
        <v>13900</v>
      </c>
      <c r="J108" s="7">
        <v>109</v>
      </c>
      <c r="K108" s="7">
        <v>17</v>
      </c>
      <c r="L108" s="7">
        <v>4</v>
      </c>
      <c r="M108" s="7">
        <v>3600</v>
      </c>
      <c r="N108" s="7"/>
      <c r="O108" s="7">
        <v>53</v>
      </c>
      <c r="P108" s="7">
        <v>37</v>
      </c>
      <c r="Q108" s="7">
        <v>21</v>
      </c>
      <c r="R108" s="7">
        <v>13130</v>
      </c>
      <c r="T108" s="20">
        <v>12552.381661439998</v>
      </c>
    </row>
    <row r="109" spans="2:20">
      <c r="B109" s="5" t="s">
        <v>450</v>
      </c>
      <c r="C109" s="5" t="s">
        <v>491</v>
      </c>
      <c r="D109" s="5" t="e">
        <v>#REF!</v>
      </c>
      <c r="E109" s="7">
        <v>42</v>
      </c>
      <c r="F109" s="7">
        <v>34</v>
      </c>
      <c r="G109" s="7">
        <v>10</v>
      </c>
      <c r="H109" s="7">
        <v>4100</v>
      </c>
      <c r="J109" s="7"/>
      <c r="K109" s="7"/>
      <c r="L109" s="7"/>
      <c r="M109" s="7"/>
      <c r="N109" s="7"/>
      <c r="O109" s="7">
        <v>42</v>
      </c>
      <c r="P109" s="7">
        <v>34</v>
      </c>
      <c r="Q109" s="7">
        <v>9.5</v>
      </c>
      <c r="R109" s="7">
        <v>4115</v>
      </c>
      <c r="T109" s="20">
        <v>4104.5052277068289</v>
      </c>
    </row>
    <row r="110" spans="2:20">
      <c r="B110" s="5" t="s">
        <v>451</v>
      </c>
      <c r="C110" s="5" t="s">
        <v>491</v>
      </c>
      <c r="D110" s="5" t="e">
        <v>#REF!</v>
      </c>
      <c r="E110" s="7">
        <v>41.5</v>
      </c>
      <c r="F110" s="7">
        <v>27</v>
      </c>
      <c r="G110" s="7">
        <v>10</v>
      </c>
      <c r="H110" s="7">
        <v>2600</v>
      </c>
      <c r="J110" s="7">
        <v>42</v>
      </c>
      <c r="K110" s="7">
        <v>33</v>
      </c>
      <c r="L110" s="7">
        <v>8</v>
      </c>
      <c r="M110" s="7">
        <v>3510</v>
      </c>
      <c r="N110" s="7"/>
      <c r="O110" s="7"/>
      <c r="P110" s="7"/>
      <c r="Q110" s="7"/>
      <c r="R110" s="7"/>
      <c r="T110" s="20">
        <v>2744.1010537713951</v>
      </c>
    </row>
    <row r="111" spans="2:20">
      <c r="B111" s="5" t="s">
        <v>183</v>
      </c>
      <c r="C111" s="5" t="s">
        <v>491</v>
      </c>
      <c r="D111" s="5" t="e">
        <v>#REF!</v>
      </c>
      <c r="E111" s="7">
        <v>59</v>
      </c>
      <c r="F111" s="7">
        <v>49</v>
      </c>
      <c r="G111" s="7">
        <v>8.5</v>
      </c>
      <c r="H111" s="7">
        <v>3300</v>
      </c>
      <c r="J111" s="7">
        <v>41</v>
      </c>
      <c r="K111" s="7">
        <v>27</v>
      </c>
      <c r="L111" s="7">
        <v>8</v>
      </c>
      <c r="M111" s="7">
        <v>2360</v>
      </c>
      <c r="N111" s="7"/>
      <c r="O111" s="7">
        <v>59</v>
      </c>
      <c r="P111" s="7">
        <v>49</v>
      </c>
      <c r="Q111" s="7">
        <v>8</v>
      </c>
      <c r="R111" s="7">
        <v>3140</v>
      </c>
      <c r="T111" s="20">
        <v>2891.6537899999994</v>
      </c>
    </row>
    <row r="112" spans="2:20">
      <c r="B112" s="5" t="s">
        <v>452</v>
      </c>
      <c r="C112" s="5" t="s">
        <v>491</v>
      </c>
      <c r="D112" s="5" t="e">
        <v>#REF!</v>
      </c>
      <c r="E112" s="7">
        <v>73</v>
      </c>
      <c r="F112" s="7">
        <v>64</v>
      </c>
      <c r="G112" s="7">
        <v>9</v>
      </c>
      <c r="H112" s="7">
        <v>5500</v>
      </c>
      <c r="J112" s="7"/>
      <c r="K112" s="7"/>
      <c r="L112" s="7"/>
      <c r="M112" s="7"/>
      <c r="N112" s="7"/>
      <c r="O112" s="7">
        <v>74</v>
      </c>
      <c r="P112" s="7">
        <v>63</v>
      </c>
      <c r="Q112" s="7">
        <v>10</v>
      </c>
      <c r="R112" s="7">
        <v>5290</v>
      </c>
      <c r="T112" s="20">
        <v>4612.6009600000007</v>
      </c>
    </row>
    <row r="113" spans="2:20">
      <c r="B113" s="5" t="s">
        <v>184</v>
      </c>
      <c r="C113" s="5" t="s">
        <v>491</v>
      </c>
      <c r="D113" s="5" t="e">
        <v>#REF!</v>
      </c>
      <c r="E113" s="7">
        <v>51</v>
      </c>
      <c r="F113" s="7">
        <v>29</v>
      </c>
      <c r="G113" s="7">
        <v>8.5</v>
      </c>
      <c r="H113" s="7">
        <v>1800</v>
      </c>
      <c r="J113" s="7"/>
      <c r="K113" s="7"/>
      <c r="L113" s="7"/>
      <c r="M113" s="7"/>
      <c r="N113" s="7"/>
      <c r="O113" s="7">
        <v>51</v>
      </c>
      <c r="P113" s="7">
        <v>28</v>
      </c>
      <c r="Q113" s="7">
        <v>8</v>
      </c>
      <c r="R113" s="7">
        <v>1665</v>
      </c>
      <c r="T113" s="20">
        <v>1621.6566499999999</v>
      </c>
    </row>
    <row r="114" spans="2:20">
      <c r="B114" s="5" t="s">
        <v>185</v>
      </c>
      <c r="C114" s="5" t="s">
        <v>491</v>
      </c>
      <c r="D114" s="5" t="e">
        <v>#REF!</v>
      </c>
      <c r="E114" s="7">
        <v>26.5</v>
      </c>
      <c r="F114" s="7">
        <v>26.5</v>
      </c>
      <c r="G114" s="7">
        <v>19.5</v>
      </c>
      <c r="H114" s="7">
        <v>2900</v>
      </c>
      <c r="J114" s="7">
        <v>49</v>
      </c>
      <c r="K114" s="7">
        <v>29</v>
      </c>
      <c r="L114" s="7">
        <v>9</v>
      </c>
      <c r="M114" s="7">
        <v>1595</v>
      </c>
      <c r="N114" s="7"/>
      <c r="O114" s="7">
        <v>26</v>
      </c>
      <c r="P114" s="7">
        <v>26</v>
      </c>
      <c r="Q114" s="7">
        <v>19.5</v>
      </c>
      <c r="R114" s="7">
        <v>2900</v>
      </c>
      <c r="T114" s="20">
        <v>2835.1727131333332</v>
      </c>
    </row>
    <row r="115" spans="2:20">
      <c r="B115" s="5" t="s">
        <v>186</v>
      </c>
      <c r="C115" s="5" t="s">
        <v>491</v>
      </c>
      <c r="D115" s="5" t="e">
        <v>#REF!</v>
      </c>
      <c r="E115" s="7">
        <v>26.5</v>
      </c>
      <c r="F115" s="7">
        <v>26.5</v>
      </c>
      <c r="G115" s="7">
        <v>26.5</v>
      </c>
      <c r="H115" s="7">
        <v>4450</v>
      </c>
      <c r="J115" s="7"/>
      <c r="K115" s="7"/>
      <c r="L115" s="7"/>
      <c r="M115" s="7"/>
      <c r="N115" s="7"/>
      <c r="O115" s="7">
        <v>26</v>
      </c>
      <c r="P115" s="7">
        <v>26</v>
      </c>
      <c r="Q115" s="7">
        <v>25.5</v>
      </c>
      <c r="R115" s="7">
        <v>4415</v>
      </c>
      <c r="T115" s="20">
        <v>4297.0637367000008</v>
      </c>
    </row>
    <row r="116" spans="2:20">
      <c r="B116" s="11" t="s">
        <v>507</v>
      </c>
      <c r="C116" s="5" t="s">
        <v>491</v>
      </c>
      <c r="D116" s="5" t="e">
        <v>#REF!</v>
      </c>
      <c r="E116" s="14">
        <v>54</v>
      </c>
      <c r="F116" s="14">
        <v>33</v>
      </c>
      <c r="G116" s="14">
        <v>8</v>
      </c>
      <c r="H116" s="14">
        <v>4200</v>
      </c>
      <c r="J116" s="7"/>
      <c r="K116" s="7"/>
      <c r="L116" s="7"/>
      <c r="M116" s="7"/>
      <c r="N116" s="12"/>
      <c r="O116" s="12"/>
      <c r="P116" s="12"/>
      <c r="Q116" s="12"/>
      <c r="R116" s="12"/>
      <c r="T116" s="20">
        <v>4170.4286863999987</v>
      </c>
    </row>
    <row r="117" spans="2:20">
      <c r="B117" s="2" t="s">
        <v>508</v>
      </c>
      <c r="C117" s="5" t="s">
        <v>491</v>
      </c>
      <c r="D117" s="5" t="e">
        <v>#REF!</v>
      </c>
      <c r="E117" s="14">
        <v>67</v>
      </c>
      <c r="F117" s="14">
        <v>33</v>
      </c>
      <c r="G117" s="14">
        <v>9</v>
      </c>
      <c r="H117" s="14">
        <v>7300</v>
      </c>
      <c r="J117" s="14"/>
      <c r="K117" s="14"/>
      <c r="L117" s="14"/>
      <c r="M117" s="14"/>
      <c r="N117" s="12"/>
      <c r="O117" s="12"/>
      <c r="P117" s="12"/>
      <c r="Q117" s="12"/>
      <c r="R117" s="12"/>
      <c r="T117" s="20">
        <v>7177.0196840000008</v>
      </c>
    </row>
    <row r="118" spans="2:20">
      <c r="B118" s="5" t="s">
        <v>453</v>
      </c>
      <c r="C118" s="5" t="s">
        <v>491</v>
      </c>
      <c r="D118" s="5" t="e">
        <v>#REF!</v>
      </c>
      <c r="E118" s="7">
        <v>67</v>
      </c>
      <c r="F118" s="7">
        <v>33.5</v>
      </c>
      <c r="G118" s="7">
        <v>9</v>
      </c>
      <c r="H118" s="7">
        <v>6700</v>
      </c>
      <c r="J118" s="14"/>
      <c r="K118" s="14"/>
      <c r="L118" s="14"/>
      <c r="M118" s="14"/>
      <c r="N118" s="7"/>
      <c r="O118" s="7">
        <v>66</v>
      </c>
      <c r="P118" s="7">
        <v>33</v>
      </c>
      <c r="Q118" s="7">
        <v>8</v>
      </c>
      <c r="R118" s="7">
        <v>6280</v>
      </c>
      <c r="T118" s="20">
        <v>5942.4572453015699</v>
      </c>
    </row>
    <row r="119" spans="2:20">
      <c r="B119" s="5" t="s">
        <v>454</v>
      </c>
      <c r="C119" s="5" t="s">
        <v>491</v>
      </c>
      <c r="D119" s="5" t="e">
        <v>#REF!</v>
      </c>
      <c r="E119" s="7">
        <v>82</v>
      </c>
      <c r="F119" s="7">
        <v>36.5</v>
      </c>
      <c r="G119" s="7">
        <v>15</v>
      </c>
      <c r="H119" s="7">
        <v>18200</v>
      </c>
      <c r="J119" s="7"/>
      <c r="K119" s="7"/>
      <c r="L119" s="7"/>
      <c r="M119" s="7"/>
      <c r="N119" s="7"/>
      <c r="O119" s="7">
        <v>82</v>
      </c>
      <c r="P119" s="7">
        <v>36</v>
      </c>
      <c r="Q119" s="7">
        <v>15</v>
      </c>
      <c r="R119" s="7">
        <v>18450</v>
      </c>
      <c r="T119" s="20">
        <v>15946.434840399999</v>
      </c>
    </row>
    <row r="120" spans="2:20">
      <c r="B120" s="3" t="s">
        <v>455</v>
      </c>
      <c r="C120" s="5" t="s">
        <v>491</v>
      </c>
      <c r="D120" s="5" t="e">
        <v>#REF!</v>
      </c>
      <c r="E120" s="14">
        <v>44</v>
      </c>
      <c r="F120" s="14">
        <v>16.5</v>
      </c>
      <c r="G120" s="14">
        <v>5</v>
      </c>
      <c r="H120" s="23">
        <v>960</v>
      </c>
      <c r="J120" s="7"/>
      <c r="K120" s="7"/>
      <c r="L120" s="7"/>
      <c r="M120" s="7"/>
      <c r="N120" s="15"/>
      <c r="O120" s="14"/>
      <c r="P120" s="14"/>
      <c r="Q120" s="14"/>
      <c r="R120" s="15"/>
      <c r="T120" s="20">
        <v>1112.9394365942974</v>
      </c>
    </row>
    <row r="121" spans="2:20">
      <c r="B121" s="5" t="s">
        <v>200</v>
      </c>
      <c r="C121" s="5" t="s">
        <v>491</v>
      </c>
      <c r="D121" s="5" t="e">
        <v>#REF!</v>
      </c>
      <c r="E121" s="7">
        <v>67</v>
      </c>
      <c r="F121" s="7">
        <v>16</v>
      </c>
      <c r="G121" s="7">
        <v>12.5</v>
      </c>
      <c r="H121" s="7">
        <v>3900</v>
      </c>
      <c r="J121" s="14">
        <v>45</v>
      </c>
      <c r="K121" s="14">
        <v>17</v>
      </c>
      <c r="L121" s="14">
        <v>4.5</v>
      </c>
      <c r="M121" s="23">
        <v>1190</v>
      </c>
      <c r="N121" s="7"/>
      <c r="O121" s="7">
        <v>67</v>
      </c>
      <c r="P121" s="7">
        <v>16</v>
      </c>
      <c r="Q121" s="7">
        <v>11.5</v>
      </c>
      <c r="R121" s="7">
        <v>3.76</v>
      </c>
      <c r="T121" s="20">
        <v>3861.7091008324273</v>
      </c>
    </row>
    <row r="122" spans="2:20">
      <c r="B122" s="5" t="s">
        <v>201</v>
      </c>
      <c r="C122" s="5" t="s">
        <v>491</v>
      </c>
      <c r="D122" s="5" t="e">
        <v>#REF!</v>
      </c>
      <c r="E122" s="7">
        <v>32</v>
      </c>
      <c r="F122" s="7">
        <v>32</v>
      </c>
      <c r="G122" s="7">
        <v>11</v>
      </c>
      <c r="H122" s="7">
        <v>1800</v>
      </c>
      <c r="J122" s="7">
        <v>67</v>
      </c>
      <c r="K122" s="7">
        <v>16</v>
      </c>
      <c r="L122" s="7">
        <v>10</v>
      </c>
      <c r="M122" s="7">
        <v>3405</v>
      </c>
      <c r="N122" s="7"/>
      <c r="O122" s="7">
        <v>32</v>
      </c>
      <c r="P122" s="7">
        <v>32</v>
      </c>
      <c r="Q122" s="7">
        <v>6.5</v>
      </c>
      <c r="R122" s="7">
        <v>1190</v>
      </c>
      <c r="T122" s="20">
        <v>1760.2630159999997</v>
      </c>
    </row>
    <row r="123" spans="2:20">
      <c r="B123" s="2" t="s">
        <v>456</v>
      </c>
      <c r="C123" s="5" t="s">
        <v>491</v>
      </c>
      <c r="D123" s="5" t="e">
        <v>#REF!</v>
      </c>
      <c r="E123" s="14">
        <v>44</v>
      </c>
      <c r="F123" s="14">
        <v>16.5</v>
      </c>
      <c r="G123" s="14">
        <v>7</v>
      </c>
      <c r="H123" s="14">
        <v>2200</v>
      </c>
      <c r="J123" s="7">
        <v>32</v>
      </c>
      <c r="K123" s="7">
        <v>29</v>
      </c>
      <c r="L123" s="7">
        <v>12</v>
      </c>
      <c r="M123" s="7">
        <v>2290</v>
      </c>
      <c r="N123" s="14"/>
      <c r="O123" s="14">
        <v>44</v>
      </c>
      <c r="P123" s="14">
        <v>16</v>
      </c>
      <c r="Q123" s="14">
        <v>7.5</v>
      </c>
      <c r="R123" s="14">
        <v>1540</v>
      </c>
      <c r="T123" s="20">
        <v>1586.6481568429865</v>
      </c>
    </row>
    <row r="124" spans="2:20">
      <c r="B124" s="2" t="s">
        <v>202</v>
      </c>
      <c r="C124" s="5" t="s">
        <v>491</v>
      </c>
      <c r="D124" s="5" t="e">
        <v>#REF!</v>
      </c>
      <c r="E124" s="14">
        <v>47</v>
      </c>
      <c r="F124" s="14">
        <v>24</v>
      </c>
      <c r="G124" s="14">
        <v>7.5</v>
      </c>
      <c r="H124" s="14">
        <v>3700</v>
      </c>
      <c r="J124" s="14">
        <v>44</v>
      </c>
      <c r="K124" s="14">
        <v>16</v>
      </c>
      <c r="L124" s="14">
        <v>7</v>
      </c>
      <c r="M124" s="14">
        <v>1350</v>
      </c>
      <c r="N124" s="14"/>
      <c r="O124" s="14"/>
      <c r="P124" s="14"/>
      <c r="Q124" s="14"/>
      <c r="R124" s="14"/>
      <c r="T124" s="20">
        <v>3285.4076764370848</v>
      </c>
    </row>
    <row r="125" spans="2:20">
      <c r="B125" s="5" t="s">
        <v>209</v>
      </c>
      <c r="C125" s="5" t="s">
        <v>491</v>
      </c>
      <c r="D125" s="5" t="e">
        <v>#REF!</v>
      </c>
      <c r="E125" s="7">
        <v>34</v>
      </c>
      <c r="F125" s="7">
        <v>33</v>
      </c>
      <c r="G125" s="7">
        <v>6.5</v>
      </c>
      <c r="H125" s="7">
        <v>1400</v>
      </c>
      <c r="J125" s="14">
        <v>86.5</v>
      </c>
      <c r="K125" s="14">
        <v>16</v>
      </c>
      <c r="L125" s="14">
        <v>6</v>
      </c>
      <c r="M125" s="14">
        <v>3270</v>
      </c>
      <c r="N125" s="7"/>
      <c r="O125" s="7">
        <v>34</v>
      </c>
      <c r="P125" s="7">
        <v>32</v>
      </c>
      <c r="Q125" s="7">
        <v>6.5</v>
      </c>
      <c r="R125" s="7">
        <v>1190</v>
      </c>
      <c r="T125" s="20">
        <v>1501.8444999999999</v>
      </c>
    </row>
    <row r="126" spans="2:20">
      <c r="B126" s="5" t="s">
        <v>210</v>
      </c>
      <c r="C126" s="5" t="s">
        <v>491</v>
      </c>
      <c r="D126" s="5" t="e">
        <v>#REF!</v>
      </c>
      <c r="E126" s="7">
        <v>28</v>
      </c>
      <c r="F126" s="7">
        <v>26</v>
      </c>
      <c r="G126" s="7">
        <v>4.5</v>
      </c>
      <c r="H126" s="7">
        <v>825</v>
      </c>
      <c r="J126" s="7">
        <v>34</v>
      </c>
      <c r="K126" s="7">
        <v>32</v>
      </c>
      <c r="L126" s="7">
        <v>6</v>
      </c>
      <c r="M126" s="7">
        <v>1345</v>
      </c>
      <c r="N126" s="7"/>
      <c r="O126" s="7">
        <v>29</v>
      </c>
      <c r="P126" s="7">
        <v>26</v>
      </c>
      <c r="Q126" s="7">
        <v>4</v>
      </c>
      <c r="R126" s="7">
        <v>780</v>
      </c>
      <c r="T126" s="20">
        <v>1107.9613559322036</v>
      </c>
    </row>
    <row r="127" spans="2:20">
      <c r="B127" s="5" t="s">
        <v>509</v>
      </c>
      <c r="C127" s="5" t="s">
        <v>491</v>
      </c>
      <c r="D127" s="5" t="e">
        <v>#REF!</v>
      </c>
      <c r="E127" s="7">
        <v>32.5</v>
      </c>
      <c r="F127" s="7">
        <v>34.5</v>
      </c>
      <c r="G127" s="7">
        <v>6.5</v>
      </c>
      <c r="H127" s="7">
        <v>1300</v>
      </c>
      <c r="J127" s="7">
        <v>25</v>
      </c>
      <c r="K127" s="7">
        <v>22</v>
      </c>
      <c r="L127" s="7">
        <v>4.5</v>
      </c>
      <c r="M127" s="7">
        <v>875</v>
      </c>
      <c r="N127" s="7"/>
      <c r="O127" s="7">
        <v>34</v>
      </c>
      <c r="P127" s="7">
        <v>32</v>
      </c>
      <c r="Q127" s="7">
        <v>6.5</v>
      </c>
      <c r="R127" s="7">
        <v>1250</v>
      </c>
      <c r="T127" s="20" t="e">
        <v>#N/A</v>
      </c>
    </row>
    <row r="128" spans="2:20">
      <c r="B128" s="5" t="s">
        <v>219</v>
      </c>
      <c r="C128" s="5" t="s">
        <v>491</v>
      </c>
      <c r="D128" s="5" t="e">
        <v>#REF!</v>
      </c>
      <c r="E128" s="7">
        <v>87</v>
      </c>
      <c r="F128" s="7">
        <v>57</v>
      </c>
      <c r="G128" s="7">
        <v>6.5</v>
      </c>
      <c r="H128" s="7">
        <v>6800</v>
      </c>
      <c r="J128" s="7"/>
      <c r="K128" s="7"/>
      <c r="L128" s="7"/>
      <c r="M128" s="7"/>
      <c r="N128" s="7"/>
      <c r="O128" s="7">
        <v>87</v>
      </c>
      <c r="P128" s="7">
        <v>57</v>
      </c>
      <c r="Q128" s="7">
        <v>6.5</v>
      </c>
      <c r="R128" s="7">
        <v>6840</v>
      </c>
      <c r="T128" s="20">
        <v>7103.9556637976366</v>
      </c>
    </row>
    <row r="129" spans="2:20">
      <c r="B129" s="5" t="s">
        <v>220</v>
      </c>
      <c r="C129" s="5" t="s">
        <v>491</v>
      </c>
      <c r="D129" s="5" t="e">
        <v>#REF!</v>
      </c>
      <c r="E129" s="7">
        <v>87</v>
      </c>
      <c r="F129" s="7">
        <v>67</v>
      </c>
      <c r="G129" s="7">
        <v>9</v>
      </c>
      <c r="H129" s="7">
        <v>9600</v>
      </c>
      <c r="J129" s="7"/>
      <c r="K129" s="7"/>
      <c r="L129" s="7"/>
      <c r="M129" s="7"/>
      <c r="N129" s="7"/>
      <c r="O129" s="7"/>
      <c r="P129" s="7"/>
      <c r="Q129" s="7"/>
      <c r="R129" s="7"/>
      <c r="T129" s="20">
        <v>9860.9880923182245</v>
      </c>
    </row>
    <row r="130" spans="2:20">
      <c r="B130" s="5" t="s">
        <v>457</v>
      </c>
      <c r="C130" s="5" t="s">
        <v>491</v>
      </c>
      <c r="D130" s="5" t="e">
        <v>#REF!</v>
      </c>
      <c r="E130" s="7">
        <v>47</v>
      </c>
      <c r="F130" s="7">
        <v>15</v>
      </c>
      <c r="G130" s="7">
        <v>6</v>
      </c>
      <c r="H130" s="7">
        <v>860</v>
      </c>
      <c r="J130" s="7"/>
      <c r="K130" s="7"/>
      <c r="L130" s="7"/>
      <c r="M130" s="7"/>
      <c r="N130" s="7"/>
      <c r="O130" s="7">
        <v>43</v>
      </c>
      <c r="P130" s="7">
        <v>15</v>
      </c>
      <c r="Q130" s="7">
        <v>6</v>
      </c>
      <c r="R130" s="7">
        <v>680</v>
      </c>
      <c r="T130" s="20">
        <v>792.57928864084033</v>
      </c>
    </row>
    <row r="131" spans="2:20">
      <c r="B131" s="5" t="s">
        <v>458</v>
      </c>
      <c r="C131" s="5" t="s">
        <v>491</v>
      </c>
      <c r="D131" s="5" t="e">
        <v>#REF!</v>
      </c>
      <c r="E131" s="7">
        <v>57</v>
      </c>
      <c r="F131" s="7">
        <v>15</v>
      </c>
      <c r="G131" s="7">
        <v>6</v>
      </c>
      <c r="H131" s="7">
        <v>940</v>
      </c>
      <c r="J131" s="7">
        <v>35</v>
      </c>
      <c r="K131" s="7">
        <v>14</v>
      </c>
      <c r="L131" s="7">
        <v>5</v>
      </c>
      <c r="M131" s="7">
        <v>660</v>
      </c>
      <c r="N131" s="7"/>
      <c r="O131" s="7">
        <v>53</v>
      </c>
      <c r="P131" s="7">
        <v>15</v>
      </c>
      <c r="Q131" s="7">
        <v>6</v>
      </c>
      <c r="R131" s="7">
        <v>860</v>
      </c>
      <c r="T131" s="20">
        <v>1013.8949300087189</v>
      </c>
    </row>
    <row r="132" spans="2:20">
      <c r="B132" s="5" t="s">
        <v>459</v>
      </c>
      <c r="C132" s="5" t="s">
        <v>491</v>
      </c>
      <c r="D132" s="5" t="e">
        <v>#REF!</v>
      </c>
      <c r="E132" s="7">
        <v>67</v>
      </c>
      <c r="F132" s="7">
        <v>15</v>
      </c>
      <c r="G132" s="7">
        <v>6</v>
      </c>
      <c r="H132" s="7">
        <v>1200</v>
      </c>
      <c r="J132" s="7"/>
      <c r="K132" s="7"/>
      <c r="L132" s="7"/>
      <c r="M132" s="7"/>
      <c r="N132" s="7"/>
      <c r="O132" s="7">
        <v>63</v>
      </c>
      <c r="P132" s="7">
        <v>15</v>
      </c>
      <c r="Q132" s="7">
        <v>6</v>
      </c>
      <c r="R132" s="7">
        <v>1110</v>
      </c>
      <c r="T132" s="20">
        <v>1233.9521713765971</v>
      </c>
    </row>
    <row r="133" spans="2:20">
      <c r="B133" s="5" t="s">
        <v>460</v>
      </c>
      <c r="C133" s="5" t="s">
        <v>491</v>
      </c>
      <c r="D133" s="5" t="e">
        <v>#REF!</v>
      </c>
      <c r="E133" s="7">
        <v>37</v>
      </c>
      <c r="F133" s="7">
        <v>15</v>
      </c>
      <c r="G133" s="7">
        <v>6</v>
      </c>
      <c r="H133" s="7">
        <v>830</v>
      </c>
      <c r="J133" s="7"/>
      <c r="K133" s="7"/>
      <c r="L133" s="7"/>
      <c r="M133" s="7"/>
      <c r="N133" s="7"/>
      <c r="O133" s="7">
        <v>33</v>
      </c>
      <c r="P133" s="7">
        <v>15</v>
      </c>
      <c r="Q133" s="7">
        <v>6</v>
      </c>
      <c r="R133" s="7">
        <v>790</v>
      </c>
      <c r="T133" s="20">
        <v>673.15680000000009</v>
      </c>
    </row>
    <row r="134" spans="2:20">
      <c r="B134" s="5" t="s">
        <v>226</v>
      </c>
      <c r="C134" s="5" t="s">
        <v>491</v>
      </c>
      <c r="D134" s="5" t="e">
        <v>#REF!</v>
      </c>
      <c r="E134" s="7">
        <v>67</v>
      </c>
      <c r="F134" s="7">
        <v>15</v>
      </c>
      <c r="G134" s="7">
        <v>7</v>
      </c>
      <c r="H134" s="7">
        <v>1700</v>
      </c>
      <c r="J134" s="7">
        <v>26</v>
      </c>
      <c r="K134" s="7">
        <v>15</v>
      </c>
      <c r="L134" s="7">
        <v>6</v>
      </c>
      <c r="M134" s="7">
        <v>650</v>
      </c>
      <c r="N134" s="7"/>
      <c r="O134" s="7">
        <v>62</v>
      </c>
      <c r="P134" s="7">
        <v>15</v>
      </c>
      <c r="Q134" s="7">
        <v>6</v>
      </c>
      <c r="R134" s="7">
        <v>1490</v>
      </c>
      <c r="T134" s="20">
        <v>1621.1498874804906</v>
      </c>
    </row>
    <row r="135" spans="2:20">
      <c r="B135" s="5" t="s">
        <v>510</v>
      </c>
      <c r="C135" s="5" t="s">
        <v>491</v>
      </c>
      <c r="D135" s="5" t="e">
        <v>#REF!</v>
      </c>
      <c r="E135" s="7">
        <v>47</v>
      </c>
      <c r="F135" s="7">
        <v>18</v>
      </c>
      <c r="G135" s="7">
        <v>6</v>
      </c>
      <c r="H135" s="7">
        <v>970</v>
      </c>
      <c r="J135" s="7">
        <v>63</v>
      </c>
      <c r="K135" s="7">
        <v>15</v>
      </c>
      <c r="L135" s="7">
        <v>6</v>
      </c>
      <c r="M135" s="7">
        <v>1455</v>
      </c>
      <c r="N135" s="7"/>
      <c r="O135" s="7">
        <v>44</v>
      </c>
      <c r="P135" s="7">
        <v>18</v>
      </c>
      <c r="Q135" s="7">
        <v>6</v>
      </c>
      <c r="R135" s="7">
        <v>970</v>
      </c>
      <c r="T135" s="20">
        <v>786.15479999999991</v>
      </c>
    </row>
    <row r="136" spans="2:20">
      <c r="B136" s="5" t="s">
        <v>511</v>
      </c>
      <c r="C136" s="5" t="s">
        <v>491</v>
      </c>
      <c r="D136" s="5" t="e">
        <v>#REF!</v>
      </c>
      <c r="E136" s="7">
        <v>57</v>
      </c>
      <c r="F136" s="7">
        <v>18</v>
      </c>
      <c r="G136" s="7">
        <v>6</v>
      </c>
      <c r="H136" s="7">
        <v>1200</v>
      </c>
      <c r="J136" s="7"/>
      <c r="K136" s="7"/>
      <c r="L136" s="7"/>
      <c r="M136" s="7"/>
      <c r="N136" s="7"/>
      <c r="O136" s="7">
        <v>53</v>
      </c>
      <c r="P136" s="7">
        <v>18</v>
      </c>
      <c r="Q136" s="7">
        <v>6</v>
      </c>
      <c r="R136" s="7">
        <v>1165</v>
      </c>
      <c r="T136" s="20">
        <v>1023.8228</v>
      </c>
    </row>
    <row r="137" spans="2:20">
      <c r="B137" s="5" t="s">
        <v>512</v>
      </c>
      <c r="C137" s="5" t="s">
        <v>491</v>
      </c>
      <c r="D137" s="5" t="e">
        <v>#REF!</v>
      </c>
      <c r="E137" s="7">
        <v>63</v>
      </c>
      <c r="F137" s="7">
        <v>15</v>
      </c>
      <c r="G137" s="7">
        <v>6</v>
      </c>
      <c r="H137" s="7">
        <v>1500</v>
      </c>
      <c r="J137" s="7"/>
      <c r="K137" s="7"/>
      <c r="L137" s="7"/>
      <c r="M137" s="7"/>
      <c r="N137" s="7"/>
      <c r="O137" s="7">
        <v>64</v>
      </c>
      <c r="P137" s="7">
        <v>19</v>
      </c>
      <c r="Q137" s="7">
        <v>5.5</v>
      </c>
      <c r="R137" s="7">
        <v>1455</v>
      </c>
      <c r="T137" s="20">
        <v>1256.5539999999996</v>
      </c>
    </row>
    <row r="138" spans="2:20">
      <c r="B138" s="5" t="s">
        <v>513</v>
      </c>
      <c r="C138" s="5" t="s">
        <v>491</v>
      </c>
      <c r="D138" s="5" t="e">
        <v>#REF!</v>
      </c>
      <c r="E138" s="7">
        <v>67</v>
      </c>
      <c r="F138" s="7">
        <v>18</v>
      </c>
      <c r="G138" s="7">
        <v>6</v>
      </c>
      <c r="H138" s="7">
        <v>1800</v>
      </c>
      <c r="J138" s="7"/>
      <c r="K138" s="7"/>
      <c r="L138" s="7"/>
      <c r="M138" s="7"/>
      <c r="N138" s="7"/>
      <c r="O138" s="7">
        <v>53</v>
      </c>
      <c r="P138" s="7">
        <v>18</v>
      </c>
      <c r="Q138" s="7">
        <v>6</v>
      </c>
      <c r="R138" s="7">
        <v>1755</v>
      </c>
      <c r="T138" s="20">
        <v>1515.8417999999999</v>
      </c>
    </row>
    <row r="139" spans="2:20">
      <c r="B139" s="4" t="s">
        <v>231</v>
      </c>
      <c r="C139" s="5" t="s">
        <v>491</v>
      </c>
      <c r="D139" s="5" t="e">
        <v>#REF!</v>
      </c>
      <c r="E139" s="14">
        <v>34</v>
      </c>
      <c r="F139" s="14">
        <v>23</v>
      </c>
      <c r="G139" s="14">
        <v>7</v>
      </c>
      <c r="H139" s="14">
        <v>1100</v>
      </c>
      <c r="J139" s="7"/>
      <c r="K139" s="7"/>
      <c r="L139" s="7"/>
      <c r="M139" s="7"/>
      <c r="N139" s="14"/>
      <c r="O139" s="14">
        <v>37</v>
      </c>
      <c r="P139" s="14">
        <v>24</v>
      </c>
      <c r="Q139" s="14">
        <v>6</v>
      </c>
      <c r="R139" s="14">
        <v>1250</v>
      </c>
      <c r="T139" s="20">
        <v>1076.7192</v>
      </c>
    </row>
    <row r="140" spans="2:20">
      <c r="B140" s="4" t="s">
        <v>232</v>
      </c>
      <c r="C140" s="5" t="s">
        <v>491</v>
      </c>
      <c r="D140" s="5" t="e">
        <v>#REF!</v>
      </c>
      <c r="E140" s="14">
        <v>34</v>
      </c>
      <c r="F140" s="14">
        <v>23</v>
      </c>
      <c r="G140" s="14">
        <v>8</v>
      </c>
      <c r="H140" s="14">
        <v>1250</v>
      </c>
      <c r="J140" s="14">
        <v>37</v>
      </c>
      <c r="K140" s="14">
        <v>24</v>
      </c>
      <c r="L140" s="14">
        <v>5</v>
      </c>
      <c r="M140" s="14">
        <v>1750</v>
      </c>
      <c r="N140" s="14"/>
      <c r="O140" s="14">
        <v>34</v>
      </c>
      <c r="P140" s="14">
        <v>24</v>
      </c>
      <c r="Q140" s="14">
        <v>7</v>
      </c>
      <c r="R140" s="14">
        <v>1520</v>
      </c>
      <c r="T140" s="20">
        <v>1266.3813680000001</v>
      </c>
    </row>
    <row r="141" spans="2:20">
      <c r="B141" s="5" t="s">
        <v>514</v>
      </c>
      <c r="C141" s="5" t="s">
        <v>491</v>
      </c>
      <c r="D141" s="5" t="e">
        <v>#REF!</v>
      </c>
      <c r="E141" s="7" t="s">
        <v>42</v>
      </c>
      <c r="F141" s="7" t="s">
        <v>42</v>
      </c>
      <c r="G141" s="7" t="s">
        <v>42</v>
      </c>
      <c r="H141" s="7" t="s">
        <v>42</v>
      </c>
      <c r="J141" s="14">
        <v>34</v>
      </c>
      <c r="K141" s="14">
        <v>24</v>
      </c>
      <c r="L141" s="14">
        <v>6.5</v>
      </c>
      <c r="M141" s="14">
        <v>1360</v>
      </c>
      <c r="N141" s="6"/>
      <c r="O141" s="6"/>
      <c r="P141" s="6"/>
      <c r="Q141" s="6"/>
      <c r="R141" s="6"/>
      <c r="T141" s="20" t="e">
        <v>#N/A</v>
      </c>
    </row>
    <row r="142" spans="2:20">
      <c r="B142" s="5" t="s">
        <v>234</v>
      </c>
      <c r="C142" s="5" t="s">
        <v>491</v>
      </c>
      <c r="D142" s="5" t="e">
        <v>#REF!</v>
      </c>
      <c r="E142" s="7">
        <v>35</v>
      </c>
      <c r="F142" s="7">
        <v>30.5</v>
      </c>
      <c r="G142" s="7">
        <v>12.5</v>
      </c>
      <c r="H142" s="7">
        <v>3590</v>
      </c>
      <c r="J142" s="7"/>
      <c r="K142" s="7"/>
      <c r="L142" s="7"/>
      <c r="M142" s="7"/>
      <c r="N142" s="6"/>
      <c r="O142" s="6"/>
      <c r="P142" s="6"/>
      <c r="Q142" s="6"/>
      <c r="R142" s="6"/>
      <c r="T142" s="20">
        <v>3692.1026515755007</v>
      </c>
    </row>
    <row r="143" spans="2:20">
      <c r="B143" s="5" t="s">
        <v>233</v>
      </c>
      <c r="C143" s="5"/>
      <c r="D143" s="5" t="e">
        <v>#REF!</v>
      </c>
      <c r="E143" s="7">
        <v>47</v>
      </c>
      <c r="F143" s="7">
        <v>37</v>
      </c>
      <c r="G143" s="7">
        <v>11.5</v>
      </c>
      <c r="H143" s="7">
        <v>6400</v>
      </c>
      <c r="J143" s="7">
        <v>34</v>
      </c>
      <c r="K143" s="7">
        <v>28</v>
      </c>
      <c r="L143" s="7">
        <v>9</v>
      </c>
      <c r="M143" s="7">
        <v>3610</v>
      </c>
      <c r="N143" s="6"/>
      <c r="O143" s="6"/>
      <c r="P143" s="6"/>
      <c r="Q143" s="6"/>
      <c r="R143" s="6"/>
      <c r="T143" s="20">
        <v>6453.7909406508115</v>
      </c>
    </row>
    <row r="144" spans="2:20">
      <c r="B144" s="11" t="s">
        <v>515</v>
      </c>
      <c r="C144" s="5" t="s">
        <v>491</v>
      </c>
      <c r="D144" s="5" t="e">
        <v>#REF!</v>
      </c>
      <c r="E144" s="14">
        <v>82</v>
      </c>
      <c r="F144" s="14">
        <v>37.5</v>
      </c>
      <c r="G144" s="14">
        <v>65</v>
      </c>
      <c r="H144" s="14">
        <v>7300</v>
      </c>
      <c r="J144" s="7">
        <v>47</v>
      </c>
      <c r="K144" s="7">
        <v>34</v>
      </c>
      <c r="L144" s="7">
        <v>10</v>
      </c>
      <c r="M144" s="7">
        <v>5880</v>
      </c>
      <c r="N144" s="12"/>
      <c r="O144" s="12"/>
      <c r="P144" s="12"/>
      <c r="Q144" s="12"/>
      <c r="R144" s="12"/>
      <c r="T144" s="20">
        <v>6699.5289639999983</v>
      </c>
    </row>
    <row r="145" spans="2:20">
      <c r="B145" s="5" t="s">
        <v>240</v>
      </c>
      <c r="C145" s="5" t="s">
        <v>491</v>
      </c>
      <c r="D145" s="5" t="e">
        <v>#REF!</v>
      </c>
      <c r="E145" s="7">
        <v>118.7</v>
      </c>
      <c r="F145" s="7">
        <v>26.5</v>
      </c>
      <c r="G145" s="7">
        <v>8</v>
      </c>
      <c r="H145" s="9">
        <v>8500</v>
      </c>
      <c r="J145" s="14">
        <v>85</v>
      </c>
      <c r="K145" s="14">
        <v>28.5</v>
      </c>
      <c r="L145" s="14">
        <v>6</v>
      </c>
      <c r="M145" s="14">
        <v>6155</v>
      </c>
      <c r="N145" s="10"/>
      <c r="O145" s="7">
        <v>109</v>
      </c>
      <c r="P145" s="7">
        <v>28</v>
      </c>
      <c r="Q145" s="7">
        <v>8</v>
      </c>
      <c r="R145" s="10">
        <v>8340</v>
      </c>
      <c r="T145" s="20">
        <v>8316.4791534708493</v>
      </c>
    </row>
    <row r="146" spans="2:20">
      <c r="B146" s="5" t="s">
        <v>241</v>
      </c>
      <c r="C146" s="5" t="s">
        <v>491</v>
      </c>
      <c r="D146" s="5" t="e">
        <v>#REF!</v>
      </c>
      <c r="E146" s="7">
        <v>72</v>
      </c>
      <c r="F146" s="7">
        <v>27.5</v>
      </c>
      <c r="G146" s="7">
        <v>8</v>
      </c>
      <c r="H146" s="22">
        <v>4600</v>
      </c>
      <c r="J146" s="7">
        <v>117</v>
      </c>
      <c r="K146" s="7">
        <v>28.5</v>
      </c>
      <c r="L146" s="7">
        <v>5.5</v>
      </c>
      <c r="M146" s="9">
        <v>8220</v>
      </c>
      <c r="N146" s="10"/>
      <c r="O146" s="7"/>
      <c r="P146" s="7"/>
      <c r="Q146" s="7"/>
      <c r="R146" s="10"/>
      <c r="T146" s="20">
        <v>4906.7621369473854</v>
      </c>
    </row>
    <row r="147" spans="2:20">
      <c r="B147" s="5" t="s">
        <v>253</v>
      </c>
      <c r="C147" s="5" t="s">
        <v>491</v>
      </c>
      <c r="D147" s="5" t="e">
        <v>#REF!</v>
      </c>
      <c r="E147" s="7">
        <v>87</v>
      </c>
      <c r="F147" s="7">
        <v>27.5</v>
      </c>
      <c r="G147" s="7">
        <v>8</v>
      </c>
      <c r="H147" s="7">
        <v>6420</v>
      </c>
      <c r="J147" s="7">
        <v>69</v>
      </c>
      <c r="K147" s="7">
        <v>27.5</v>
      </c>
      <c r="L147" s="7">
        <v>7</v>
      </c>
      <c r="M147" s="22">
        <v>5885</v>
      </c>
      <c r="N147" s="6"/>
      <c r="O147" s="6"/>
      <c r="P147" s="6"/>
      <c r="Q147" s="6"/>
      <c r="R147" s="6"/>
      <c r="T147" s="20">
        <v>6320.3837959390312</v>
      </c>
    </row>
    <row r="148" spans="2:20">
      <c r="B148" s="5" t="s">
        <v>252</v>
      </c>
      <c r="C148" s="5"/>
      <c r="D148" s="5" t="e">
        <v>#REF!</v>
      </c>
      <c r="E148" s="7">
        <v>127</v>
      </c>
      <c r="F148" s="7">
        <v>34</v>
      </c>
      <c r="G148" s="7">
        <v>8</v>
      </c>
      <c r="H148" s="7">
        <v>12100</v>
      </c>
      <c r="J148" s="7">
        <v>86</v>
      </c>
      <c r="K148" s="7">
        <v>29</v>
      </c>
      <c r="L148" s="7">
        <v>6</v>
      </c>
      <c r="M148" s="7">
        <v>6000</v>
      </c>
      <c r="N148" s="6"/>
      <c r="O148" s="6"/>
      <c r="P148" s="6"/>
      <c r="Q148" s="6"/>
      <c r="R148" s="6"/>
      <c r="T148" s="20">
        <v>12729.331140423654</v>
      </c>
    </row>
    <row r="149" spans="2:20">
      <c r="B149" s="5" t="s">
        <v>256</v>
      </c>
      <c r="C149" s="5" t="s">
        <v>491</v>
      </c>
      <c r="D149" s="5" t="e">
        <v>#REF!</v>
      </c>
      <c r="E149" s="7">
        <v>122</v>
      </c>
      <c r="F149" s="7">
        <v>40.5</v>
      </c>
      <c r="G149" s="7">
        <v>9</v>
      </c>
      <c r="H149" s="7">
        <v>17000</v>
      </c>
      <c r="J149" s="7">
        <v>131</v>
      </c>
      <c r="K149" s="7">
        <v>35.5</v>
      </c>
      <c r="L149" s="7">
        <v>7</v>
      </c>
      <c r="M149" s="7">
        <v>12320</v>
      </c>
      <c r="N149" s="7"/>
      <c r="O149" s="7"/>
      <c r="P149" s="7"/>
      <c r="Q149" s="7"/>
      <c r="R149" s="7"/>
      <c r="T149" s="20">
        <v>17063.685158681441</v>
      </c>
    </row>
    <row r="150" spans="2:20">
      <c r="B150" s="3" t="s">
        <v>482</v>
      </c>
      <c r="C150" s="5" t="s">
        <v>491</v>
      </c>
      <c r="D150" s="5" t="e">
        <v>#REF!</v>
      </c>
      <c r="E150" s="14">
        <v>87</v>
      </c>
      <c r="F150" s="14">
        <v>49</v>
      </c>
      <c r="G150" s="14">
        <v>6</v>
      </c>
      <c r="H150" s="14">
        <v>6400</v>
      </c>
      <c r="J150" s="7"/>
      <c r="K150" s="7"/>
      <c r="L150" s="7"/>
      <c r="M150" s="7"/>
      <c r="N150" s="14"/>
      <c r="O150" s="14"/>
      <c r="P150" s="14"/>
      <c r="Q150" s="14"/>
      <c r="R150" s="14"/>
      <c r="T150" s="20">
        <v>5795.8294656000007</v>
      </c>
    </row>
    <row r="151" spans="2:20">
      <c r="B151" s="5" t="s">
        <v>263</v>
      </c>
      <c r="C151" s="5" t="s">
        <v>491</v>
      </c>
      <c r="D151" s="5" t="e">
        <v>#REF!</v>
      </c>
      <c r="E151" s="7">
        <v>116</v>
      </c>
      <c r="F151" s="7">
        <v>37.5</v>
      </c>
      <c r="G151" s="7">
        <v>8</v>
      </c>
      <c r="H151" s="7">
        <v>12000</v>
      </c>
      <c r="J151" s="14"/>
      <c r="K151" s="14"/>
      <c r="L151" s="14"/>
      <c r="M151" s="14"/>
      <c r="N151" s="7"/>
      <c r="O151" s="7">
        <v>116</v>
      </c>
      <c r="P151" s="7">
        <v>38</v>
      </c>
      <c r="Q151" s="7">
        <v>8.5</v>
      </c>
      <c r="R151" s="7">
        <v>11970</v>
      </c>
      <c r="T151" s="20">
        <v>12113.042457706037</v>
      </c>
    </row>
    <row r="152" spans="2:20">
      <c r="B152" s="5" t="s">
        <v>274</v>
      </c>
      <c r="C152" s="5" t="s">
        <v>491</v>
      </c>
      <c r="D152" s="5" t="e">
        <v>#REF!</v>
      </c>
      <c r="E152" s="7">
        <v>132</v>
      </c>
      <c r="F152" s="7">
        <v>34</v>
      </c>
      <c r="G152" s="7">
        <v>10</v>
      </c>
      <c r="H152" s="7">
        <v>14900</v>
      </c>
      <c r="J152" s="7">
        <v>114</v>
      </c>
      <c r="K152" s="7">
        <v>38</v>
      </c>
      <c r="L152" s="7">
        <v>5</v>
      </c>
      <c r="M152" s="7">
        <v>10985</v>
      </c>
      <c r="N152" s="7"/>
      <c r="O152" s="7"/>
      <c r="P152" s="7"/>
      <c r="Q152" s="7"/>
      <c r="R152" s="7"/>
      <c r="T152" s="20">
        <v>14057.672623055621</v>
      </c>
    </row>
    <row r="153" spans="2:20">
      <c r="B153" s="5" t="s">
        <v>275</v>
      </c>
      <c r="C153" s="5" t="s">
        <v>491</v>
      </c>
      <c r="D153" s="5" t="e">
        <v>#REF!</v>
      </c>
      <c r="E153" s="7">
        <v>82</v>
      </c>
      <c r="F153" s="7">
        <v>37</v>
      </c>
      <c r="G153" s="7">
        <v>10</v>
      </c>
      <c r="H153" s="7">
        <v>8470</v>
      </c>
      <c r="J153" s="7">
        <v>132</v>
      </c>
      <c r="K153" s="7">
        <v>36</v>
      </c>
      <c r="L153" s="7">
        <v>7</v>
      </c>
      <c r="M153" s="7">
        <v>13635</v>
      </c>
      <c r="N153" s="7"/>
      <c r="O153" s="7">
        <v>82</v>
      </c>
      <c r="P153" s="7">
        <v>37</v>
      </c>
      <c r="Q153" s="7">
        <v>9.5</v>
      </c>
      <c r="R153" s="7">
        <v>8.5549999999999997</v>
      </c>
      <c r="T153" s="20">
        <v>8614.7382512958957</v>
      </c>
    </row>
    <row r="154" spans="2:20">
      <c r="B154" s="3" t="s">
        <v>483</v>
      </c>
      <c r="C154" s="5" t="s">
        <v>491</v>
      </c>
      <c r="D154" s="5" t="e">
        <v>#REF!</v>
      </c>
      <c r="E154" s="14">
        <v>54</v>
      </c>
      <c r="F154" s="14">
        <v>28</v>
      </c>
      <c r="G154" s="14">
        <v>4.5</v>
      </c>
      <c r="H154" s="14">
        <v>680</v>
      </c>
      <c r="J154" s="7">
        <v>82</v>
      </c>
      <c r="K154" s="7">
        <v>36</v>
      </c>
      <c r="L154" s="7">
        <v>7</v>
      </c>
      <c r="M154" s="7">
        <v>8600</v>
      </c>
      <c r="N154" s="14"/>
      <c r="O154" s="14"/>
      <c r="P154" s="14"/>
      <c r="Q154" s="14"/>
      <c r="R154" s="14"/>
      <c r="T154" s="20">
        <v>1198.8786999999998</v>
      </c>
    </row>
    <row r="155" spans="2:20">
      <c r="B155" s="11" t="s">
        <v>484</v>
      </c>
      <c r="C155" s="5" t="s">
        <v>491</v>
      </c>
      <c r="D155" s="5" t="e">
        <v>#REF!</v>
      </c>
      <c r="E155" s="14">
        <v>54</v>
      </c>
      <c r="F155" s="14">
        <v>28</v>
      </c>
      <c r="G155" s="14">
        <v>5.5</v>
      </c>
      <c r="H155" s="15">
        <v>1590</v>
      </c>
      <c r="J155" s="14"/>
      <c r="K155" s="14"/>
      <c r="L155" s="14"/>
      <c r="M155" s="14"/>
      <c r="N155" s="15"/>
      <c r="O155" s="14"/>
      <c r="P155" s="14"/>
      <c r="Q155" s="14"/>
      <c r="R155" s="15"/>
      <c r="T155" s="20">
        <v>1406.2755399999999</v>
      </c>
    </row>
    <row r="156" spans="2:20">
      <c r="B156" s="3" t="s">
        <v>461</v>
      </c>
      <c r="C156" s="5" t="s">
        <v>491</v>
      </c>
      <c r="D156" s="5" t="e">
        <v>#REF!</v>
      </c>
      <c r="E156" s="14">
        <v>38.5</v>
      </c>
      <c r="F156" s="14">
        <v>19</v>
      </c>
      <c r="G156" s="14">
        <v>4.5</v>
      </c>
      <c r="H156" s="15">
        <v>660</v>
      </c>
      <c r="J156" s="14"/>
      <c r="K156" s="14"/>
      <c r="L156" s="14"/>
      <c r="M156" s="15"/>
      <c r="N156" s="15"/>
      <c r="O156" s="14">
        <v>40</v>
      </c>
      <c r="P156" s="14">
        <v>19</v>
      </c>
      <c r="Q156" s="14">
        <v>5</v>
      </c>
      <c r="R156" s="15">
        <v>900</v>
      </c>
      <c r="T156" s="20">
        <v>664.90519999999992</v>
      </c>
    </row>
    <row r="157" spans="2:20">
      <c r="B157" s="3" t="s">
        <v>284</v>
      </c>
      <c r="C157" s="5" t="s">
        <v>491</v>
      </c>
      <c r="D157" s="5" t="e">
        <v>#REF!</v>
      </c>
      <c r="E157" s="14">
        <v>43.5</v>
      </c>
      <c r="F157" s="14">
        <v>23.5</v>
      </c>
      <c r="G157" s="14">
        <v>8</v>
      </c>
      <c r="H157" s="14">
        <v>2200</v>
      </c>
      <c r="J157" s="14">
        <v>38</v>
      </c>
      <c r="K157" s="14">
        <v>19</v>
      </c>
      <c r="L157" s="14">
        <v>5</v>
      </c>
      <c r="M157" s="15">
        <v>730</v>
      </c>
      <c r="N157" s="14"/>
      <c r="O157" s="14">
        <v>47</v>
      </c>
      <c r="P157" s="14">
        <v>24</v>
      </c>
      <c r="Q157" s="14">
        <v>6</v>
      </c>
      <c r="R157" s="14">
        <v>1525</v>
      </c>
      <c r="T157" s="20">
        <v>2077.5627673164913</v>
      </c>
    </row>
    <row r="158" spans="2:20">
      <c r="B158" s="3" t="s">
        <v>285</v>
      </c>
      <c r="C158" s="5" t="s">
        <v>491</v>
      </c>
      <c r="D158" s="5" t="e">
        <v>#REF!</v>
      </c>
      <c r="E158" s="14">
        <v>57</v>
      </c>
      <c r="F158" s="14">
        <v>32</v>
      </c>
      <c r="G158" s="14">
        <v>6</v>
      </c>
      <c r="H158" s="14">
        <v>2550</v>
      </c>
      <c r="J158" s="14">
        <v>45</v>
      </c>
      <c r="K158" s="14">
        <v>24.5</v>
      </c>
      <c r="L158" s="14">
        <v>5</v>
      </c>
      <c r="M158" s="14">
        <v>2285</v>
      </c>
      <c r="N158" s="14"/>
      <c r="O158" s="14">
        <v>57</v>
      </c>
      <c r="P158" s="14">
        <v>34</v>
      </c>
      <c r="Q158" s="14">
        <v>6</v>
      </c>
      <c r="R158" s="14">
        <v>2980</v>
      </c>
      <c r="T158" s="20">
        <v>2956.8707667730851</v>
      </c>
    </row>
    <row r="159" spans="2:20">
      <c r="B159" s="3" t="s">
        <v>286</v>
      </c>
      <c r="C159" s="5" t="s">
        <v>491</v>
      </c>
      <c r="D159" s="5" t="e">
        <v>#REF!</v>
      </c>
      <c r="E159" s="14">
        <v>39</v>
      </c>
      <c r="F159" s="14">
        <v>24</v>
      </c>
      <c r="G159" s="14">
        <v>6</v>
      </c>
      <c r="H159" s="14">
        <v>1250</v>
      </c>
      <c r="J159" s="14">
        <v>55</v>
      </c>
      <c r="K159" s="14">
        <v>32</v>
      </c>
      <c r="L159" s="14">
        <v>3.5</v>
      </c>
      <c r="M159" s="14">
        <v>3220</v>
      </c>
      <c r="N159" s="14"/>
      <c r="O159" s="14">
        <v>39</v>
      </c>
      <c r="P159" s="14">
        <v>24</v>
      </c>
      <c r="Q159" s="14">
        <v>6</v>
      </c>
      <c r="R159" s="14">
        <v>1525</v>
      </c>
      <c r="T159" s="20">
        <v>1575.0853883462319</v>
      </c>
    </row>
    <row r="160" spans="2:20">
      <c r="B160" s="5" t="s">
        <v>287</v>
      </c>
      <c r="C160" s="5" t="s">
        <v>491</v>
      </c>
      <c r="D160" s="5" t="e">
        <v>#REF!</v>
      </c>
      <c r="E160" s="7">
        <v>108</v>
      </c>
      <c r="F160" s="7">
        <v>44.5</v>
      </c>
      <c r="G160" s="7">
        <v>10.5</v>
      </c>
      <c r="H160" s="7">
        <v>19800</v>
      </c>
      <c r="J160" s="14">
        <v>41</v>
      </c>
      <c r="K160" s="14">
        <v>24.5</v>
      </c>
      <c r="L160" s="14">
        <v>4</v>
      </c>
      <c r="M160" s="14">
        <v>1490</v>
      </c>
      <c r="N160" s="7"/>
      <c r="O160" s="7">
        <v>109</v>
      </c>
      <c r="P160" s="7">
        <v>48</v>
      </c>
      <c r="Q160" s="7">
        <v>10</v>
      </c>
      <c r="R160" s="7">
        <v>19390</v>
      </c>
      <c r="T160" s="20">
        <v>18298.857618917147</v>
      </c>
    </row>
    <row r="161" spans="2:20">
      <c r="B161" s="5" t="s">
        <v>516</v>
      </c>
      <c r="C161" s="5" t="s">
        <v>491</v>
      </c>
      <c r="D161" s="5" t="e">
        <v>#REF!</v>
      </c>
      <c r="E161" s="7" t="s">
        <v>42</v>
      </c>
      <c r="F161" s="7" t="s">
        <v>42</v>
      </c>
      <c r="G161" s="7" t="s">
        <v>42</v>
      </c>
      <c r="H161" s="7" t="s">
        <v>42</v>
      </c>
      <c r="J161" s="7">
        <v>107</v>
      </c>
      <c r="K161" s="7">
        <v>46.5</v>
      </c>
      <c r="L161" s="7">
        <v>8</v>
      </c>
      <c r="M161" s="7">
        <v>17685</v>
      </c>
      <c r="N161" s="7"/>
      <c r="O161" s="7"/>
      <c r="P161" s="7"/>
      <c r="Q161" s="7"/>
      <c r="R161" s="7"/>
      <c r="T161" s="20" t="e">
        <v>#N/A</v>
      </c>
    </row>
    <row r="162" spans="2:20">
      <c r="B162" s="5" t="s">
        <v>517</v>
      </c>
      <c r="C162" s="5" t="s">
        <v>491</v>
      </c>
      <c r="D162" s="5" t="e">
        <v>#REF!</v>
      </c>
      <c r="E162" s="7" t="s">
        <v>42</v>
      </c>
      <c r="F162" s="7" t="s">
        <v>42</v>
      </c>
      <c r="G162" s="7" t="s">
        <v>42</v>
      </c>
      <c r="H162" s="7" t="s">
        <v>42</v>
      </c>
      <c r="J162" s="7"/>
      <c r="K162" s="7"/>
      <c r="L162" s="7"/>
      <c r="M162" s="7"/>
      <c r="N162" s="7"/>
      <c r="O162" s="7"/>
      <c r="P162" s="7"/>
      <c r="Q162" s="7"/>
      <c r="R162" s="7"/>
      <c r="T162" s="20" t="e">
        <v>#N/A</v>
      </c>
    </row>
    <row r="163" spans="2:20">
      <c r="B163" s="5" t="s">
        <v>518</v>
      </c>
      <c r="C163" s="5" t="s">
        <v>491</v>
      </c>
      <c r="D163" s="5" t="e">
        <v>#REF!</v>
      </c>
      <c r="E163" s="9">
        <v>54</v>
      </c>
      <c r="F163" s="9">
        <v>54</v>
      </c>
      <c r="G163" s="9">
        <v>4</v>
      </c>
      <c r="H163" s="9">
        <v>2100</v>
      </c>
      <c r="J163" s="7"/>
      <c r="K163" s="7"/>
      <c r="L163" s="7"/>
      <c r="M163" s="7"/>
      <c r="N163" s="9"/>
      <c r="O163" s="9"/>
      <c r="P163" s="9"/>
      <c r="Q163" s="9"/>
      <c r="R163" s="9"/>
      <c r="T163" s="20">
        <v>0</v>
      </c>
    </row>
    <row r="164" spans="2:20">
      <c r="B164" s="5" t="s">
        <v>519</v>
      </c>
      <c r="C164" s="5" t="s">
        <v>491</v>
      </c>
      <c r="D164" s="5" t="e">
        <v>#REF!</v>
      </c>
      <c r="E164" s="9">
        <v>83</v>
      </c>
      <c r="F164" s="9">
        <v>61</v>
      </c>
      <c r="G164" s="9">
        <v>4</v>
      </c>
      <c r="H164" s="9">
        <v>3500</v>
      </c>
      <c r="J164" s="9"/>
      <c r="K164" s="9"/>
      <c r="L164" s="9"/>
      <c r="M164" s="9"/>
      <c r="N164" s="9"/>
      <c r="O164" s="9"/>
      <c r="P164" s="9"/>
      <c r="Q164" s="9"/>
      <c r="R164" s="9"/>
      <c r="T164" s="20">
        <v>0</v>
      </c>
    </row>
    <row r="165" spans="2:20">
      <c r="B165" s="5" t="s">
        <v>520</v>
      </c>
      <c r="C165" s="5" t="s">
        <v>491</v>
      </c>
      <c r="D165" s="5" t="e">
        <v>#REF!</v>
      </c>
      <c r="E165" s="7">
        <v>27</v>
      </c>
      <c r="F165" s="7">
        <v>27</v>
      </c>
      <c r="G165" s="7">
        <v>4</v>
      </c>
      <c r="H165" s="7">
        <v>290</v>
      </c>
      <c r="J165" s="9"/>
      <c r="K165" s="9"/>
      <c r="L165" s="9"/>
      <c r="M165" s="9"/>
      <c r="N165" s="7"/>
      <c r="O165" s="7"/>
      <c r="P165" s="7"/>
      <c r="Q165" s="7"/>
      <c r="R165" s="7"/>
      <c r="T165" s="20" t="e">
        <v>#N/A</v>
      </c>
    </row>
    <row r="166" spans="2:20">
      <c r="B166" s="5" t="s">
        <v>521</v>
      </c>
      <c r="C166" s="5" t="s">
        <v>491</v>
      </c>
      <c r="D166" s="5" t="e">
        <v>#REF!</v>
      </c>
      <c r="E166" s="7">
        <v>27</v>
      </c>
      <c r="F166" s="7">
        <v>23</v>
      </c>
      <c r="G166" s="7">
        <v>4.5</v>
      </c>
      <c r="H166" s="7">
        <v>290</v>
      </c>
      <c r="J166" s="7"/>
      <c r="K166" s="7"/>
      <c r="L166" s="7"/>
      <c r="M166" s="7"/>
      <c r="N166" s="7"/>
      <c r="O166" s="7"/>
      <c r="P166" s="7"/>
      <c r="Q166" s="7"/>
      <c r="R166" s="7"/>
      <c r="T166" s="20">
        <v>233.11821200000003</v>
      </c>
    </row>
    <row r="167" spans="2:20">
      <c r="B167" s="5" t="s">
        <v>522</v>
      </c>
      <c r="C167" s="5" t="s">
        <v>491</v>
      </c>
      <c r="D167" s="5" t="e">
        <v>#REF!</v>
      </c>
      <c r="E167" s="7">
        <v>27</v>
      </c>
      <c r="F167" s="7">
        <v>23</v>
      </c>
      <c r="G167" s="7">
        <v>4.5</v>
      </c>
      <c r="H167" s="7">
        <v>290</v>
      </c>
      <c r="J167" s="7"/>
      <c r="K167" s="7"/>
      <c r="L167" s="7"/>
      <c r="M167" s="7"/>
      <c r="N167" s="7"/>
      <c r="O167" s="7"/>
      <c r="P167" s="7"/>
      <c r="Q167" s="7"/>
      <c r="R167" s="7"/>
      <c r="T167" s="20">
        <v>238.81236800000002</v>
      </c>
    </row>
    <row r="168" spans="2:20">
      <c r="B168" s="5" t="s">
        <v>523</v>
      </c>
      <c r="C168" s="5" t="s">
        <v>491</v>
      </c>
      <c r="D168" s="5" t="e">
        <v>#REF!</v>
      </c>
      <c r="E168" s="9">
        <v>51.8</v>
      </c>
      <c r="F168" s="9">
        <v>34</v>
      </c>
      <c r="G168" s="9">
        <v>88</v>
      </c>
      <c r="H168" s="9">
        <v>3200</v>
      </c>
      <c r="J168" s="7"/>
      <c r="K168" s="7"/>
      <c r="L168" s="7"/>
      <c r="M168" s="7"/>
      <c r="N168" s="9"/>
      <c r="O168" s="9"/>
      <c r="P168" s="9"/>
      <c r="Q168" s="9"/>
      <c r="R168" s="9"/>
      <c r="T168" s="20" t="e">
        <v>#N/A</v>
      </c>
    </row>
    <row r="169" spans="2:20">
      <c r="B169" s="5" t="s">
        <v>524</v>
      </c>
      <c r="C169" s="5" t="s">
        <v>491</v>
      </c>
      <c r="D169" s="5" t="e">
        <v>#REF!</v>
      </c>
      <c r="E169" s="9">
        <v>34</v>
      </c>
      <c r="F169" s="9">
        <v>19</v>
      </c>
      <c r="G169" s="9">
        <v>88</v>
      </c>
      <c r="H169" s="9">
        <v>1200</v>
      </c>
      <c r="J169" s="9"/>
      <c r="K169" s="9"/>
      <c r="L169" s="9"/>
      <c r="M169" s="9"/>
      <c r="N169" s="9"/>
      <c r="O169" s="9"/>
      <c r="P169" s="9"/>
      <c r="Q169" s="9"/>
      <c r="R169" s="9"/>
      <c r="T169" s="20" t="e">
        <v>#N/A</v>
      </c>
    </row>
    <row r="170" spans="2:20">
      <c r="B170" s="3" t="s">
        <v>304</v>
      </c>
      <c r="C170" s="5" t="s">
        <v>491</v>
      </c>
      <c r="D170" s="5" t="e">
        <v>#REF!</v>
      </c>
      <c r="E170" s="14">
        <v>112</v>
      </c>
      <c r="F170" s="14">
        <v>64</v>
      </c>
      <c r="G170" s="14">
        <v>5</v>
      </c>
      <c r="H170" s="14">
        <v>9000</v>
      </c>
      <c r="J170" s="9"/>
      <c r="K170" s="9"/>
      <c r="L170" s="9"/>
      <c r="M170" s="9"/>
      <c r="N170" s="14"/>
      <c r="O170" s="14"/>
      <c r="P170" s="14"/>
      <c r="Q170" s="14"/>
      <c r="R170" s="14"/>
      <c r="T170" s="20">
        <v>8961.097960000001</v>
      </c>
    </row>
    <row r="171" spans="2:20">
      <c r="B171" s="5" t="s">
        <v>251</v>
      </c>
      <c r="C171" s="5"/>
      <c r="D171" s="5" t="e">
        <v>#REF!</v>
      </c>
      <c r="E171" s="7">
        <v>67</v>
      </c>
      <c r="F171" s="7">
        <v>27.5</v>
      </c>
      <c r="G171" s="7">
        <v>6.5</v>
      </c>
      <c r="H171" s="7">
        <v>2600</v>
      </c>
      <c r="J171" s="14"/>
      <c r="K171" s="14"/>
      <c r="L171" s="14"/>
      <c r="M171" s="14"/>
      <c r="T171" s="20">
        <v>27723.021480615073</v>
      </c>
    </row>
    <row r="172" spans="2:20">
      <c r="B172" s="5" t="s">
        <v>485</v>
      </c>
      <c r="C172" s="5"/>
      <c r="D172" s="5" t="e">
        <v>#REF!</v>
      </c>
      <c r="E172" s="7">
        <v>67</v>
      </c>
      <c r="F172" s="7">
        <v>39</v>
      </c>
      <c r="G172" s="7">
        <v>5</v>
      </c>
      <c r="H172" s="7">
        <v>2200</v>
      </c>
      <c r="J172" s="7"/>
      <c r="K172" s="7"/>
      <c r="L172" s="7"/>
      <c r="M172" s="7"/>
      <c r="T172" s="20">
        <v>2250.7039999999997</v>
      </c>
    </row>
    <row r="173" spans="2:20">
      <c r="B173" s="5" t="s">
        <v>486</v>
      </c>
      <c r="C173" s="5"/>
      <c r="D173" s="5" t="e">
        <v>#REF!</v>
      </c>
      <c r="E173" s="7">
        <v>67</v>
      </c>
      <c r="F173" s="7">
        <v>39</v>
      </c>
      <c r="G173" s="7">
        <v>5</v>
      </c>
      <c r="H173" s="7">
        <v>2300</v>
      </c>
      <c r="J173" s="7"/>
      <c r="K173" s="7"/>
      <c r="L173" s="7"/>
      <c r="M173" s="7"/>
      <c r="T173" s="20" t="e">
        <v>#N/A</v>
      </c>
    </row>
    <row r="174" spans="2:20">
      <c r="B174" s="5" t="s">
        <v>487</v>
      </c>
      <c r="C174" s="5"/>
      <c r="D174" s="5" t="e">
        <v>#REF!</v>
      </c>
      <c r="E174" s="7">
        <v>28</v>
      </c>
      <c r="F174" s="7">
        <v>19</v>
      </c>
      <c r="G174" s="7">
        <v>6</v>
      </c>
      <c r="H174" s="7">
        <v>550</v>
      </c>
      <c r="J174" s="7"/>
      <c r="K174" s="7"/>
      <c r="L174" s="7"/>
      <c r="M174" s="7"/>
      <c r="T174" s="20" t="e">
        <v>#N/A</v>
      </c>
    </row>
    <row r="175" spans="2:20">
      <c r="B175" s="5" t="s">
        <v>525</v>
      </c>
      <c r="C175" s="5"/>
      <c r="D175" s="5" t="e">
        <v>#REF!</v>
      </c>
      <c r="E175" s="7" t="s">
        <v>42</v>
      </c>
      <c r="F175" s="7" t="s">
        <v>42</v>
      </c>
      <c r="G175" s="7" t="s">
        <v>42</v>
      </c>
      <c r="H175" s="7" t="s">
        <v>42</v>
      </c>
      <c r="J175" s="7"/>
      <c r="K175" s="7"/>
      <c r="L175" s="7"/>
      <c r="M175" s="7"/>
      <c r="T175" s="20" t="e">
        <v>#N/A</v>
      </c>
    </row>
    <row r="176" spans="2:20">
      <c r="B176" s="5" t="s">
        <v>262</v>
      </c>
      <c r="C176" s="5"/>
      <c r="D176" s="5" t="e">
        <v>#REF!</v>
      </c>
      <c r="E176" s="7">
        <v>127.5</v>
      </c>
      <c r="F176" s="7">
        <v>64.5</v>
      </c>
      <c r="G176" s="7">
        <v>10</v>
      </c>
      <c r="H176" s="7">
        <v>29700</v>
      </c>
      <c r="J176" s="7"/>
      <c r="K176" s="7"/>
      <c r="L176" s="7"/>
      <c r="M176" s="7"/>
      <c r="T176" s="20">
        <v>36387.780604664003</v>
      </c>
    </row>
    <row r="177" spans="2:20">
      <c r="B177" s="5" t="s">
        <v>89</v>
      </c>
      <c r="C177" s="5"/>
      <c r="D177" s="5" t="e">
        <v>#REF!</v>
      </c>
      <c r="E177" s="7">
        <v>106</v>
      </c>
      <c r="F177" s="7">
        <v>58</v>
      </c>
      <c r="G177" s="7">
        <v>6.5</v>
      </c>
      <c r="H177" s="7">
        <v>9800</v>
      </c>
      <c r="J177" s="7">
        <v>127</v>
      </c>
      <c r="K177" s="7">
        <v>64</v>
      </c>
      <c r="L177" s="7">
        <v>10</v>
      </c>
      <c r="M177" s="7">
        <v>29710</v>
      </c>
      <c r="T177" s="20">
        <v>9960.2864138324931</v>
      </c>
    </row>
    <row r="178" spans="2:20">
      <c r="B178" s="5" t="s">
        <v>88</v>
      </c>
      <c r="C178" s="5"/>
      <c r="D178" s="5" t="e">
        <v>#REF!</v>
      </c>
      <c r="E178" s="7">
        <v>106</v>
      </c>
      <c r="F178" s="7">
        <v>63</v>
      </c>
      <c r="G178" s="7">
        <v>6.5</v>
      </c>
      <c r="H178" s="7">
        <v>10100</v>
      </c>
      <c r="J178" s="7">
        <v>106</v>
      </c>
      <c r="K178" s="7">
        <v>58</v>
      </c>
      <c r="L178" s="7">
        <v>5.5</v>
      </c>
      <c r="M178" s="7">
        <v>8900</v>
      </c>
      <c r="T178" s="20">
        <v>10758.86038008904</v>
      </c>
    </row>
    <row r="179" spans="2:20">
      <c r="J179" s="7">
        <v>106</v>
      </c>
      <c r="K179" s="7">
        <v>63</v>
      </c>
      <c r="L179" s="7">
        <v>5</v>
      </c>
      <c r="M179" s="7">
        <v>8560</v>
      </c>
    </row>
  </sheetData>
  <autoFilter ref="B2:T179" xr:uid="{00000000-0009-0000-0000-000002000000}"/>
  <conditionalFormatting sqref="B76">
    <cfRule type="duplicateValues" dxfId="98" priority="1"/>
  </conditionalFormatting>
  <conditionalFormatting sqref="B168">
    <cfRule type="duplicateValues" dxfId="97" priority="5"/>
  </conditionalFormatting>
  <conditionalFormatting sqref="B169">
    <cfRule type="duplicateValues" dxfId="96" priority="4"/>
  </conditionalFormatting>
  <conditionalFormatting sqref="B170">
    <cfRule type="duplicateValues" dxfId="95" priority="3"/>
  </conditionalFormatting>
  <conditionalFormatting sqref="B171:B1048576 B1:B75 B77:B167">
    <cfRule type="duplicateValues" dxfId="94" priority="6"/>
  </conditionalFormatting>
  <conditionalFormatting sqref="E1:H1048576">
    <cfRule type="containsText" dxfId="93" priority="2" operator="containsText" text="x">
      <formula>NOT(ISERROR(SEARCH("x",E1)))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8"/>
  <sheetViews>
    <sheetView workbookViewId="0">
      <selection activeCell="T251" sqref="T251"/>
    </sheetView>
  </sheetViews>
  <sheetFormatPr defaultColWidth="20.28515625" defaultRowHeight="15"/>
  <cols>
    <col min="1" max="1" width="14.28515625" style="96" bestFit="1" customWidth="1"/>
    <col min="2" max="2" width="6" style="95" bestFit="1" customWidth="1"/>
    <col min="3" max="4" width="5" style="95" bestFit="1" customWidth="1"/>
    <col min="5" max="5" width="10.42578125" style="95" customWidth="1"/>
    <col min="6" max="6" width="4" style="95" bestFit="1" customWidth="1"/>
    <col min="7" max="7" width="3" style="95" bestFit="1" customWidth="1"/>
    <col min="8" max="8" width="5" style="95" bestFit="1" customWidth="1"/>
    <col min="9" max="9" width="9.7109375" style="95" bestFit="1" customWidth="1"/>
    <col min="10" max="10" width="4" style="95" bestFit="1" customWidth="1"/>
    <col min="11" max="11" width="3" style="95" bestFit="1" customWidth="1"/>
    <col min="12" max="12" width="2.28515625" style="95" bestFit="1" customWidth="1"/>
    <col min="13" max="13" width="9.7109375" style="95" bestFit="1" customWidth="1"/>
    <col min="14" max="14" width="12" style="95" bestFit="1" customWidth="1"/>
    <col min="15" max="15" width="10.42578125" style="94" bestFit="1" customWidth="1"/>
    <col min="16" max="16384" width="20.28515625" style="94"/>
  </cols>
  <sheetData>
    <row r="1" spans="1:15">
      <c r="A1" s="98"/>
      <c r="B1" s="357" t="s">
        <v>526</v>
      </c>
      <c r="C1" s="357"/>
      <c r="D1" s="357"/>
      <c r="E1" s="357"/>
      <c r="F1" s="355" t="s">
        <v>527</v>
      </c>
      <c r="G1" s="355"/>
      <c r="H1" s="355"/>
      <c r="I1" s="355"/>
      <c r="J1" s="356" t="s">
        <v>528</v>
      </c>
      <c r="K1" s="356"/>
      <c r="L1" s="356"/>
      <c r="M1" s="356"/>
      <c r="N1" s="103"/>
      <c r="O1" s="97">
        <v>45263</v>
      </c>
    </row>
    <row r="2" spans="1:15">
      <c r="A2" s="98" t="s">
        <v>529</v>
      </c>
      <c r="B2" s="99" t="s">
        <v>530</v>
      </c>
      <c r="C2" s="99" t="s">
        <v>531</v>
      </c>
      <c r="D2" s="99" t="s">
        <v>532</v>
      </c>
      <c r="E2" s="99" t="s">
        <v>533</v>
      </c>
      <c r="F2" s="101" t="s">
        <v>530</v>
      </c>
      <c r="G2" s="101" t="s">
        <v>531</v>
      </c>
      <c r="H2" s="101" t="s">
        <v>532</v>
      </c>
      <c r="I2" s="101" t="s">
        <v>533</v>
      </c>
      <c r="J2" s="102" t="s">
        <v>530</v>
      </c>
      <c r="K2" s="102" t="s">
        <v>531</v>
      </c>
      <c r="L2" s="102" t="s">
        <v>532</v>
      </c>
      <c r="M2" s="102" t="s">
        <v>533</v>
      </c>
      <c r="N2" s="100" t="s">
        <v>5</v>
      </c>
    </row>
    <row r="3" spans="1:15">
      <c r="A3" s="104" t="s">
        <v>534</v>
      </c>
      <c r="B3" s="103">
        <v>204</v>
      </c>
      <c r="C3" s="103">
        <v>39</v>
      </c>
      <c r="D3" s="103">
        <v>6</v>
      </c>
      <c r="E3" s="103">
        <v>26.8</v>
      </c>
      <c r="F3" s="103">
        <v>190</v>
      </c>
      <c r="G3" s="103">
        <v>80</v>
      </c>
      <c r="H3" s="103">
        <v>6</v>
      </c>
      <c r="I3" s="103">
        <v>32.1</v>
      </c>
      <c r="J3" s="103">
        <v>107</v>
      </c>
      <c r="K3" s="103">
        <v>96</v>
      </c>
      <c r="L3" s="103">
        <v>7</v>
      </c>
      <c r="M3" s="103">
        <v>40.4</v>
      </c>
      <c r="N3" s="103">
        <f t="shared" ref="N3:N24" si="0">E3+I3+M3</f>
        <v>99.300000000000011</v>
      </c>
    </row>
    <row r="4" spans="1:15">
      <c r="A4" s="104" t="s">
        <v>535</v>
      </c>
      <c r="B4" s="103">
        <v>206</v>
      </c>
      <c r="C4" s="103">
        <v>38</v>
      </c>
      <c r="D4" s="103">
        <v>7</v>
      </c>
      <c r="E4" s="103">
        <v>25.77</v>
      </c>
      <c r="F4" s="50">
        <v>162</v>
      </c>
      <c r="G4" s="50">
        <v>82</v>
      </c>
      <c r="H4" s="50">
        <v>5</v>
      </c>
      <c r="I4" s="105">
        <v>28</v>
      </c>
      <c r="J4" s="50">
        <v>106</v>
      </c>
      <c r="K4" s="50">
        <v>80</v>
      </c>
      <c r="L4" s="50">
        <v>7</v>
      </c>
      <c r="M4" s="105">
        <v>35</v>
      </c>
      <c r="N4" s="103">
        <f t="shared" si="0"/>
        <v>88.77</v>
      </c>
    </row>
    <row r="5" spans="1:15">
      <c r="A5" s="104" t="s">
        <v>536</v>
      </c>
      <c r="B5" s="103">
        <v>207</v>
      </c>
      <c r="C5" s="103">
        <v>38</v>
      </c>
      <c r="D5" s="103">
        <v>8</v>
      </c>
      <c r="E5" s="103">
        <v>34.799999999999997</v>
      </c>
      <c r="F5" s="103">
        <v>192</v>
      </c>
      <c r="G5" s="103">
        <v>40</v>
      </c>
      <c r="H5" s="103">
        <v>6</v>
      </c>
      <c r="I5" s="103">
        <v>22.7</v>
      </c>
      <c r="J5" s="103">
        <v>107</v>
      </c>
      <c r="K5" s="103">
        <v>96</v>
      </c>
      <c r="L5" s="103">
        <v>7</v>
      </c>
      <c r="M5" s="103">
        <v>40.4</v>
      </c>
      <c r="N5" s="103">
        <f t="shared" si="0"/>
        <v>97.9</v>
      </c>
    </row>
    <row r="6" spans="1:15">
      <c r="A6" s="104" t="s">
        <v>537</v>
      </c>
      <c r="B6" s="103">
        <v>202</v>
      </c>
      <c r="C6" s="103">
        <v>40</v>
      </c>
      <c r="D6" s="103">
        <v>9</v>
      </c>
      <c r="E6" s="103">
        <v>34.29</v>
      </c>
      <c r="F6" s="103">
        <v>162</v>
      </c>
      <c r="G6" s="103">
        <v>40</v>
      </c>
      <c r="H6" s="103">
        <v>6</v>
      </c>
      <c r="I6" s="103">
        <v>18.850000000000001</v>
      </c>
      <c r="J6" s="103">
        <v>105</v>
      </c>
      <c r="K6" s="103">
        <v>82</v>
      </c>
      <c r="L6" s="103">
        <v>7</v>
      </c>
      <c r="M6" s="103">
        <v>37.4</v>
      </c>
      <c r="N6" s="103">
        <f t="shared" si="0"/>
        <v>90.539999999999992</v>
      </c>
    </row>
    <row r="7" spans="1:15">
      <c r="A7" s="104" t="s">
        <v>538</v>
      </c>
      <c r="B7" s="103">
        <v>204</v>
      </c>
      <c r="C7" s="103">
        <v>48</v>
      </c>
      <c r="D7" s="103">
        <v>9</v>
      </c>
      <c r="E7" s="103">
        <v>32.200000000000003</v>
      </c>
      <c r="F7" s="103">
        <v>112</v>
      </c>
      <c r="G7" s="103">
        <v>57</v>
      </c>
      <c r="H7" s="103">
        <v>3</v>
      </c>
      <c r="I7" s="103">
        <v>15.5</v>
      </c>
      <c r="J7" s="103"/>
      <c r="K7" s="103"/>
      <c r="L7" s="103"/>
      <c r="M7" s="103"/>
      <c r="N7" s="103">
        <f t="shared" si="0"/>
        <v>47.7</v>
      </c>
    </row>
    <row r="8" spans="1:15">
      <c r="A8" s="104" t="s">
        <v>539</v>
      </c>
      <c r="B8" s="103">
        <v>199</v>
      </c>
      <c r="C8" s="103">
        <v>38</v>
      </c>
      <c r="D8" s="103">
        <v>8</v>
      </c>
      <c r="E8" s="103">
        <v>32.4</v>
      </c>
      <c r="F8" s="103">
        <v>98</v>
      </c>
      <c r="G8" s="103">
        <v>54</v>
      </c>
      <c r="H8" s="103">
        <v>5</v>
      </c>
      <c r="I8" s="103">
        <v>15.45</v>
      </c>
      <c r="J8" s="103"/>
      <c r="K8" s="103"/>
      <c r="L8" s="103"/>
      <c r="M8" s="103"/>
      <c r="N8" s="103">
        <f t="shared" si="0"/>
        <v>47.849999999999994</v>
      </c>
    </row>
    <row r="9" spans="1:15">
      <c r="A9" s="104" t="s">
        <v>540</v>
      </c>
      <c r="B9" s="103">
        <v>207</v>
      </c>
      <c r="C9" s="103">
        <v>50</v>
      </c>
      <c r="D9" s="103">
        <v>8</v>
      </c>
      <c r="E9" s="103">
        <v>46.66</v>
      </c>
      <c r="F9" s="103">
        <v>105</v>
      </c>
      <c r="G9" s="103">
        <v>96</v>
      </c>
      <c r="H9" s="103">
        <v>5</v>
      </c>
      <c r="I9" s="103">
        <v>29.6</v>
      </c>
      <c r="J9" s="103"/>
      <c r="K9" s="103"/>
      <c r="L9" s="103"/>
      <c r="M9" s="103"/>
      <c r="N9" s="103">
        <f t="shared" si="0"/>
        <v>76.259999999999991</v>
      </c>
    </row>
    <row r="10" spans="1:15">
      <c r="A10" s="104" t="s">
        <v>541</v>
      </c>
      <c r="B10" s="103">
        <v>199</v>
      </c>
      <c r="C10" s="103">
        <v>38</v>
      </c>
      <c r="D10" s="103">
        <v>8</v>
      </c>
      <c r="E10" s="103">
        <v>32.4</v>
      </c>
      <c r="F10" s="103">
        <v>98</v>
      </c>
      <c r="G10" s="103">
        <v>54</v>
      </c>
      <c r="H10" s="103">
        <v>5</v>
      </c>
      <c r="I10" s="103">
        <v>15.45</v>
      </c>
      <c r="J10" s="103"/>
      <c r="K10" s="103"/>
      <c r="L10" s="103"/>
      <c r="M10" s="103"/>
      <c r="N10" s="103">
        <f t="shared" si="0"/>
        <v>47.849999999999994</v>
      </c>
    </row>
    <row r="11" spans="1:15">
      <c r="A11" s="104" t="s">
        <v>542</v>
      </c>
      <c r="B11" s="103">
        <v>207</v>
      </c>
      <c r="C11" s="103">
        <v>50</v>
      </c>
      <c r="D11" s="103">
        <v>8</v>
      </c>
      <c r="E11" s="103">
        <v>46.66</v>
      </c>
      <c r="F11" s="103">
        <v>105</v>
      </c>
      <c r="G11" s="103">
        <v>96</v>
      </c>
      <c r="H11" s="103">
        <v>5</v>
      </c>
      <c r="I11" s="103">
        <v>29.6</v>
      </c>
      <c r="J11" s="103"/>
      <c r="K11" s="103"/>
      <c r="L11" s="103"/>
      <c r="M11" s="103"/>
      <c r="N11" s="103">
        <f t="shared" si="0"/>
        <v>76.259999999999991</v>
      </c>
    </row>
    <row r="12" spans="1:15">
      <c r="A12" s="104" t="s">
        <v>543</v>
      </c>
      <c r="B12" s="103">
        <v>207</v>
      </c>
      <c r="C12" s="103">
        <v>50</v>
      </c>
      <c r="D12" s="103">
        <v>8</v>
      </c>
      <c r="E12" s="103">
        <v>46.66</v>
      </c>
      <c r="F12" s="103">
        <v>105</v>
      </c>
      <c r="G12" s="103">
        <v>96</v>
      </c>
      <c r="H12" s="103">
        <v>5</v>
      </c>
      <c r="I12" s="103">
        <v>29.6</v>
      </c>
      <c r="J12" s="103"/>
      <c r="K12" s="103"/>
      <c r="L12" s="103"/>
      <c r="M12" s="103"/>
      <c r="N12" s="103">
        <f t="shared" si="0"/>
        <v>76.259999999999991</v>
      </c>
    </row>
    <row r="13" spans="1:15">
      <c r="A13" s="104" t="s">
        <v>544</v>
      </c>
      <c r="B13" s="103">
        <v>193</v>
      </c>
      <c r="C13" s="103">
        <v>42</v>
      </c>
      <c r="D13" s="103">
        <v>9</v>
      </c>
      <c r="E13" s="103">
        <v>37.534999999999997</v>
      </c>
      <c r="F13" s="103"/>
      <c r="G13" s="103"/>
      <c r="H13" s="103"/>
      <c r="I13" s="103"/>
      <c r="J13" s="103"/>
      <c r="K13" s="103"/>
      <c r="L13" s="103"/>
      <c r="M13" s="103"/>
      <c r="N13" s="103">
        <f t="shared" si="0"/>
        <v>37.534999999999997</v>
      </c>
    </row>
    <row r="14" spans="1:15">
      <c r="A14" s="104" t="s">
        <v>545</v>
      </c>
      <c r="B14" s="103">
        <v>205</v>
      </c>
      <c r="C14" s="103">
        <v>50</v>
      </c>
      <c r="D14" s="103">
        <v>8</v>
      </c>
      <c r="E14" s="103">
        <v>41.95</v>
      </c>
      <c r="F14" s="103">
        <v>106</v>
      </c>
      <c r="G14" s="103">
        <v>84</v>
      </c>
      <c r="H14" s="103">
        <v>5</v>
      </c>
      <c r="I14" s="103">
        <v>23.5</v>
      </c>
      <c r="J14" s="103"/>
      <c r="K14" s="103"/>
      <c r="L14" s="103"/>
      <c r="M14" s="103"/>
      <c r="N14" s="103">
        <f t="shared" si="0"/>
        <v>65.45</v>
      </c>
    </row>
    <row r="15" spans="1:15">
      <c r="A15" s="104" t="s">
        <v>546</v>
      </c>
      <c r="B15" s="103">
        <v>205</v>
      </c>
      <c r="C15" s="103">
        <v>50</v>
      </c>
      <c r="D15" s="103">
        <v>8</v>
      </c>
      <c r="E15" s="103">
        <v>41.95</v>
      </c>
      <c r="F15" s="103">
        <v>106</v>
      </c>
      <c r="G15" s="103">
        <v>84</v>
      </c>
      <c r="H15" s="103">
        <v>5</v>
      </c>
      <c r="I15" s="103">
        <v>23.5</v>
      </c>
      <c r="J15" s="103"/>
      <c r="K15" s="103"/>
      <c r="L15" s="103"/>
      <c r="M15" s="103"/>
      <c r="N15" s="103">
        <f t="shared" si="0"/>
        <v>65.45</v>
      </c>
    </row>
    <row r="16" spans="1:15">
      <c r="A16" s="104" t="s">
        <v>547</v>
      </c>
      <c r="B16" s="103">
        <v>205</v>
      </c>
      <c r="C16" s="103">
        <v>50</v>
      </c>
      <c r="D16" s="103">
        <v>8</v>
      </c>
      <c r="E16" s="103">
        <v>41.95</v>
      </c>
      <c r="F16" s="103">
        <v>106</v>
      </c>
      <c r="G16" s="103">
        <v>84</v>
      </c>
      <c r="H16" s="103">
        <v>5</v>
      </c>
      <c r="I16" s="103">
        <v>23.5</v>
      </c>
      <c r="J16" s="103"/>
      <c r="K16" s="103"/>
      <c r="L16" s="103"/>
      <c r="M16" s="103"/>
      <c r="N16" s="103">
        <f t="shared" si="0"/>
        <v>65.45</v>
      </c>
    </row>
    <row r="17" spans="1:14">
      <c r="A17" s="104" t="s">
        <v>548</v>
      </c>
      <c r="B17" s="103">
        <v>205</v>
      </c>
      <c r="C17" s="103">
        <v>50</v>
      </c>
      <c r="D17" s="103">
        <v>8</v>
      </c>
      <c r="E17" s="103">
        <v>41.95</v>
      </c>
      <c r="F17" s="103">
        <v>106</v>
      </c>
      <c r="G17" s="103">
        <v>84</v>
      </c>
      <c r="H17" s="103">
        <v>5</v>
      </c>
      <c r="I17" s="103">
        <v>23.5</v>
      </c>
      <c r="J17" s="103"/>
      <c r="K17" s="103"/>
      <c r="L17" s="103"/>
      <c r="M17" s="103"/>
      <c r="N17" s="103">
        <f t="shared" si="0"/>
        <v>65.45</v>
      </c>
    </row>
    <row r="18" spans="1:14">
      <c r="A18" s="104" t="s">
        <v>549</v>
      </c>
      <c r="B18" s="103">
        <v>199</v>
      </c>
      <c r="C18" s="103">
        <v>38</v>
      </c>
      <c r="D18" s="103">
        <v>8</v>
      </c>
      <c r="E18" s="103">
        <v>31.72</v>
      </c>
      <c r="F18" s="103">
        <v>99</v>
      </c>
      <c r="G18" s="103">
        <v>54</v>
      </c>
      <c r="H18" s="103">
        <v>5</v>
      </c>
      <c r="I18" s="103">
        <v>13.21</v>
      </c>
      <c r="J18" s="103"/>
      <c r="K18" s="103"/>
      <c r="L18" s="103"/>
      <c r="M18" s="103"/>
      <c r="N18" s="103">
        <f t="shared" si="0"/>
        <v>44.93</v>
      </c>
    </row>
    <row r="19" spans="1:14">
      <c r="A19" s="104" t="s">
        <v>550</v>
      </c>
      <c r="B19" s="103">
        <v>72</v>
      </c>
      <c r="C19" s="103">
        <v>39</v>
      </c>
      <c r="D19" s="103">
        <v>5</v>
      </c>
      <c r="E19" s="103">
        <v>6.47</v>
      </c>
      <c r="F19" s="103"/>
      <c r="G19" s="103"/>
      <c r="H19" s="103"/>
      <c r="I19" s="103"/>
      <c r="J19" s="103"/>
      <c r="K19" s="103"/>
      <c r="L19" s="103"/>
      <c r="M19" s="103"/>
      <c r="N19" s="103">
        <f t="shared" si="0"/>
        <v>6.47</v>
      </c>
    </row>
    <row r="20" spans="1:14">
      <c r="A20" s="104" t="s">
        <v>551</v>
      </c>
      <c r="B20" s="51">
        <v>42</v>
      </c>
      <c r="C20" s="51">
        <v>41</v>
      </c>
      <c r="D20" s="51">
        <v>6</v>
      </c>
      <c r="E20" s="106">
        <v>5</v>
      </c>
      <c r="F20" s="103"/>
      <c r="G20" s="103"/>
      <c r="H20" s="103"/>
      <c r="I20" s="103"/>
      <c r="J20" s="103"/>
      <c r="K20" s="103"/>
      <c r="L20" s="103"/>
      <c r="M20" s="103"/>
      <c r="N20" s="103">
        <f t="shared" si="0"/>
        <v>5</v>
      </c>
    </row>
    <row r="21" spans="1:14">
      <c r="A21" s="104" t="s">
        <v>552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>
        <f t="shared" si="0"/>
        <v>0</v>
      </c>
    </row>
    <row r="22" spans="1:14">
      <c r="A22" s="104" t="s">
        <v>553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>
        <f t="shared" si="0"/>
        <v>0</v>
      </c>
    </row>
    <row r="23" spans="1:14">
      <c r="A23" s="104" t="s">
        <v>554</v>
      </c>
      <c r="B23" s="103">
        <v>60</v>
      </c>
      <c r="C23" s="103">
        <v>44</v>
      </c>
      <c r="D23" s="103">
        <v>7</v>
      </c>
      <c r="E23" s="103">
        <v>10.49</v>
      </c>
      <c r="F23" s="103"/>
      <c r="G23" s="103"/>
      <c r="H23" s="103"/>
      <c r="I23" s="103"/>
      <c r="J23" s="103"/>
      <c r="K23" s="103"/>
      <c r="L23" s="103"/>
      <c r="M23" s="103"/>
      <c r="N23" s="103">
        <f t="shared" si="0"/>
        <v>10.49</v>
      </c>
    </row>
    <row r="24" spans="1:14">
      <c r="A24" s="104" t="s">
        <v>555</v>
      </c>
      <c r="B24" s="103">
        <v>51</v>
      </c>
      <c r="C24" s="103">
        <v>44</v>
      </c>
      <c r="D24" s="103">
        <v>6</v>
      </c>
      <c r="E24" s="103">
        <v>8.3000000000000007</v>
      </c>
      <c r="F24" s="103"/>
      <c r="G24" s="103"/>
      <c r="H24" s="103"/>
      <c r="I24" s="103"/>
      <c r="J24" s="103"/>
      <c r="K24" s="103"/>
      <c r="L24" s="103"/>
      <c r="M24" s="103"/>
      <c r="N24" s="103">
        <f t="shared" si="0"/>
        <v>8.3000000000000007</v>
      </c>
    </row>
    <row r="25" spans="1:14">
      <c r="A25" s="104" t="s">
        <v>556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>
        <f>E26+I25+M25</f>
        <v>0.28999999999999998</v>
      </c>
    </row>
    <row r="26" spans="1:14">
      <c r="A26" s="104" t="s">
        <v>557</v>
      </c>
      <c r="B26" s="103">
        <v>15</v>
      </c>
      <c r="C26" s="103">
        <v>15</v>
      </c>
      <c r="D26" s="103">
        <v>8</v>
      </c>
      <c r="E26" s="103">
        <v>0.28999999999999998</v>
      </c>
      <c r="F26" s="103"/>
      <c r="G26" s="103"/>
      <c r="H26" s="103"/>
      <c r="I26" s="103"/>
      <c r="J26" s="103"/>
      <c r="K26" s="103"/>
      <c r="L26" s="103"/>
      <c r="M26" s="103"/>
      <c r="N26" s="103">
        <f>E27+I26+M26</f>
        <v>0.4</v>
      </c>
    </row>
    <row r="27" spans="1:14">
      <c r="A27" s="104" t="s">
        <v>558</v>
      </c>
      <c r="B27" s="103">
        <v>15</v>
      </c>
      <c r="C27" s="103">
        <v>15</v>
      </c>
      <c r="D27" s="103">
        <v>8</v>
      </c>
      <c r="E27" s="103">
        <v>0.4</v>
      </c>
      <c r="F27" s="103"/>
      <c r="G27" s="103"/>
      <c r="H27" s="103"/>
      <c r="I27" s="103"/>
      <c r="J27" s="103"/>
      <c r="K27" s="103"/>
      <c r="L27" s="103"/>
      <c r="M27" s="103"/>
      <c r="N27" s="103">
        <f t="shared" ref="N27:N90" si="1">E27+I27+M27</f>
        <v>0.4</v>
      </c>
    </row>
    <row r="28" spans="1:14">
      <c r="A28" s="104" t="s">
        <v>559</v>
      </c>
      <c r="B28" s="103">
        <v>123</v>
      </c>
      <c r="C28" s="103">
        <v>56</v>
      </c>
      <c r="D28" s="103">
        <v>5</v>
      </c>
      <c r="E28" s="103">
        <v>24.49</v>
      </c>
      <c r="F28" s="103"/>
      <c r="G28" s="103"/>
      <c r="H28" s="103"/>
      <c r="I28" s="103"/>
      <c r="J28" s="103"/>
      <c r="K28" s="103"/>
      <c r="L28" s="103"/>
      <c r="M28" s="103"/>
      <c r="N28" s="103">
        <f t="shared" si="1"/>
        <v>24.49</v>
      </c>
    </row>
    <row r="29" spans="1:14">
      <c r="A29" s="104" t="s">
        <v>560</v>
      </c>
      <c r="B29" s="103">
        <v>112</v>
      </c>
      <c r="C29" s="103">
        <v>51</v>
      </c>
      <c r="D29" s="103">
        <v>5</v>
      </c>
      <c r="E29" s="103">
        <v>16.100000000000001</v>
      </c>
      <c r="F29" s="103"/>
      <c r="G29" s="103"/>
      <c r="H29" s="103"/>
      <c r="I29" s="103"/>
      <c r="J29" s="103"/>
      <c r="K29" s="103"/>
      <c r="L29" s="103"/>
      <c r="M29" s="103"/>
      <c r="N29" s="103">
        <f t="shared" si="1"/>
        <v>16.100000000000001</v>
      </c>
    </row>
    <row r="30" spans="1:14">
      <c r="A30" s="104" t="s">
        <v>561</v>
      </c>
      <c r="B30" s="103">
        <v>84</v>
      </c>
      <c r="C30" s="103">
        <v>71</v>
      </c>
      <c r="D30" s="103">
        <v>8</v>
      </c>
      <c r="E30" s="103">
        <v>13.57</v>
      </c>
      <c r="F30" s="103"/>
      <c r="G30" s="103"/>
      <c r="H30" s="103"/>
      <c r="I30" s="103"/>
      <c r="J30" s="103"/>
      <c r="K30" s="103"/>
      <c r="L30" s="103"/>
      <c r="M30" s="103"/>
      <c r="N30" s="103">
        <f t="shared" si="1"/>
        <v>13.57</v>
      </c>
    </row>
    <row r="31" spans="1:14">
      <c r="A31" s="104" t="s">
        <v>562</v>
      </c>
      <c r="B31" s="103">
        <v>110</v>
      </c>
      <c r="C31" s="103">
        <v>50</v>
      </c>
      <c r="D31" s="103">
        <v>8</v>
      </c>
      <c r="E31" s="103">
        <v>24.67</v>
      </c>
      <c r="F31" s="103"/>
      <c r="G31" s="103"/>
      <c r="H31" s="103"/>
      <c r="I31" s="103"/>
      <c r="J31" s="103"/>
      <c r="K31" s="103"/>
      <c r="L31" s="103"/>
      <c r="M31" s="103"/>
      <c r="N31" s="103">
        <f t="shared" si="1"/>
        <v>24.67</v>
      </c>
    </row>
    <row r="32" spans="1:14">
      <c r="A32" s="104" t="s">
        <v>563</v>
      </c>
      <c r="B32" s="103">
        <v>99</v>
      </c>
      <c r="C32" s="103">
        <v>50</v>
      </c>
      <c r="D32" s="103">
        <v>4</v>
      </c>
      <c r="E32" s="103">
        <v>6.12</v>
      </c>
      <c r="F32" s="103"/>
      <c r="G32" s="103"/>
      <c r="H32" s="103"/>
      <c r="I32" s="103"/>
      <c r="J32" s="103"/>
      <c r="K32" s="103"/>
      <c r="L32" s="103"/>
      <c r="M32" s="103"/>
      <c r="N32" s="103">
        <f t="shared" si="1"/>
        <v>6.12</v>
      </c>
    </row>
    <row r="33" spans="1:14">
      <c r="A33" s="104" t="s">
        <v>564</v>
      </c>
      <c r="B33" s="103">
        <v>98</v>
      </c>
      <c r="C33" s="103">
        <v>51</v>
      </c>
      <c r="D33" s="103">
        <v>4</v>
      </c>
      <c r="E33" s="103">
        <v>11.39</v>
      </c>
      <c r="F33" s="103"/>
      <c r="G33" s="103"/>
      <c r="H33" s="103"/>
      <c r="I33" s="103"/>
      <c r="J33" s="103"/>
      <c r="K33" s="103"/>
      <c r="L33" s="103"/>
      <c r="M33" s="103"/>
      <c r="N33" s="103">
        <f t="shared" si="1"/>
        <v>11.39</v>
      </c>
    </row>
    <row r="34" spans="1:14">
      <c r="A34" s="104" t="s">
        <v>565</v>
      </c>
      <c r="B34" s="103">
        <v>75</v>
      </c>
      <c r="C34" s="103">
        <v>75</v>
      </c>
      <c r="D34" s="103">
        <v>4</v>
      </c>
      <c r="E34" s="103">
        <v>8.1999999999999993</v>
      </c>
      <c r="F34" s="103"/>
      <c r="G34" s="103"/>
      <c r="H34" s="103"/>
      <c r="I34" s="103"/>
      <c r="J34" s="103"/>
      <c r="K34" s="103"/>
      <c r="L34" s="103"/>
      <c r="M34" s="103"/>
      <c r="N34" s="103">
        <f t="shared" si="1"/>
        <v>8.1999999999999993</v>
      </c>
    </row>
    <row r="35" spans="1:14">
      <c r="A35" s="104" t="s">
        <v>566</v>
      </c>
      <c r="B35" s="103">
        <v>77</v>
      </c>
      <c r="C35" s="103">
        <v>76</v>
      </c>
      <c r="D35" s="103">
        <v>4</v>
      </c>
      <c r="E35" s="103">
        <v>11.27</v>
      </c>
      <c r="F35" s="103"/>
      <c r="G35" s="103"/>
      <c r="H35" s="103"/>
      <c r="I35" s="103"/>
      <c r="J35" s="103"/>
      <c r="K35" s="103"/>
      <c r="L35" s="103"/>
      <c r="M35" s="103"/>
      <c r="N35" s="103">
        <f t="shared" si="1"/>
        <v>11.27</v>
      </c>
    </row>
    <row r="36" spans="1:14">
      <c r="A36" s="104" t="s">
        <v>567</v>
      </c>
      <c r="B36" s="103">
        <v>105</v>
      </c>
      <c r="C36" s="103">
        <v>51</v>
      </c>
      <c r="D36" s="103">
        <v>7</v>
      </c>
      <c r="E36" s="103">
        <v>15.8</v>
      </c>
      <c r="F36" s="103"/>
      <c r="G36" s="103"/>
      <c r="H36" s="103"/>
      <c r="I36" s="103"/>
      <c r="J36" s="103"/>
      <c r="K36" s="103"/>
      <c r="L36" s="103"/>
      <c r="M36" s="103"/>
      <c r="N36" s="103">
        <f t="shared" si="1"/>
        <v>15.8</v>
      </c>
    </row>
    <row r="37" spans="1:14">
      <c r="A37" s="104" t="s">
        <v>568</v>
      </c>
      <c r="B37" s="103">
        <v>81</v>
      </c>
      <c r="C37" s="103">
        <v>80</v>
      </c>
      <c r="D37" s="103">
        <v>7</v>
      </c>
      <c r="E37" s="103">
        <v>16.899999999999999</v>
      </c>
      <c r="F37" s="103"/>
      <c r="G37" s="103"/>
      <c r="H37" s="103"/>
      <c r="I37" s="103"/>
      <c r="J37" s="103"/>
      <c r="K37" s="103"/>
      <c r="L37" s="103"/>
      <c r="M37" s="103"/>
      <c r="N37" s="103">
        <f t="shared" si="1"/>
        <v>16.899999999999999</v>
      </c>
    </row>
    <row r="38" spans="1:14">
      <c r="A38" s="104" t="s">
        <v>569</v>
      </c>
      <c r="B38" s="103">
        <v>114</v>
      </c>
      <c r="C38" s="103">
        <v>56</v>
      </c>
      <c r="D38" s="103">
        <v>7</v>
      </c>
      <c r="E38" s="103">
        <v>9.4</v>
      </c>
      <c r="F38" s="103"/>
      <c r="G38" s="103"/>
      <c r="H38" s="103"/>
      <c r="I38" s="103"/>
      <c r="J38" s="103"/>
      <c r="K38" s="103"/>
      <c r="L38" s="103"/>
      <c r="M38" s="103"/>
      <c r="N38" s="103">
        <f t="shared" si="1"/>
        <v>9.4</v>
      </c>
    </row>
    <row r="39" spans="1:14">
      <c r="A39" s="104" t="s">
        <v>570</v>
      </c>
      <c r="B39" s="103">
        <v>104</v>
      </c>
      <c r="C39" s="103">
        <v>60</v>
      </c>
      <c r="D39" s="103">
        <v>7</v>
      </c>
      <c r="E39" s="103">
        <v>17.7</v>
      </c>
      <c r="F39" s="103"/>
      <c r="G39" s="103"/>
      <c r="H39" s="103"/>
      <c r="I39" s="103"/>
      <c r="J39" s="103"/>
      <c r="K39" s="103"/>
      <c r="L39" s="103"/>
      <c r="M39" s="103"/>
      <c r="N39" s="103">
        <f t="shared" si="1"/>
        <v>17.7</v>
      </c>
    </row>
    <row r="40" spans="1:14">
      <c r="A40" s="104" t="s">
        <v>571</v>
      </c>
      <c r="B40" s="103">
        <v>85</v>
      </c>
      <c r="C40" s="103">
        <v>84</v>
      </c>
      <c r="D40" s="103">
        <v>6</v>
      </c>
      <c r="E40" s="103">
        <v>17.399999999999999</v>
      </c>
      <c r="F40" s="103"/>
      <c r="G40" s="103"/>
      <c r="H40" s="103"/>
      <c r="I40" s="103"/>
      <c r="J40" s="103"/>
      <c r="K40" s="103"/>
      <c r="L40" s="103"/>
      <c r="M40" s="103"/>
      <c r="N40" s="103">
        <f t="shared" si="1"/>
        <v>17.399999999999999</v>
      </c>
    </row>
    <row r="41" spans="1:14">
      <c r="A41" s="104" t="s">
        <v>572</v>
      </c>
      <c r="B41" s="103">
        <v>92</v>
      </c>
      <c r="C41" s="103">
        <v>88</v>
      </c>
      <c r="D41" s="103">
        <v>4</v>
      </c>
      <c r="E41" s="103">
        <v>7.2</v>
      </c>
      <c r="F41" s="103">
        <v>52</v>
      </c>
      <c r="G41" s="103">
        <v>12</v>
      </c>
      <c r="H41" s="103">
        <v>12</v>
      </c>
      <c r="I41" s="103">
        <v>1.55</v>
      </c>
      <c r="J41" s="103"/>
      <c r="K41" s="103"/>
      <c r="L41" s="103"/>
      <c r="M41" s="103"/>
      <c r="N41" s="103">
        <f t="shared" si="1"/>
        <v>8.75</v>
      </c>
    </row>
    <row r="42" spans="1:14">
      <c r="A42" s="104" t="s">
        <v>573</v>
      </c>
      <c r="B42" s="103">
        <v>100</v>
      </c>
      <c r="C42" s="103">
        <v>92</v>
      </c>
      <c r="D42" s="103">
        <v>4</v>
      </c>
      <c r="E42" s="103">
        <v>5.9</v>
      </c>
      <c r="F42" s="103">
        <v>52</v>
      </c>
      <c r="G42" s="103">
        <v>12</v>
      </c>
      <c r="H42" s="103">
        <v>12</v>
      </c>
      <c r="I42" s="103">
        <v>1.84</v>
      </c>
      <c r="J42" s="103"/>
      <c r="K42" s="103"/>
      <c r="L42" s="103"/>
      <c r="M42" s="103"/>
      <c r="N42" s="103">
        <f t="shared" si="1"/>
        <v>7.74</v>
      </c>
    </row>
    <row r="43" spans="1:14">
      <c r="A43" s="104" t="s">
        <v>574</v>
      </c>
      <c r="B43" s="103">
        <v>80</v>
      </c>
      <c r="C43" s="103">
        <v>80</v>
      </c>
      <c r="D43" s="103">
        <v>5</v>
      </c>
      <c r="E43" s="103">
        <v>6.1950000000000003</v>
      </c>
      <c r="F43" s="103">
        <v>52</v>
      </c>
      <c r="G43" s="103">
        <v>12</v>
      </c>
      <c r="H43" s="103">
        <v>12</v>
      </c>
      <c r="I43" s="103">
        <v>1.84</v>
      </c>
      <c r="J43" s="103"/>
      <c r="K43" s="103"/>
      <c r="L43" s="103"/>
      <c r="M43" s="103"/>
      <c r="N43" s="103">
        <f t="shared" si="1"/>
        <v>8.0350000000000001</v>
      </c>
    </row>
    <row r="44" spans="1:14">
      <c r="A44" s="104" t="s">
        <v>575</v>
      </c>
      <c r="B44" s="103">
        <v>100</v>
      </c>
      <c r="C44" s="103">
        <v>50</v>
      </c>
      <c r="D44" s="103">
        <v>5</v>
      </c>
      <c r="E44" s="103">
        <v>13.31</v>
      </c>
      <c r="F44" s="103"/>
      <c r="G44" s="103"/>
      <c r="H44" s="103"/>
      <c r="I44" s="103"/>
      <c r="J44" s="103"/>
      <c r="K44" s="103"/>
      <c r="L44" s="103"/>
      <c r="M44" s="103"/>
      <c r="N44" s="103">
        <f t="shared" si="1"/>
        <v>13.31</v>
      </c>
    </row>
    <row r="45" spans="1:14">
      <c r="A45" s="104" t="s">
        <v>576</v>
      </c>
      <c r="B45" s="103">
        <v>75</v>
      </c>
      <c r="C45" s="103">
        <v>75</v>
      </c>
      <c r="D45" s="103">
        <v>5</v>
      </c>
      <c r="E45" s="103">
        <v>15.1</v>
      </c>
      <c r="F45" s="103"/>
      <c r="G45" s="103"/>
      <c r="H45" s="103"/>
      <c r="I45" s="103"/>
      <c r="J45" s="103"/>
      <c r="K45" s="103"/>
      <c r="L45" s="103"/>
      <c r="M45" s="103"/>
      <c r="N45" s="103">
        <f t="shared" si="1"/>
        <v>15.1</v>
      </c>
    </row>
    <row r="46" spans="1:14">
      <c r="A46" s="104" t="s">
        <v>577</v>
      </c>
      <c r="B46" s="103">
        <v>101</v>
      </c>
      <c r="C46" s="103">
        <v>47</v>
      </c>
      <c r="D46" s="103">
        <v>5</v>
      </c>
      <c r="E46" s="103">
        <v>12.4</v>
      </c>
      <c r="F46" s="103"/>
      <c r="G46" s="103"/>
      <c r="H46" s="103"/>
      <c r="I46" s="103"/>
      <c r="J46" s="103"/>
      <c r="K46" s="103"/>
      <c r="L46" s="103"/>
      <c r="M46" s="103"/>
      <c r="N46" s="103">
        <f t="shared" si="1"/>
        <v>12.4</v>
      </c>
    </row>
    <row r="47" spans="1:14">
      <c r="A47" s="104" t="s">
        <v>578</v>
      </c>
      <c r="B47" s="51">
        <v>105</v>
      </c>
      <c r="C47" s="51">
        <v>65</v>
      </c>
      <c r="D47" s="51">
        <v>4</v>
      </c>
      <c r="E47" s="51">
        <v>9.64</v>
      </c>
      <c r="F47" s="103"/>
      <c r="G47" s="103"/>
      <c r="H47" s="103"/>
      <c r="I47" s="103"/>
      <c r="J47" s="103"/>
      <c r="K47" s="103"/>
      <c r="L47" s="103"/>
      <c r="M47" s="103"/>
      <c r="N47" s="103">
        <f t="shared" si="1"/>
        <v>9.64</v>
      </c>
    </row>
    <row r="48" spans="1:14">
      <c r="A48" s="104" t="s">
        <v>579</v>
      </c>
      <c r="B48" s="51">
        <v>104</v>
      </c>
      <c r="C48" s="51">
        <v>59</v>
      </c>
      <c r="D48" s="51">
        <v>5</v>
      </c>
      <c r="E48" s="51">
        <v>10</v>
      </c>
      <c r="F48" s="103"/>
      <c r="G48" s="103"/>
      <c r="H48" s="103"/>
      <c r="I48" s="103"/>
      <c r="J48" s="103"/>
      <c r="K48" s="103"/>
      <c r="L48" s="103"/>
      <c r="M48" s="103"/>
      <c r="N48" s="103">
        <f t="shared" si="1"/>
        <v>10</v>
      </c>
    </row>
    <row r="49" spans="1:14">
      <c r="A49" s="104" t="s">
        <v>580</v>
      </c>
      <c r="B49" s="103">
        <v>95</v>
      </c>
      <c r="C49" s="103">
        <v>50</v>
      </c>
      <c r="D49" s="103">
        <v>7</v>
      </c>
      <c r="E49" s="103">
        <v>15.595000000000001</v>
      </c>
      <c r="F49" s="103"/>
      <c r="G49" s="103"/>
      <c r="H49" s="103"/>
      <c r="I49" s="103"/>
      <c r="J49" s="103"/>
      <c r="K49" s="103"/>
      <c r="L49" s="103"/>
      <c r="M49" s="103"/>
      <c r="N49" s="103">
        <f t="shared" si="1"/>
        <v>15.595000000000001</v>
      </c>
    </row>
    <row r="50" spans="1:14">
      <c r="A50" s="104" t="s">
        <v>581</v>
      </c>
      <c r="B50" s="103">
        <v>90</v>
      </c>
      <c r="C50" s="103">
        <v>80</v>
      </c>
      <c r="D50" s="103">
        <v>7</v>
      </c>
      <c r="E50" s="103">
        <v>16.45</v>
      </c>
      <c r="F50" s="103"/>
      <c r="G50" s="103"/>
      <c r="H50" s="103"/>
      <c r="I50" s="103"/>
      <c r="J50" s="103"/>
      <c r="K50" s="103"/>
      <c r="L50" s="103"/>
      <c r="M50" s="103"/>
      <c r="N50" s="103">
        <f t="shared" si="1"/>
        <v>16.45</v>
      </c>
    </row>
    <row r="51" spans="1:14">
      <c r="A51" s="104" t="s">
        <v>582</v>
      </c>
      <c r="B51" s="103">
        <v>90</v>
      </c>
      <c r="C51" s="103">
        <v>80</v>
      </c>
      <c r="D51" s="103">
        <v>7</v>
      </c>
      <c r="E51" s="103">
        <v>16.45</v>
      </c>
      <c r="F51" s="103"/>
      <c r="G51" s="103"/>
      <c r="H51" s="103"/>
      <c r="I51" s="103"/>
      <c r="J51" s="103"/>
      <c r="K51" s="103"/>
      <c r="L51" s="103"/>
      <c r="M51" s="103"/>
      <c r="N51" s="103">
        <f t="shared" si="1"/>
        <v>16.45</v>
      </c>
    </row>
    <row r="52" spans="1:14">
      <c r="A52" s="104" t="s">
        <v>583</v>
      </c>
      <c r="B52" s="103">
        <v>95</v>
      </c>
      <c r="C52" s="103">
        <v>50</v>
      </c>
      <c r="D52" s="103">
        <v>7</v>
      </c>
      <c r="E52" s="103">
        <v>16.45</v>
      </c>
      <c r="F52" s="103"/>
      <c r="G52" s="103"/>
      <c r="H52" s="103"/>
      <c r="I52" s="103"/>
      <c r="J52" s="103"/>
      <c r="K52" s="103"/>
      <c r="L52" s="103"/>
      <c r="M52" s="103"/>
      <c r="N52" s="103">
        <f t="shared" si="1"/>
        <v>16.45</v>
      </c>
    </row>
    <row r="53" spans="1:14">
      <c r="A53" s="104" t="s">
        <v>584</v>
      </c>
      <c r="B53" s="103">
        <v>102</v>
      </c>
      <c r="C53" s="103">
        <v>57</v>
      </c>
      <c r="D53" s="103">
        <v>6</v>
      </c>
      <c r="E53" s="103">
        <v>15.85</v>
      </c>
      <c r="F53" s="103"/>
      <c r="G53" s="103"/>
      <c r="H53" s="103"/>
      <c r="I53" s="103"/>
      <c r="J53" s="103"/>
      <c r="K53" s="103"/>
      <c r="L53" s="103"/>
      <c r="M53" s="103"/>
      <c r="N53" s="103">
        <f t="shared" si="1"/>
        <v>15.85</v>
      </c>
    </row>
    <row r="54" spans="1:14">
      <c r="A54" s="104" t="s">
        <v>585</v>
      </c>
      <c r="B54" s="103">
        <v>110</v>
      </c>
      <c r="C54" s="103">
        <v>50</v>
      </c>
      <c r="D54" s="103">
        <v>5</v>
      </c>
      <c r="E54" s="103">
        <v>12.75</v>
      </c>
      <c r="F54" s="103"/>
      <c r="G54" s="103"/>
      <c r="H54" s="103"/>
      <c r="I54" s="103"/>
      <c r="J54" s="103"/>
      <c r="K54" s="103"/>
      <c r="L54" s="103"/>
      <c r="M54" s="103"/>
      <c r="N54" s="103">
        <f t="shared" si="1"/>
        <v>12.75</v>
      </c>
    </row>
    <row r="55" spans="1:14">
      <c r="A55" s="104" t="s">
        <v>394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>
        <f t="shared" si="1"/>
        <v>0</v>
      </c>
    </row>
    <row r="56" spans="1:14">
      <c r="A56" s="104" t="s">
        <v>586</v>
      </c>
      <c r="B56" s="103">
        <v>110</v>
      </c>
      <c r="C56" s="103">
        <v>49</v>
      </c>
      <c r="D56" s="103">
        <v>7</v>
      </c>
      <c r="E56" s="103">
        <v>18.47</v>
      </c>
      <c r="F56" s="103"/>
      <c r="G56" s="103"/>
      <c r="H56" s="103"/>
      <c r="I56" s="103"/>
      <c r="J56" s="103"/>
      <c r="K56" s="103"/>
      <c r="L56" s="103"/>
      <c r="M56" s="103"/>
      <c r="N56" s="103">
        <f t="shared" si="1"/>
        <v>18.47</v>
      </c>
    </row>
    <row r="57" spans="1:14">
      <c r="A57" s="104" t="s">
        <v>587</v>
      </c>
      <c r="B57" s="103">
        <v>85</v>
      </c>
      <c r="C57" s="103">
        <v>49</v>
      </c>
      <c r="D57" s="103">
        <v>7</v>
      </c>
      <c r="E57" s="103">
        <v>18.47</v>
      </c>
      <c r="F57" s="103"/>
      <c r="G57" s="103"/>
      <c r="H57" s="103"/>
      <c r="I57" s="103"/>
      <c r="J57" s="103"/>
      <c r="K57" s="103"/>
      <c r="L57" s="103"/>
      <c r="M57" s="103"/>
      <c r="N57" s="103">
        <f t="shared" si="1"/>
        <v>18.47</v>
      </c>
    </row>
    <row r="58" spans="1:14">
      <c r="A58" s="104" t="s">
        <v>588</v>
      </c>
      <c r="B58" s="103">
        <v>129</v>
      </c>
      <c r="C58" s="103">
        <v>49</v>
      </c>
      <c r="D58" s="103">
        <v>12</v>
      </c>
      <c r="E58" s="103">
        <v>43.22</v>
      </c>
      <c r="F58" s="103">
        <v>81</v>
      </c>
      <c r="G58" s="103">
        <v>46</v>
      </c>
      <c r="H58" s="103">
        <v>13</v>
      </c>
      <c r="I58" s="103">
        <v>24.545000000000002</v>
      </c>
      <c r="J58" s="103"/>
      <c r="K58" s="103"/>
      <c r="L58" s="103"/>
      <c r="M58" s="103"/>
      <c r="N58" s="103">
        <f t="shared" si="1"/>
        <v>67.765000000000001</v>
      </c>
    </row>
    <row r="59" spans="1:14">
      <c r="A59" s="104" t="s">
        <v>589</v>
      </c>
      <c r="B59" s="103">
        <v>85</v>
      </c>
      <c r="C59" s="103">
        <v>50</v>
      </c>
      <c r="D59" s="103">
        <v>18</v>
      </c>
      <c r="E59" s="103">
        <v>40.840000000000003</v>
      </c>
      <c r="F59" s="103"/>
      <c r="G59" s="103"/>
      <c r="H59" s="103"/>
      <c r="I59" s="103"/>
      <c r="J59" s="103"/>
      <c r="K59" s="103"/>
      <c r="L59" s="103"/>
      <c r="M59" s="103"/>
      <c r="N59" s="103">
        <f t="shared" si="1"/>
        <v>40.840000000000003</v>
      </c>
    </row>
    <row r="60" spans="1:14">
      <c r="A60" s="104" t="s">
        <v>590</v>
      </c>
      <c r="B60" s="103">
        <v>67</v>
      </c>
      <c r="C60" s="103">
        <v>40</v>
      </c>
      <c r="D60" s="103">
        <v>4</v>
      </c>
      <c r="E60" s="103">
        <v>5.35</v>
      </c>
      <c r="F60" s="103"/>
      <c r="G60" s="103"/>
      <c r="H60" s="103"/>
      <c r="I60" s="103"/>
      <c r="J60" s="103"/>
      <c r="K60" s="103"/>
      <c r="L60" s="103"/>
      <c r="M60" s="103"/>
      <c r="N60" s="103">
        <f t="shared" si="1"/>
        <v>5.35</v>
      </c>
    </row>
    <row r="61" spans="1:14">
      <c r="A61" s="104" t="s">
        <v>591</v>
      </c>
      <c r="B61" s="103">
        <v>158</v>
      </c>
      <c r="C61" s="103">
        <v>82</v>
      </c>
      <c r="D61" s="103">
        <v>5</v>
      </c>
      <c r="E61" s="103">
        <v>15.11</v>
      </c>
      <c r="F61" s="103"/>
      <c r="G61" s="103"/>
      <c r="H61" s="103"/>
      <c r="I61" s="103"/>
      <c r="J61" s="103"/>
      <c r="K61" s="103"/>
      <c r="L61" s="103"/>
      <c r="M61" s="103"/>
      <c r="N61" s="103">
        <f t="shared" si="1"/>
        <v>15.11</v>
      </c>
    </row>
    <row r="62" spans="1:14">
      <c r="A62" s="104" t="s">
        <v>592</v>
      </c>
      <c r="B62" s="103">
        <v>85</v>
      </c>
      <c r="C62" s="103">
        <v>85</v>
      </c>
      <c r="D62" s="103">
        <v>5</v>
      </c>
      <c r="E62" s="103">
        <v>9.92</v>
      </c>
      <c r="F62" s="103"/>
      <c r="G62" s="103"/>
      <c r="H62" s="103"/>
      <c r="I62" s="103"/>
      <c r="J62" s="103"/>
      <c r="K62" s="103"/>
      <c r="L62" s="103"/>
      <c r="M62" s="103"/>
      <c r="N62" s="103">
        <f t="shared" si="1"/>
        <v>9.92</v>
      </c>
    </row>
    <row r="63" spans="1:14">
      <c r="A63" s="104" t="s">
        <v>593</v>
      </c>
      <c r="B63" s="50">
        <v>116</v>
      </c>
      <c r="C63" s="50">
        <v>40</v>
      </c>
      <c r="D63" s="50">
        <v>7</v>
      </c>
      <c r="E63" s="107">
        <v>5.8</v>
      </c>
      <c r="F63" s="103"/>
      <c r="G63" s="103"/>
      <c r="H63" s="103"/>
      <c r="I63" s="103"/>
      <c r="J63" s="103"/>
      <c r="K63" s="103"/>
      <c r="L63" s="103"/>
      <c r="M63" s="103"/>
      <c r="N63" s="103">
        <f t="shared" si="1"/>
        <v>5.8</v>
      </c>
    </row>
    <row r="64" spans="1:14">
      <c r="A64" s="104" t="s">
        <v>594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>
        <f t="shared" si="1"/>
        <v>0</v>
      </c>
    </row>
    <row r="65" spans="1:14">
      <c r="A65" s="104" t="s">
        <v>595</v>
      </c>
      <c r="B65" s="103">
        <v>85</v>
      </c>
      <c r="C65" s="103">
        <v>35</v>
      </c>
      <c r="D65" s="103">
        <v>7</v>
      </c>
      <c r="E65" s="103">
        <v>3.7</v>
      </c>
      <c r="F65" s="103"/>
      <c r="G65" s="103"/>
      <c r="H65" s="103"/>
      <c r="I65" s="103"/>
      <c r="J65" s="103"/>
      <c r="K65" s="103"/>
      <c r="L65" s="103"/>
      <c r="M65" s="103"/>
      <c r="N65" s="103">
        <f t="shared" si="1"/>
        <v>3.7</v>
      </c>
    </row>
    <row r="66" spans="1:14">
      <c r="A66" s="104" t="s">
        <v>596</v>
      </c>
      <c r="B66" s="103">
        <v>39</v>
      </c>
      <c r="C66" s="103">
        <v>28</v>
      </c>
      <c r="D66" s="103">
        <v>5</v>
      </c>
      <c r="E66" s="103">
        <v>1.4650000000000001</v>
      </c>
      <c r="F66" s="103"/>
      <c r="G66" s="103"/>
      <c r="H66" s="103"/>
      <c r="I66" s="103"/>
      <c r="J66" s="103"/>
      <c r="K66" s="103"/>
      <c r="L66" s="103"/>
      <c r="M66" s="103"/>
      <c r="N66" s="103">
        <f t="shared" si="1"/>
        <v>1.4650000000000001</v>
      </c>
    </row>
    <row r="67" spans="1:14">
      <c r="A67" s="104" t="s">
        <v>597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>
        <f t="shared" si="1"/>
        <v>0</v>
      </c>
    </row>
    <row r="68" spans="1:14">
      <c r="A68" s="104" t="s">
        <v>598</v>
      </c>
      <c r="B68" s="103">
        <v>35</v>
      </c>
      <c r="C68" s="103">
        <v>32</v>
      </c>
      <c r="D68" s="103">
        <v>6</v>
      </c>
      <c r="E68" s="103">
        <v>0.9</v>
      </c>
      <c r="F68" s="103"/>
      <c r="G68" s="103"/>
      <c r="H68" s="103"/>
      <c r="I68" s="103"/>
      <c r="J68" s="103"/>
      <c r="K68" s="103"/>
      <c r="L68" s="103"/>
      <c r="M68" s="103"/>
      <c r="N68" s="103">
        <f t="shared" si="1"/>
        <v>0.9</v>
      </c>
    </row>
    <row r="69" spans="1:14">
      <c r="A69" s="104" t="s">
        <v>423</v>
      </c>
      <c r="B69" s="103">
        <v>25</v>
      </c>
      <c r="C69" s="103">
        <v>20</v>
      </c>
      <c r="D69" s="103">
        <v>5</v>
      </c>
      <c r="E69" s="103">
        <v>0.71</v>
      </c>
      <c r="F69" s="103"/>
      <c r="G69" s="103"/>
      <c r="H69" s="103"/>
      <c r="I69" s="103"/>
      <c r="J69" s="103"/>
      <c r="K69" s="103"/>
      <c r="L69" s="103"/>
      <c r="M69" s="103"/>
      <c r="N69" s="103">
        <f t="shared" si="1"/>
        <v>0.71</v>
      </c>
    </row>
    <row r="70" spans="1:14">
      <c r="A70" s="104" t="s">
        <v>424</v>
      </c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>
        <f t="shared" si="1"/>
        <v>0</v>
      </c>
    </row>
    <row r="71" spans="1:14">
      <c r="A71" s="104" t="s">
        <v>599</v>
      </c>
      <c r="B71" s="103">
        <v>40</v>
      </c>
      <c r="C71" s="103">
        <v>30</v>
      </c>
      <c r="D71" s="103">
        <v>8</v>
      </c>
      <c r="E71" s="103">
        <v>3.7</v>
      </c>
      <c r="F71" s="103"/>
      <c r="G71" s="103"/>
      <c r="H71" s="103"/>
      <c r="I71" s="103"/>
      <c r="J71" s="103"/>
      <c r="K71" s="103"/>
      <c r="L71" s="103"/>
      <c r="M71" s="103"/>
      <c r="N71" s="103">
        <f t="shared" si="1"/>
        <v>3.7</v>
      </c>
    </row>
    <row r="72" spans="1:14">
      <c r="A72" s="104" t="s">
        <v>600</v>
      </c>
      <c r="B72" s="103">
        <v>60</v>
      </c>
      <c r="C72" s="103">
        <v>35</v>
      </c>
      <c r="D72" s="103">
        <v>8</v>
      </c>
      <c r="E72" s="103">
        <v>5.2450000000000001</v>
      </c>
      <c r="F72" s="103"/>
      <c r="G72" s="103"/>
      <c r="H72" s="103"/>
      <c r="I72" s="103"/>
      <c r="J72" s="103"/>
      <c r="K72" s="103"/>
      <c r="L72" s="103"/>
      <c r="M72" s="103"/>
      <c r="N72" s="103">
        <f t="shared" si="1"/>
        <v>5.2450000000000001</v>
      </c>
    </row>
    <row r="73" spans="1:14">
      <c r="A73" s="104" t="s">
        <v>601</v>
      </c>
      <c r="B73" s="103">
        <v>25</v>
      </c>
      <c r="C73" s="103">
        <v>20</v>
      </c>
      <c r="D73" s="103">
        <v>5</v>
      </c>
      <c r="E73" s="103">
        <v>0.97</v>
      </c>
      <c r="F73" s="103"/>
      <c r="G73" s="103"/>
      <c r="H73" s="103"/>
      <c r="I73" s="103"/>
      <c r="J73" s="103"/>
      <c r="K73" s="103"/>
      <c r="L73" s="103"/>
      <c r="M73" s="103"/>
      <c r="N73" s="103">
        <f t="shared" si="1"/>
        <v>0.97</v>
      </c>
    </row>
    <row r="74" spans="1:14">
      <c r="A74" s="104" t="s">
        <v>602</v>
      </c>
      <c r="B74" s="103">
        <v>82</v>
      </c>
      <c r="C74" s="103">
        <v>20</v>
      </c>
      <c r="D74" s="103">
        <v>10</v>
      </c>
      <c r="E74" s="103">
        <v>7.5</v>
      </c>
      <c r="F74" s="103"/>
      <c r="G74" s="103"/>
      <c r="H74" s="103"/>
      <c r="I74" s="103"/>
      <c r="J74" s="103"/>
      <c r="K74" s="103"/>
      <c r="L74" s="103"/>
      <c r="M74" s="103"/>
      <c r="N74" s="103">
        <f t="shared" si="1"/>
        <v>7.5</v>
      </c>
    </row>
    <row r="75" spans="1:14">
      <c r="A75" s="104" t="s">
        <v>603</v>
      </c>
      <c r="B75" s="103">
        <v>67</v>
      </c>
      <c r="C75" s="103">
        <v>40</v>
      </c>
      <c r="D75" s="103">
        <v>4</v>
      </c>
      <c r="E75" s="103">
        <v>3.3</v>
      </c>
      <c r="F75" s="103"/>
      <c r="G75" s="103"/>
      <c r="H75" s="103"/>
      <c r="I75" s="103"/>
      <c r="J75" s="103"/>
      <c r="K75" s="103"/>
      <c r="L75" s="103"/>
      <c r="M75" s="103"/>
      <c r="N75" s="103">
        <f t="shared" si="1"/>
        <v>3.3</v>
      </c>
    </row>
    <row r="76" spans="1:14">
      <c r="A76" s="104" t="s">
        <v>604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>
        <f t="shared" si="1"/>
        <v>0</v>
      </c>
    </row>
    <row r="77" spans="1:14">
      <c r="A77" s="104" t="s">
        <v>605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>
        <f t="shared" si="1"/>
        <v>0</v>
      </c>
    </row>
    <row r="78" spans="1:14">
      <c r="A78" s="104" t="s">
        <v>606</v>
      </c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>
        <f t="shared" si="1"/>
        <v>0</v>
      </c>
    </row>
    <row r="79" spans="1:14">
      <c r="A79" s="104" t="s">
        <v>429</v>
      </c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>
        <f t="shared" si="1"/>
        <v>0</v>
      </c>
    </row>
    <row r="80" spans="1:14">
      <c r="A80" s="104" t="s">
        <v>607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>
        <f t="shared" si="1"/>
        <v>0</v>
      </c>
    </row>
    <row r="81" spans="1:14">
      <c r="A81" s="104" t="s">
        <v>608</v>
      </c>
      <c r="B81" s="103">
        <v>73</v>
      </c>
      <c r="C81" s="103">
        <v>51</v>
      </c>
      <c r="D81" s="103">
        <v>8</v>
      </c>
      <c r="E81" s="103">
        <v>8.32</v>
      </c>
      <c r="F81" s="103"/>
      <c r="G81" s="103"/>
      <c r="H81" s="103"/>
      <c r="I81" s="103"/>
      <c r="J81" s="103"/>
      <c r="K81" s="103"/>
      <c r="L81" s="103"/>
      <c r="M81" s="103"/>
      <c r="N81" s="103">
        <f t="shared" si="1"/>
        <v>8.32</v>
      </c>
    </row>
    <row r="82" spans="1:14">
      <c r="A82" s="104" t="s">
        <v>609</v>
      </c>
      <c r="B82" s="103">
        <v>64</v>
      </c>
      <c r="C82" s="103">
        <v>35</v>
      </c>
      <c r="D82" s="103">
        <v>6</v>
      </c>
      <c r="E82" s="103">
        <v>3.1749999999999998</v>
      </c>
      <c r="F82" s="103"/>
      <c r="G82" s="103"/>
      <c r="H82" s="103"/>
      <c r="I82" s="103"/>
      <c r="J82" s="103"/>
      <c r="K82" s="103"/>
      <c r="L82" s="103"/>
      <c r="M82" s="103"/>
      <c r="N82" s="103">
        <f t="shared" si="1"/>
        <v>3.1749999999999998</v>
      </c>
    </row>
    <row r="83" spans="1:14">
      <c r="A83" s="104" t="s">
        <v>610</v>
      </c>
      <c r="B83" s="103">
        <v>38</v>
      </c>
      <c r="C83" s="103">
        <v>19</v>
      </c>
      <c r="D83" s="103">
        <v>5</v>
      </c>
      <c r="E83" s="103">
        <v>0.84</v>
      </c>
      <c r="F83" s="103"/>
      <c r="G83" s="103"/>
      <c r="H83" s="103"/>
      <c r="I83" s="103"/>
      <c r="J83" s="103"/>
      <c r="K83" s="103"/>
      <c r="L83" s="103"/>
      <c r="M83" s="103"/>
      <c r="N83" s="103">
        <f t="shared" si="1"/>
        <v>0.84</v>
      </c>
    </row>
    <row r="84" spans="1:14">
      <c r="A84" s="104" t="s">
        <v>611</v>
      </c>
      <c r="B84" s="103">
        <v>25</v>
      </c>
      <c r="C84" s="103">
        <v>24</v>
      </c>
      <c r="D84" s="103">
        <v>5</v>
      </c>
      <c r="E84" s="103">
        <v>1.2</v>
      </c>
      <c r="F84" s="103"/>
      <c r="G84" s="103"/>
      <c r="H84" s="103"/>
      <c r="I84" s="103"/>
      <c r="J84" s="103"/>
      <c r="K84" s="103"/>
      <c r="L84" s="103"/>
      <c r="M84" s="103"/>
      <c r="N84" s="103">
        <f t="shared" si="1"/>
        <v>1.2</v>
      </c>
    </row>
    <row r="85" spans="1:14">
      <c r="A85" s="104" t="s">
        <v>612</v>
      </c>
      <c r="B85" s="103">
        <v>33</v>
      </c>
      <c r="C85" s="103">
        <v>32</v>
      </c>
      <c r="D85" s="103">
        <v>6</v>
      </c>
      <c r="E85" s="103">
        <v>1.2</v>
      </c>
      <c r="F85" s="103"/>
      <c r="G85" s="103"/>
      <c r="H85" s="103"/>
      <c r="I85" s="103"/>
      <c r="J85" s="103"/>
      <c r="K85" s="103"/>
      <c r="L85" s="103"/>
      <c r="M85" s="103"/>
      <c r="N85" s="103">
        <f t="shared" si="1"/>
        <v>1.2</v>
      </c>
    </row>
    <row r="86" spans="1:14">
      <c r="A86" s="104" t="s">
        <v>613</v>
      </c>
      <c r="B86" s="103">
        <v>36</v>
      </c>
      <c r="C86" s="103">
        <v>10</v>
      </c>
      <c r="D86" s="103">
        <v>5</v>
      </c>
      <c r="E86" s="103">
        <v>0.19500000000000001</v>
      </c>
      <c r="F86" s="103"/>
      <c r="G86" s="103"/>
      <c r="H86" s="103"/>
      <c r="I86" s="103"/>
      <c r="J86" s="103"/>
      <c r="K86" s="103"/>
      <c r="L86" s="103"/>
      <c r="M86" s="103"/>
      <c r="N86" s="103">
        <f t="shared" si="1"/>
        <v>0.19500000000000001</v>
      </c>
    </row>
    <row r="87" spans="1:14">
      <c r="A87" s="104" t="s">
        <v>436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>
        <f t="shared" si="1"/>
        <v>0</v>
      </c>
    </row>
    <row r="88" spans="1:14">
      <c r="A88" s="104" t="s">
        <v>614</v>
      </c>
      <c r="B88" s="103">
        <v>24</v>
      </c>
      <c r="C88" s="103">
        <v>23</v>
      </c>
      <c r="D88" s="103">
        <v>9</v>
      </c>
      <c r="E88" s="103">
        <v>0.755</v>
      </c>
      <c r="F88" s="103"/>
      <c r="G88" s="103"/>
      <c r="H88" s="103"/>
      <c r="I88" s="103"/>
      <c r="J88" s="103"/>
      <c r="K88" s="103"/>
      <c r="L88" s="103"/>
      <c r="M88" s="103"/>
      <c r="N88" s="103">
        <f t="shared" si="1"/>
        <v>0.755</v>
      </c>
    </row>
    <row r="89" spans="1:14">
      <c r="A89" s="104" t="s">
        <v>615</v>
      </c>
      <c r="B89" s="103">
        <v>20</v>
      </c>
      <c r="C89" s="103">
        <v>18</v>
      </c>
      <c r="D89" s="103">
        <v>13</v>
      </c>
      <c r="E89" s="103">
        <v>0.71</v>
      </c>
      <c r="F89" s="103"/>
      <c r="G89" s="103"/>
      <c r="H89" s="103"/>
      <c r="I89" s="103"/>
      <c r="J89" s="103"/>
      <c r="K89" s="103"/>
      <c r="L89" s="103"/>
      <c r="M89" s="103"/>
      <c r="N89" s="103">
        <f t="shared" si="1"/>
        <v>0.71</v>
      </c>
    </row>
    <row r="90" spans="1:14">
      <c r="A90" s="104" t="s">
        <v>616</v>
      </c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>
        <f t="shared" si="1"/>
        <v>0</v>
      </c>
    </row>
    <row r="91" spans="1:14">
      <c r="A91" s="104" t="s">
        <v>617</v>
      </c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>
        <f t="shared" ref="N91:N154" si="2">E91+I91+M91</f>
        <v>0</v>
      </c>
    </row>
    <row r="92" spans="1:14">
      <c r="A92" s="104" t="s">
        <v>618</v>
      </c>
      <c r="B92" s="103">
        <v>130</v>
      </c>
      <c r="C92" s="103">
        <v>54</v>
      </c>
      <c r="D92" s="103">
        <v>9</v>
      </c>
      <c r="E92" s="103">
        <v>26.754999999999999</v>
      </c>
      <c r="F92" s="103"/>
      <c r="G92" s="103"/>
      <c r="H92" s="103"/>
      <c r="I92" s="103"/>
      <c r="J92" s="103"/>
      <c r="K92" s="103"/>
      <c r="L92" s="103"/>
      <c r="M92" s="103"/>
      <c r="N92" s="103">
        <f t="shared" si="2"/>
        <v>26.754999999999999</v>
      </c>
    </row>
    <row r="93" spans="1:14">
      <c r="A93" s="104" t="s">
        <v>619</v>
      </c>
      <c r="B93" s="103">
        <v>130</v>
      </c>
      <c r="C93" s="103">
        <v>42</v>
      </c>
      <c r="D93" s="103">
        <v>5</v>
      </c>
      <c r="E93" s="103">
        <v>18.274999999999999</v>
      </c>
      <c r="F93" s="103"/>
      <c r="G93" s="103"/>
      <c r="H93" s="103"/>
      <c r="I93" s="103"/>
      <c r="J93" s="103"/>
      <c r="K93" s="103"/>
      <c r="L93" s="103"/>
      <c r="M93" s="103"/>
      <c r="N93" s="103">
        <f t="shared" si="2"/>
        <v>18.274999999999999</v>
      </c>
    </row>
    <row r="94" spans="1:14">
      <c r="A94" s="104" t="s">
        <v>620</v>
      </c>
      <c r="B94" s="103">
        <v>136</v>
      </c>
      <c r="C94" s="103">
        <v>70</v>
      </c>
      <c r="D94" s="103">
        <v>10</v>
      </c>
      <c r="E94" s="103">
        <v>40.414999999999999</v>
      </c>
      <c r="F94" s="103"/>
      <c r="G94" s="103"/>
      <c r="H94" s="103"/>
      <c r="I94" s="103"/>
      <c r="J94" s="103"/>
      <c r="K94" s="103"/>
      <c r="L94" s="103"/>
      <c r="M94" s="103"/>
      <c r="N94" s="103">
        <f t="shared" si="2"/>
        <v>40.414999999999999</v>
      </c>
    </row>
    <row r="95" spans="1:14">
      <c r="A95" s="104" t="s">
        <v>621</v>
      </c>
      <c r="B95" s="103">
        <v>164</v>
      </c>
      <c r="C95" s="103">
        <v>77</v>
      </c>
      <c r="D95" s="103">
        <v>7</v>
      </c>
      <c r="E95" s="103">
        <v>25.81</v>
      </c>
      <c r="F95" s="103"/>
      <c r="G95" s="103"/>
      <c r="H95" s="103"/>
      <c r="I95" s="103"/>
      <c r="J95" s="103"/>
      <c r="K95" s="103"/>
      <c r="L95" s="103"/>
      <c r="M95" s="103"/>
      <c r="N95" s="103">
        <f t="shared" si="2"/>
        <v>25.81</v>
      </c>
    </row>
    <row r="96" spans="1:14">
      <c r="A96" s="104" t="s">
        <v>622</v>
      </c>
      <c r="B96" s="103">
        <v>78</v>
      </c>
      <c r="C96" s="103">
        <v>62</v>
      </c>
      <c r="D96" s="103">
        <v>7</v>
      </c>
      <c r="E96" s="103">
        <v>7.69</v>
      </c>
      <c r="F96" s="103"/>
      <c r="G96" s="103"/>
      <c r="H96" s="103"/>
      <c r="I96" s="103"/>
      <c r="J96" s="103"/>
      <c r="K96" s="103"/>
      <c r="L96" s="103"/>
      <c r="M96" s="103"/>
      <c r="N96" s="103">
        <f t="shared" si="2"/>
        <v>7.69</v>
      </c>
    </row>
    <row r="97" spans="1:14">
      <c r="A97" s="104" t="s">
        <v>623</v>
      </c>
      <c r="B97" s="103">
        <v>103</v>
      </c>
      <c r="C97" s="103">
        <v>57</v>
      </c>
      <c r="D97" s="103">
        <v>7</v>
      </c>
      <c r="E97" s="103">
        <v>10.8</v>
      </c>
      <c r="F97" s="103"/>
      <c r="G97" s="103"/>
      <c r="H97" s="103"/>
      <c r="I97" s="103"/>
      <c r="J97" s="103"/>
      <c r="K97" s="103"/>
      <c r="L97" s="103"/>
      <c r="M97" s="103"/>
      <c r="N97" s="103">
        <f t="shared" si="2"/>
        <v>10.8</v>
      </c>
    </row>
    <row r="98" spans="1:14">
      <c r="A98" s="104" t="s">
        <v>624</v>
      </c>
      <c r="B98" s="103">
        <v>55</v>
      </c>
      <c r="C98" s="103">
        <v>19</v>
      </c>
      <c r="D98" s="103">
        <v>4</v>
      </c>
      <c r="E98" s="103">
        <v>1.1000000000000001</v>
      </c>
      <c r="F98" s="103"/>
      <c r="G98" s="103"/>
      <c r="H98" s="103"/>
      <c r="I98" s="103"/>
      <c r="J98" s="103"/>
      <c r="K98" s="103"/>
      <c r="L98" s="103"/>
      <c r="M98" s="103"/>
      <c r="N98" s="103">
        <f t="shared" si="2"/>
        <v>1.1000000000000001</v>
      </c>
    </row>
    <row r="99" spans="1:14">
      <c r="A99" s="104" t="s">
        <v>625</v>
      </c>
      <c r="B99" s="103">
        <v>96</v>
      </c>
      <c r="C99" s="103">
        <v>36</v>
      </c>
      <c r="D99" s="103">
        <v>6</v>
      </c>
      <c r="E99" s="103">
        <v>6.21</v>
      </c>
      <c r="F99" s="103"/>
      <c r="G99" s="103"/>
      <c r="H99" s="103"/>
      <c r="I99" s="103"/>
      <c r="J99" s="103"/>
      <c r="K99" s="103"/>
      <c r="L99" s="103"/>
      <c r="M99" s="103"/>
      <c r="N99" s="103">
        <f t="shared" si="2"/>
        <v>6.21</v>
      </c>
    </row>
    <row r="100" spans="1:14">
      <c r="A100" s="104" t="s">
        <v>626</v>
      </c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>
        <f t="shared" si="2"/>
        <v>0</v>
      </c>
    </row>
    <row r="101" spans="1:14">
      <c r="A101" s="104" t="s">
        <v>627</v>
      </c>
      <c r="B101" s="103">
        <v>134</v>
      </c>
      <c r="C101" s="103">
        <v>20</v>
      </c>
      <c r="D101" s="103">
        <v>5</v>
      </c>
      <c r="E101" s="103">
        <v>4.2050000000000001</v>
      </c>
      <c r="F101" s="103"/>
      <c r="G101" s="103"/>
      <c r="H101" s="103"/>
      <c r="I101" s="103"/>
      <c r="J101" s="103"/>
      <c r="K101" s="103"/>
      <c r="L101" s="103"/>
      <c r="M101" s="103"/>
      <c r="N101" s="103">
        <f t="shared" si="2"/>
        <v>4.2050000000000001</v>
      </c>
    </row>
    <row r="102" spans="1:14">
      <c r="A102" s="104" t="s">
        <v>628</v>
      </c>
      <c r="B102" s="103">
        <v>95</v>
      </c>
      <c r="C102" s="103">
        <v>27</v>
      </c>
      <c r="D102" s="103">
        <v>6</v>
      </c>
      <c r="E102" s="103">
        <v>5.9</v>
      </c>
      <c r="F102" s="103"/>
      <c r="G102" s="103"/>
      <c r="H102" s="103"/>
      <c r="I102" s="103"/>
      <c r="J102" s="103"/>
      <c r="K102" s="103"/>
      <c r="L102" s="103"/>
      <c r="M102" s="103"/>
      <c r="N102" s="103">
        <f t="shared" si="2"/>
        <v>5.9</v>
      </c>
    </row>
    <row r="103" spans="1:14">
      <c r="A103" s="104" t="s">
        <v>629</v>
      </c>
      <c r="B103" s="103">
        <v>76</v>
      </c>
      <c r="C103" s="103">
        <v>19</v>
      </c>
      <c r="D103" s="103">
        <v>9</v>
      </c>
      <c r="E103" s="103">
        <v>3.8</v>
      </c>
      <c r="F103" s="103"/>
      <c r="G103" s="103"/>
      <c r="H103" s="103"/>
      <c r="I103" s="103"/>
      <c r="J103" s="103"/>
      <c r="K103" s="103"/>
      <c r="L103" s="103"/>
      <c r="M103" s="103"/>
      <c r="N103" s="103">
        <f t="shared" si="2"/>
        <v>3.8</v>
      </c>
    </row>
    <row r="104" spans="1:14">
      <c r="A104" s="104" t="s">
        <v>630</v>
      </c>
      <c r="B104" s="103">
        <v>24</v>
      </c>
      <c r="C104" s="103">
        <v>19</v>
      </c>
      <c r="D104" s="103">
        <v>11</v>
      </c>
      <c r="E104" s="103">
        <v>1.64</v>
      </c>
      <c r="F104" s="103"/>
      <c r="G104" s="103"/>
      <c r="H104" s="103"/>
      <c r="I104" s="103"/>
      <c r="J104" s="103"/>
      <c r="K104" s="103"/>
      <c r="L104" s="103"/>
      <c r="M104" s="103"/>
      <c r="N104" s="103">
        <f t="shared" si="2"/>
        <v>1.64</v>
      </c>
    </row>
    <row r="105" spans="1:14">
      <c r="A105" s="104" t="s">
        <v>631</v>
      </c>
      <c r="B105" s="103">
        <v>24</v>
      </c>
      <c r="C105" s="103">
        <v>19</v>
      </c>
      <c r="D105" s="103">
        <v>11</v>
      </c>
      <c r="E105" s="103">
        <v>1.64</v>
      </c>
      <c r="F105" s="103"/>
      <c r="G105" s="103"/>
      <c r="H105" s="103"/>
      <c r="I105" s="103"/>
      <c r="J105" s="103"/>
      <c r="K105" s="103"/>
      <c r="L105" s="103"/>
      <c r="M105" s="103"/>
      <c r="N105" s="103">
        <f t="shared" si="2"/>
        <v>1.64</v>
      </c>
    </row>
    <row r="106" spans="1:14">
      <c r="A106" s="104" t="s">
        <v>632</v>
      </c>
      <c r="B106" s="103">
        <v>24</v>
      </c>
      <c r="C106" s="103">
        <v>21</v>
      </c>
      <c r="D106" s="103">
        <v>11</v>
      </c>
      <c r="E106" s="103">
        <v>1.64</v>
      </c>
      <c r="F106" s="103"/>
      <c r="G106" s="103"/>
      <c r="H106" s="103"/>
      <c r="I106" s="103"/>
      <c r="J106" s="103"/>
      <c r="K106" s="103"/>
      <c r="L106" s="103"/>
      <c r="M106" s="103"/>
      <c r="N106" s="103">
        <f t="shared" si="2"/>
        <v>1.64</v>
      </c>
    </row>
    <row r="107" spans="1:14">
      <c r="A107" s="104" t="s">
        <v>633</v>
      </c>
      <c r="B107" s="103">
        <v>24</v>
      </c>
      <c r="C107" s="103">
        <v>21</v>
      </c>
      <c r="D107" s="103">
        <v>22</v>
      </c>
      <c r="E107" s="103">
        <v>3.28</v>
      </c>
      <c r="F107" s="103"/>
      <c r="G107" s="103"/>
      <c r="H107" s="103"/>
      <c r="I107" s="103"/>
      <c r="J107" s="103"/>
      <c r="K107" s="103"/>
      <c r="L107" s="103"/>
      <c r="M107" s="103"/>
      <c r="N107" s="103">
        <f t="shared" si="2"/>
        <v>3.28</v>
      </c>
    </row>
    <row r="108" spans="1:14">
      <c r="A108" s="104" t="s">
        <v>634</v>
      </c>
      <c r="B108" s="103">
        <v>173</v>
      </c>
      <c r="C108" s="103">
        <v>34</v>
      </c>
      <c r="D108" s="103">
        <v>8</v>
      </c>
      <c r="E108" s="103">
        <v>21.1</v>
      </c>
      <c r="F108" s="103"/>
      <c r="G108" s="103"/>
      <c r="H108" s="103"/>
      <c r="I108" s="103"/>
      <c r="J108" s="103"/>
      <c r="K108" s="103"/>
      <c r="L108" s="103"/>
      <c r="M108" s="103"/>
      <c r="N108" s="103">
        <f t="shared" si="2"/>
        <v>21.1</v>
      </c>
    </row>
    <row r="109" spans="1:14">
      <c r="A109" s="104" t="s">
        <v>635</v>
      </c>
      <c r="B109" s="103">
        <v>160</v>
      </c>
      <c r="C109" s="103">
        <v>34</v>
      </c>
      <c r="D109" s="103">
        <v>10</v>
      </c>
      <c r="E109" s="103">
        <v>25.79</v>
      </c>
      <c r="F109" s="103"/>
      <c r="G109" s="103"/>
      <c r="H109" s="103"/>
      <c r="I109" s="103"/>
      <c r="J109" s="103"/>
      <c r="K109" s="103"/>
      <c r="L109" s="103"/>
      <c r="M109" s="103"/>
      <c r="N109" s="103">
        <f t="shared" si="2"/>
        <v>25.79</v>
      </c>
    </row>
    <row r="110" spans="1:14">
      <c r="A110" s="104" t="s">
        <v>636</v>
      </c>
      <c r="B110" s="103">
        <v>173</v>
      </c>
      <c r="C110" s="103">
        <v>36</v>
      </c>
      <c r="D110" s="103">
        <v>10</v>
      </c>
      <c r="E110" s="103">
        <v>31.2</v>
      </c>
      <c r="F110" s="103"/>
      <c r="G110" s="103"/>
      <c r="H110" s="103"/>
      <c r="I110" s="103"/>
      <c r="J110" s="103"/>
      <c r="K110" s="103"/>
      <c r="L110" s="103"/>
      <c r="M110" s="103"/>
      <c r="N110" s="103">
        <f t="shared" si="2"/>
        <v>31.2</v>
      </c>
    </row>
    <row r="111" spans="1:14">
      <c r="A111" s="104" t="s">
        <v>637</v>
      </c>
      <c r="B111" s="103">
        <v>75</v>
      </c>
      <c r="C111" s="103">
        <v>18</v>
      </c>
      <c r="D111" s="103">
        <v>6</v>
      </c>
      <c r="E111" s="103">
        <v>3.95</v>
      </c>
      <c r="F111" s="103"/>
      <c r="G111" s="103"/>
      <c r="H111" s="103"/>
      <c r="I111" s="103"/>
      <c r="J111" s="103"/>
      <c r="K111" s="103"/>
      <c r="L111" s="103"/>
      <c r="M111" s="103"/>
      <c r="N111" s="103">
        <f t="shared" si="2"/>
        <v>3.95</v>
      </c>
    </row>
    <row r="112" spans="1:14">
      <c r="A112" s="104" t="s">
        <v>638</v>
      </c>
      <c r="B112" s="103">
        <v>128</v>
      </c>
      <c r="C112" s="103">
        <v>32</v>
      </c>
      <c r="D112" s="103">
        <v>12</v>
      </c>
      <c r="E112" s="103">
        <v>24.43</v>
      </c>
      <c r="F112" s="103"/>
      <c r="G112" s="103"/>
      <c r="H112" s="103"/>
      <c r="I112" s="103"/>
      <c r="J112" s="103"/>
      <c r="K112" s="103"/>
      <c r="L112" s="103"/>
      <c r="M112" s="103"/>
      <c r="N112" s="103">
        <f t="shared" si="2"/>
        <v>24.43</v>
      </c>
    </row>
    <row r="113" spans="1:14">
      <c r="A113" s="104" t="s">
        <v>639</v>
      </c>
      <c r="B113" s="103">
        <v>96</v>
      </c>
      <c r="C113" s="103">
        <v>27</v>
      </c>
      <c r="D113" s="103">
        <v>10</v>
      </c>
      <c r="E113" s="103">
        <v>7.54</v>
      </c>
      <c r="F113" s="103"/>
      <c r="G113" s="103"/>
      <c r="H113" s="103"/>
      <c r="I113" s="103"/>
      <c r="J113" s="103"/>
      <c r="K113" s="103"/>
      <c r="L113" s="103"/>
      <c r="M113" s="103"/>
      <c r="N113" s="103">
        <f t="shared" si="2"/>
        <v>7.54</v>
      </c>
    </row>
    <row r="114" spans="1:14">
      <c r="A114" s="104" t="s">
        <v>640</v>
      </c>
      <c r="B114" s="108">
        <v>67</v>
      </c>
      <c r="C114" s="108">
        <v>19</v>
      </c>
      <c r="D114" s="108">
        <v>10</v>
      </c>
      <c r="E114" s="108">
        <v>4</v>
      </c>
      <c r="F114" s="103"/>
      <c r="G114" s="103"/>
      <c r="H114" s="103"/>
      <c r="I114" s="103"/>
      <c r="J114" s="103"/>
      <c r="K114" s="103"/>
      <c r="L114" s="103"/>
      <c r="M114" s="103"/>
      <c r="N114" s="103">
        <f t="shared" si="2"/>
        <v>4</v>
      </c>
    </row>
    <row r="115" spans="1:14">
      <c r="A115" s="104" t="s">
        <v>641</v>
      </c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>
        <f t="shared" si="2"/>
        <v>0</v>
      </c>
    </row>
    <row r="116" spans="1:14">
      <c r="A116" s="104" t="s">
        <v>642</v>
      </c>
      <c r="B116" s="103">
        <v>144</v>
      </c>
      <c r="C116" s="103">
        <v>26</v>
      </c>
      <c r="D116" s="103">
        <v>7</v>
      </c>
      <c r="E116" s="103">
        <v>13.115</v>
      </c>
      <c r="F116" s="103"/>
      <c r="G116" s="103"/>
      <c r="H116" s="103"/>
      <c r="I116" s="103"/>
      <c r="J116" s="103"/>
      <c r="K116" s="103"/>
      <c r="L116" s="103"/>
      <c r="M116" s="103"/>
      <c r="N116" s="103">
        <f t="shared" si="2"/>
        <v>13.115</v>
      </c>
    </row>
    <row r="117" spans="1:14">
      <c r="A117" s="104" t="s">
        <v>643</v>
      </c>
      <c r="B117" s="108">
        <v>185</v>
      </c>
      <c r="C117" s="108">
        <v>32</v>
      </c>
      <c r="D117" s="108">
        <v>8</v>
      </c>
      <c r="E117" s="108">
        <v>19</v>
      </c>
      <c r="F117" s="103"/>
      <c r="G117" s="103"/>
      <c r="H117" s="103"/>
      <c r="I117" s="103"/>
      <c r="J117" s="103"/>
      <c r="K117" s="103"/>
      <c r="L117" s="103"/>
      <c r="M117" s="103"/>
      <c r="N117" s="103">
        <f t="shared" si="2"/>
        <v>19</v>
      </c>
    </row>
    <row r="118" spans="1:14">
      <c r="A118" s="104" t="s">
        <v>644</v>
      </c>
      <c r="B118" s="109">
        <v>87</v>
      </c>
      <c r="C118" s="109">
        <v>20</v>
      </c>
      <c r="D118" s="109">
        <v>9</v>
      </c>
      <c r="E118" s="108">
        <v>6</v>
      </c>
      <c r="F118" s="103"/>
      <c r="G118" s="103"/>
      <c r="H118" s="103"/>
      <c r="I118" s="103"/>
      <c r="J118" s="103"/>
      <c r="K118" s="103"/>
      <c r="L118" s="103"/>
      <c r="M118" s="103"/>
      <c r="N118" s="103">
        <f t="shared" si="2"/>
        <v>6</v>
      </c>
    </row>
    <row r="119" spans="1:14">
      <c r="A119" s="104" t="s">
        <v>645</v>
      </c>
      <c r="B119" s="108">
        <v>159</v>
      </c>
      <c r="C119" s="108">
        <v>30</v>
      </c>
      <c r="D119" s="108">
        <v>10</v>
      </c>
      <c r="E119" s="108">
        <v>24.97</v>
      </c>
      <c r="F119" s="103"/>
      <c r="G119" s="103"/>
      <c r="H119" s="103"/>
      <c r="I119" s="103"/>
      <c r="J119" s="103"/>
      <c r="K119" s="103"/>
      <c r="L119" s="103"/>
      <c r="M119" s="103"/>
      <c r="N119" s="103">
        <f t="shared" si="2"/>
        <v>24.97</v>
      </c>
    </row>
    <row r="120" spans="1:14">
      <c r="A120" s="104" t="s">
        <v>646</v>
      </c>
      <c r="B120" s="108">
        <v>84</v>
      </c>
      <c r="C120" s="108">
        <v>29</v>
      </c>
      <c r="D120" s="108">
        <v>10</v>
      </c>
      <c r="E120" s="108">
        <v>11</v>
      </c>
      <c r="F120" s="103"/>
      <c r="G120" s="103"/>
      <c r="H120" s="103"/>
      <c r="I120" s="103"/>
      <c r="J120" s="103"/>
      <c r="K120" s="103"/>
      <c r="L120" s="103"/>
      <c r="M120" s="103"/>
      <c r="N120" s="103">
        <f t="shared" si="2"/>
        <v>11</v>
      </c>
    </row>
    <row r="121" spans="1:14">
      <c r="A121" s="104" t="s">
        <v>647</v>
      </c>
      <c r="B121" s="103">
        <v>165</v>
      </c>
      <c r="C121" s="103">
        <v>36</v>
      </c>
      <c r="D121" s="103">
        <v>9</v>
      </c>
      <c r="E121" s="103">
        <v>24.96</v>
      </c>
      <c r="F121" s="103"/>
      <c r="G121" s="103"/>
      <c r="H121" s="103"/>
      <c r="I121" s="103"/>
      <c r="J121" s="103"/>
      <c r="K121" s="103"/>
      <c r="L121" s="103"/>
      <c r="M121" s="103"/>
      <c r="N121" s="103">
        <f t="shared" si="2"/>
        <v>24.96</v>
      </c>
    </row>
    <row r="122" spans="1:14">
      <c r="A122" s="104" t="s">
        <v>648</v>
      </c>
      <c r="B122" s="103">
        <v>122</v>
      </c>
      <c r="C122" s="103">
        <v>46</v>
      </c>
      <c r="D122" s="103">
        <v>7</v>
      </c>
      <c r="E122" s="103">
        <v>10.247</v>
      </c>
      <c r="F122" s="103"/>
      <c r="G122" s="103"/>
      <c r="H122" s="103"/>
      <c r="I122" s="103"/>
      <c r="J122" s="103"/>
      <c r="K122" s="103"/>
      <c r="L122" s="103"/>
      <c r="M122" s="103"/>
      <c r="N122" s="103">
        <f t="shared" si="2"/>
        <v>10.247</v>
      </c>
    </row>
    <row r="123" spans="1:14">
      <c r="A123" s="104" t="s">
        <v>649</v>
      </c>
      <c r="B123" s="103">
        <v>75</v>
      </c>
      <c r="C123" s="103">
        <v>19</v>
      </c>
      <c r="D123" s="103">
        <v>6</v>
      </c>
      <c r="E123" s="103">
        <v>2.4700000000000002</v>
      </c>
      <c r="F123" s="103"/>
      <c r="G123" s="103"/>
      <c r="H123" s="103"/>
      <c r="I123" s="103"/>
      <c r="J123" s="103"/>
      <c r="K123" s="103"/>
      <c r="L123" s="103"/>
      <c r="M123" s="103"/>
      <c r="N123" s="103">
        <f t="shared" si="2"/>
        <v>2.4700000000000002</v>
      </c>
    </row>
    <row r="124" spans="1:14">
      <c r="A124" s="104" t="s">
        <v>650</v>
      </c>
      <c r="B124" s="103">
        <v>75</v>
      </c>
      <c r="C124" s="103">
        <v>36</v>
      </c>
      <c r="D124" s="103">
        <v>5</v>
      </c>
      <c r="E124" s="103">
        <v>3.7250000000000001</v>
      </c>
      <c r="F124" s="103"/>
      <c r="G124" s="103"/>
      <c r="H124" s="103"/>
      <c r="I124" s="103"/>
      <c r="J124" s="103"/>
      <c r="K124" s="103"/>
      <c r="L124" s="103"/>
      <c r="M124" s="103"/>
      <c r="N124" s="103">
        <f t="shared" si="2"/>
        <v>3.7250000000000001</v>
      </c>
    </row>
    <row r="125" spans="1:14">
      <c r="A125" s="104" t="s">
        <v>651</v>
      </c>
      <c r="B125" s="103">
        <v>68</v>
      </c>
      <c r="C125" s="103">
        <v>37</v>
      </c>
      <c r="D125" s="103">
        <v>6</v>
      </c>
      <c r="E125" s="103">
        <v>4.21</v>
      </c>
      <c r="F125" s="103"/>
      <c r="G125" s="103"/>
      <c r="H125" s="103"/>
      <c r="I125" s="103"/>
      <c r="J125" s="103"/>
      <c r="K125" s="103"/>
      <c r="L125" s="103"/>
      <c r="M125" s="103"/>
      <c r="N125" s="103">
        <f t="shared" si="2"/>
        <v>4.21</v>
      </c>
    </row>
    <row r="126" spans="1:14">
      <c r="A126" s="104" t="s">
        <v>652</v>
      </c>
      <c r="B126" s="103">
        <v>119</v>
      </c>
      <c r="C126" s="103">
        <v>30</v>
      </c>
      <c r="D126" s="103">
        <v>6</v>
      </c>
      <c r="E126" s="103">
        <v>6.5</v>
      </c>
      <c r="F126" s="103"/>
      <c r="G126" s="103"/>
      <c r="H126" s="103"/>
      <c r="I126" s="103"/>
      <c r="J126" s="103"/>
      <c r="K126" s="103"/>
      <c r="L126" s="103"/>
      <c r="M126" s="103"/>
      <c r="N126" s="103">
        <f t="shared" si="2"/>
        <v>6.5</v>
      </c>
    </row>
    <row r="127" spans="1:14">
      <c r="A127" s="104" t="s">
        <v>653</v>
      </c>
      <c r="B127" s="103">
        <v>181</v>
      </c>
      <c r="C127" s="103">
        <v>35</v>
      </c>
      <c r="D127" s="103">
        <v>9</v>
      </c>
      <c r="E127" s="103">
        <v>31.75</v>
      </c>
      <c r="F127" s="103"/>
      <c r="G127" s="103"/>
      <c r="H127" s="103"/>
      <c r="I127" s="103"/>
      <c r="J127" s="103"/>
      <c r="K127" s="103"/>
      <c r="L127" s="103"/>
      <c r="M127" s="103"/>
      <c r="N127" s="103">
        <f t="shared" si="2"/>
        <v>31.75</v>
      </c>
    </row>
    <row r="128" spans="1:14">
      <c r="A128" s="104" t="s">
        <v>654</v>
      </c>
      <c r="B128" s="103">
        <v>165</v>
      </c>
      <c r="C128" s="103">
        <v>35</v>
      </c>
      <c r="D128" s="103">
        <v>10</v>
      </c>
      <c r="E128" s="103">
        <v>24.51</v>
      </c>
      <c r="F128" s="103"/>
      <c r="G128" s="103"/>
      <c r="H128" s="103"/>
      <c r="I128" s="103"/>
      <c r="J128" s="103"/>
      <c r="K128" s="103"/>
      <c r="L128" s="103"/>
      <c r="M128" s="103"/>
      <c r="N128" s="103">
        <f t="shared" si="2"/>
        <v>24.51</v>
      </c>
    </row>
    <row r="129" spans="1:14">
      <c r="A129" s="104" t="s">
        <v>655</v>
      </c>
      <c r="B129" s="103">
        <v>144</v>
      </c>
      <c r="C129" s="103">
        <v>31</v>
      </c>
      <c r="D129" s="103">
        <v>5</v>
      </c>
      <c r="E129" s="103">
        <v>7.6</v>
      </c>
      <c r="F129" s="103"/>
      <c r="G129" s="103"/>
      <c r="H129" s="103"/>
      <c r="I129" s="103"/>
      <c r="J129" s="103"/>
      <c r="K129" s="103"/>
      <c r="L129" s="103"/>
      <c r="M129" s="103"/>
      <c r="N129" s="103">
        <f t="shared" si="2"/>
        <v>7.6</v>
      </c>
    </row>
    <row r="130" spans="1:14">
      <c r="A130" s="104" t="s">
        <v>656</v>
      </c>
      <c r="B130" s="108">
        <v>144</v>
      </c>
      <c r="C130" s="108">
        <v>21</v>
      </c>
      <c r="D130" s="108">
        <v>7</v>
      </c>
      <c r="E130" s="108">
        <v>7.51</v>
      </c>
      <c r="F130" s="103"/>
      <c r="G130" s="103"/>
      <c r="H130" s="103"/>
      <c r="I130" s="103"/>
      <c r="J130" s="103"/>
      <c r="K130" s="103"/>
      <c r="L130" s="103"/>
      <c r="M130" s="103"/>
      <c r="N130" s="103">
        <f t="shared" si="2"/>
        <v>7.51</v>
      </c>
    </row>
    <row r="131" spans="1:14">
      <c r="A131" s="104" t="s">
        <v>657</v>
      </c>
      <c r="B131" s="103">
        <v>158</v>
      </c>
      <c r="C131" s="103">
        <v>31</v>
      </c>
      <c r="D131" s="103">
        <v>9</v>
      </c>
      <c r="E131" s="103">
        <v>18.484999999999999</v>
      </c>
      <c r="F131" s="103"/>
      <c r="G131" s="103"/>
      <c r="H131" s="103"/>
      <c r="I131" s="103"/>
      <c r="J131" s="103"/>
      <c r="K131" s="103"/>
      <c r="L131" s="103"/>
      <c r="M131" s="103"/>
      <c r="N131" s="103">
        <f t="shared" si="2"/>
        <v>18.484999999999999</v>
      </c>
    </row>
    <row r="132" spans="1:14">
      <c r="A132" s="104" t="s">
        <v>658</v>
      </c>
      <c r="B132" s="103">
        <v>158</v>
      </c>
      <c r="C132" s="103">
        <v>31</v>
      </c>
      <c r="D132" s="103">
        <v>9</v>
      </c>
      <c r="E132" s="103">
        <v>18.484999999999999</v>
      </c>
      <c r="F132" s="103"/>
      <c r="G132" s="103"/>
      <c r="H132" s="103"/>
      <c r="I132" s="103"/>
      <c r="J132" s="103"/>
      <c r="K132" s="103"/>
      <c r="L132" s="103"/>
      <c r="M132" s="103"/>
      <c r="N132" s="103">
        <f t="shared" si="2"/>
        <v>18.484999999999999</v>
      </c>
    </row>
    <row r="133" spans="1:14">
      <c r="A133" s="104" t="s">
        <v>659</v>
      </c>
      <c r="B133" s="103">
        <v>186</v>
      </c>
      <c r="C133" s="103">
        <v>44</v>
      </c>
      <c r="D133" s="103">
        <v>6</v>
      </c>
      <c r="E133" s="103">
        <v>14.69</v>
      </c>
      <c r="F133" s="103"/>
      <c r="G133" s="103"/>
      <c r="H133" s="103"/>
      <c r="I133" s="103"/>
      <c r="J133" s="103"/>
      <c r="K133" s="103"/>
      <c r="L133" s="103"/>
      <c r="M133" s="103"/>
      <c r="N133" s="103">
        <f t="shared" si="2"/>
        <v>14.69</v>
      </c>
    </row>
    <row r="134" spans="1:14">
      <c r="A134" s="104" t="s">
        <v>660</v>
      </c>
      <c r="B134" s="103">
        <v>35</v>
      </c>
      <c r="C134" s="103">
        <v>33</v>
      </c>
      <c r="D134" s="103">
        <v>7</v>
      </c>
      <c r="E134" s="103">
        <v>1.34</v>
      </c>
      <c r="F134" s="103"/>
      <c r="G134" s="103"/>
      <c r="H134" s="103"/>
      <c r="I134" s="103"/>
      <c r="J134" s="103"/>
      <c r="K134" s="103"/>
      <c r="L134" s="103"/>
      <c r="M134" s="103"/>
      <c r="N134" s="103">
        <f t="shared" si="2"/>
        <v>1.34</v>
      </c>
    </row>
    <row r="135" spans="1:14">
      <c r="A135" s="104" t="s">
        <v>661</v>
      </c>
      <c r="B135" s="103">
        <v>57</v>
      </c>
      <c r="C135" s="103">
        <v>21</v>
      </c>
      <c r="D135" s="103">
        <v>10</v>
      </c>
      <c r="E135" s="103">
        <v>8.8949999999999996</v>
      </c>
      <c r="F135" s="103"/>
      <c r="G135" s="103"/>
      <c r="H135" s="103"/>
      <c r="I135" s="103"/>
      <c r="J135" s="103"/>
      <c r="K135" s="103"/>
      <c r="L135" s="103"/>
      <c r="M135" s="103"/>
      <c r="N135" s="103">
        <f t="shared" si="2"/>
        <v>8.8949999999999996</v>
      </c>
    </row>
    <row r="136" spans="1:14">
      <c r="A136" s="104" t="s">
        <v>662</v>
      </c>
      <c r="B136" s="103">
        <v>70</v>
      </c>
      <c r="C136" s="103">
        <v>37</v>
      </c>
      <c r="D136" s="103">
        <v>8</v>
      </c>
      <c r="E136" s="103">
        <v>9.9250000000000007</v>
      </c>
      <c r="F136" s="103"/>
      <c r="G136" s="103"/>
      <c r="H136" s="103"/>
      <c r="I136" s="103"/>
      <c r="J136" s="103"/>
      <c r="K136" s="103"/>
      <c r="L136" s="103"/>
      <c r="M136" s="103"/>
      <c r="N136" s="103">
        <f t="shared" si="2"/>
        <v>9.9250000000000007</v>
      </c>
    </row>
    <row r="137" spans="1:14">
      <c r="A137" s="104" t="s">
        <v>663</v>
      </c>
      <c r="B137" s="103">
        <v>87</v>
      </c>
      <c r="C137" s="103">
        <v>19</v>
      </c>
      <c r="D137" s="103">
        <v>8</v>
      </c>
      <c r="E137" s="103">
        <v>4.3600000000000003</v>
      </c>
      <c r="F137" s="103"/>
      <c r="G137" s="103"/>
      <c r="H137" s="103"/>
      <c r="I137" s="103"/>
      <c r="J137" s="103"/>
      <c r="K137" s="103"/>
      <c r="L137" s="103"/>
      <c r="M137" s="103"/>
      <c r="N137" s="103">
        <f t="shared" si="2"/>
        <v>4.3600000000000003</v>
      </c>
    </row>
    <row r="138" spans="1:14">
      <c r="A138" s="104" t="s">
        <v>177</v>
      </c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>
        <f t="shared" si="2"/>
        <v>0</v>
      </c>
    </row>
    <row r="139" spans="1:14">
      <c r="A139" s="104" t="s">
        <v>664</v>
      </c>
      <c r="B139" s="103">
        <v>69</v>
      </c>
      <c r="C139" s="103">
        <v>19</v>
      </c>
      <c r="D139" s="103">
        <v>9</v>
      </c>
      <c r="E139" s="103">
        <v>4.375</v>
      </c>
      <c r="F139" s="103"/>
      <c r="G139" s="103"/>
      <c r="H139" s="103"/>
      <c r="I139" s="103"/>
      <c r="J139" s="103"/>
      <c r="K139" s="103"/>
      <c r="L139" s="103"/>
      <c r="M139" s="103"/>
      <c r="N139" s="103">
        <f t="shared" si="2"/>
        <v>4.375</v>
      </c>
    </row>
    <row r="140" spans="1:14">
      <c r="A140" s="104" t="s">
        <v>665</v>
      </c>
      <c r="B140" s="103">
        <v>85</v>
      </c>
      <c r="C140" s="103">
        <v>19</v>
      </c>
      <c r="D140" s="103">
        <v>10</v>
      </c>
      <c r="E140" s="103">
        <v>6.7949999999999999</v>
      </c>
      <c r="F140" s="103"/>
      <c r="G140" s="103"/>
      <c r="H140" s="103"/>
      <c r="I140" s="103"/>
      <c r="J140" s="103"/>
      <c r="K140" s="103"/>
      <c r="L140" s="103"/>
      <c r="M140" s="103"/>
      <c r="N140" s="103">
        <f t="shared" si="2"/>
        <v>6.7949999999999999</v>
      </c>
    </row>
    <row r="141" spans="1:14">
      <c r="A141" s="104" t="s">
        <v>666</v>
      </c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>
        <f t="shared" si="2"/>
        <v>0</v>
      </c>
    </row>
    <row r="142" spans="1:14">
      <c r="A142" s="104" t="s">
        <v>667</v>
      </c>
      <c r="B142" s="103">
        <v>112</v>
      </c>
      <c r="C142" s="103">
        <v>17</v>
      </c>
      <c r="D142" s="103">
        <v>4</v>
      </c>
      <c r="E142" s="103">
        <v>3.15</v>
      </c>
      <c r="F142" s="103"/>
      <c r="G142" s="103"/>
      <c r="H142" s="103"/>
      <c r="I142" s="103"/>
      <c r="J142" s="103"/>
      <c r="K142" s="103"/>
      <c r="L142" s="103"/>
      <c r="M142" s="103"/>
      <c r="N142" s="103">
        <f t="shared" si="2"/>
        <v>3.15</v>
      </c>
    </row>
    <row r="143" spans="1:14">
      <c r="A143" s="104" t="s">
        <v>668</v>
      </c>
      <c r="B143" s="103">
        <v>41</v>
      </c>
      <c r="C143" s="103">
        <v>29</v>
      </c>
      <c r="D143" s="103">
        <v>7</v>
      </c>
      <c r="E143" s="103">
        <v>2.165</v>
      </c>
      <c r="F143" s="103"/>
      <c r="G143" s="103"/>
      <c r="H143" s="103"/>
      <c r="I143" s="103"/>
      <c r="J143" s="103"/>
      <c r="K143" s="103"/>
      <c r="L143" s="103"/>
      <c r="M143" s="103"/>
      <c r="N143" s="103">
        <f t="shared" si="2"/>
        <v>2.165</v>
      </c>
    </row>
    <row r="144" spans="1:14">
      <c r="A144" s="104" t="s">
        <v>669</v>
      </c>
      <c r="B144" s="103">
        <v>44</v>
      </c>
      <c r="C144" s="103">
        <v>36</v>
      </c>
      <c r="D144" s="103">
        <v>7</v>
      </c>
      <c r="E144" s="103">
        <v>3.19</v>
      </c>
      <c r="F144" s="103"/>
      <c r="G144" s="103"/>
      <c r="H144" s="103"/>
      <c r="I144" s="103"/>
      <c r="J144" s="103"/>
      <c r="K144" s="103"/>
      <c r="L144" s="103"/>
      <c r="M144" s="103"/>
      <c r="N144" s="103">
        <f t="shared" si="2"/>
        <v>3.19</v>
      </c>
    </row>
    <row r="145" spans="1:14">
      <c r="A145" s="104" t="s">
        <v>670</v>
      </c>
      <c r="B145" s="103">
        <v>40</v>
      </c>
      <c r="C145" s="103">
        <v>28</v>
      </c>
      <c r="D145" s="103">
        <v>8</v>
      </c>
      <c r="E145" s="103">
        <v>2.72</v>
      </c>
      <c r="F145" s="103"/>
      <c r="G145" s="103"/>
      <c r="H145" s="103"/>
      <c r="I145" s="103"/>
      <c r="J145" s="103"/>
      <c r="K145" s="103"/>
      <c r="L145" s="103"/>
      <c r="M145" s="103"/>
      <c r="N145" s="103">
        <f t="shared" si="2"/>
        <v>2.72</v>
      </c>
    </row>
    <row r="146" spans="1:14">
      <c r="A146" s="104" t="s">
        <v>671</v>
      </c>
      <c r="B146" s="51">
        <v>50</v>
      </c>
      <c r="C146" s="51">
        <v>29</v>
      </c>
      <c r="D146" s="51">
        <v>8</v>
      </c>
      <c r="E146" s="110">
        <v>2</v>
      </c>
      <c r="F146" s="103"/>
      <c r="G146" s="103"/>
      <c r="H146" s="103"/>
      <c r="I146" s="103"/>
      <c r="J146" s="103"/>
      <c r="K146" s="103"/>
      <c r="L146" s="103"/>
      <c r="M146" s="103"/>
      <c r="N146" s="103">
        <f t="shared" si="2"/>
        <v>2</v>
      </c>
    </row>
    <row r="147" spans="1:14">
      <c r="A147" s="104" t="s">
        <v>672</v>
      </c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>
        <f t="shared" si="2"/>
        <v>0</v>
      </c>
    </row>
    <row r="148" spans="1:14">
      <c r="A148" s="104" t="s">
        <v>673</v>
      </c>
      <c r="B148" s="111">
        <v>27.5</v>
      </c>
      <c r="C148" s="111">
        <v>27.5</v>
      </c>
      <c r="D148" s="111">
        <v>17.5</v>
      </c>
      <c r="E148" s="111">
        <v>3</v>
      </c>
      <c r="F148" s="103"/>
      <c r="G148" s="103"/>
      <c r="H148" s="103"/>
      <c r="I148" s="103"/>
      <c r="J148" s="103"/>
      <c r="K148" s="103"/>
      <c r="L148" s="103"/>
      <c r="M148" s="103"/>
      <c r="N148" s="103">
        <f t="shared" si="2"/>
        <v>3</v>
      </c>
    </row>
    <row r="149" spans="1:14">
      <c r="A149" s="104" t="s">
        <v>674</v>
      </c>
      <c r="B149" s="50">
        <v>26</v>
      </c>
      <c r="C149" s="50">
        <v>25</v>
      </c>
      <c r="D149" s="50">
        <v>25</v>
      </c>
      <c r="E149" s="112">
        <v>4.5</v>
      </c>
      <c r="F149" s="103"/>
      <c r="G149" s="103"/>
      <c r="H149" s="103"/>
      <c r="I149" s="103"/>
      <c r="J149" s="103"/>
      <c r="K149" s="103"/>
      <c r="L149" s="103"/>
      <c r="M149" s="103"/>
      <c r="N149" s="103">
        <f t="shared" si="2"/>
        <v>4.5</v>
      </c>
    </row>
    <row r="150" spans="1:14">
      <c r="A150" s="104" t="s">
        <v>188</v>
      </c>
      <c r="B150" s="103">
        <v>145</v>
      </c>
      <c r="C150" s="103">
        <v>22</v>
      </c>
      <c r="D150" s="103">
        <v>9</v>
      </c>
      <c r="E150" s="103">
        <v>11.43</v>
      </c>
      <c r="F150" s="103"/>
      <c r="G150" s="103"/>
      <c r="H150" s="103"/>
      <c r="I150" s="103"/>
      <c r="J150" s="103"/>
      <c r="K150" s="103"/>
      <c r="L150" s="103"/>
      <c r="M150" s="103"/>
      <c r="N150" s="103">
        <f t="shared" si="2"/>
        <v>11.43</v>
      </c>
    </row>
    <row r="151" spans="1:14">
      <c r="A151" s="104" t="s">
        <v>675</v>
      </c>
      <c r="B151" s="103">
        <v>80</v>
      </c>
      <c r="C151" s="103">
        <v>43</v>
      </c>
      <c r="D151" s="103">
        <v>14</v>
      </c>
      <c r="E151" s="103">
        <v>21.13</v>
      </c>
      <c r="F151" s="103"/>
      <c r="G151" s="103"/>
      <c r="H151" s="103"/>
      <c r="I151" s="103"/>
      <c r="J151" s="103"/>
      <c r="K151" s="103"/>
      <c r="L151" s="103"/>
      <c r="M151" s="103"/>
      <c r="N151" s="103">
        <f t="shared" si="2"/>
        <v>21.13</v>
      </c>
    </row>
    <row r="152" spans="1:14">
      <c r="A152" s="104" t="s">
        <v>676</v>
      </c>
      <c r="B152" s="103">
        <v>82</v>
      </c>
      <c r="C152" s="103">
        <v>43</v>
      </c>
      <c r="D152" s="103">
        <v>13</v>
      </c>
      <c r="E152" s="103">
        <v>17.100000000000001</v>
      </c>
      <c r="F152" s="103"/>
      <c r="G152" s="103"/>
      <c r="H152" s="103"/>
      <c r="I152" s="103"/>
      <c r="J152" s="103"/>
      <c r="K152" s="103"/>
      <c r="L152" s="103"/>
      <c r="M152" s="103"/>
      <c r="N152" s="103">
        <f t="shared" si="2"/>
        <v>17.100000000000001</v>
      </c>
    </row>
    <row r="153" spans="1:14">
      <c r="A153" s="104" t="s">
        <v>677</v>
      </c>
      <c r="B153" s="103">
        <v>129</v>
      </c>
      <c r="C153" s="103">
        <v>43</v>
      </c>
      <c r="D153" s="103">
        <v>13</v>
      </c>
      <c r="E153" s="103">
        <v>26.3</v>
      </c>
      <c r="F153" s="103"/>
      <c r="G153" s="103"/>
      <c r="H153" s="103"/>
      <c r="I153" s="103"/>
      <c r="J153" s="103"/>
      <c r="K153" s="103"/>
      <c r="L153" s="103"/>
      <c r="M153" s="103"/>
      <c r="N153" s="103">
        <f t="shared" si="2"/>
        <v>26.3</v>
      </c>
    </row>
    <row r="154" spans="1:14">
      <c r="A154" s="104" t="s">
        <v>362</v>
      </c>
      <c r="B154" s="103">
        <v>148</v>
      </c>
      <c r="C154" s="103">
        <v>40</v>
      </c>
      <c r="D154" s="103">
        <v>12</v>
      </c>
      <c r="E154" s="103">
        <v>33.99</v>
      </c>
      <c r="F154" s="103"/>
      <c r="G154" s="103"/>
      <c r="H154" s="103"/>
      <c r="I154" s="103"/>
      <c r="J154" s="103"/>
      <c r="K154" s="103"/>
      <c r="L154" s="103"/>
      <c r="M154" s="103"/>
      <c r="N154" s="103">
        <f t="shared" si="2"/>
        <v>33.99</v>
      </c>
    </row>
    <row r="155" spans="1:14">
      <c r="A155" s="104" t="s">
        <v>678</v>
      </c>
      <c r="B155" s="103">
        <v>103</v>
      </c>
      <c r="C155" s="103">
        <v>35</v>
      </c>
      <c r="D155" s="103">
        <v>7</v>
      </c>
      <c r="E155" s="103">
        <v>12.21</v>
      </c>
      <c r="F155" s="103"/>
      <c r="G155" s="103"/>
      <c r="H155" s="103"/>
      <c r="I155" s="103"/>
      <c r="J155" s="103"/>
      <c r="K155" s="103"/>
      <c r="L155" s="103"/>
      <c r="M155" s="103"/>
      <c r="N155" s="103">
        <f t="shared" ref="N155:N218" si="3">E155+I155+M155</f>
        <v>12.21</v>
      </c>
    </row>
    <row r="156" spans="1:14">
      <c r="A156" s="104" t="s">
        <v>679</v>
      </c>
      <c r="B156" s="103">
        <v>146</v>
      </c>
      <c r="C156" s="103">
        <v>38</v>
      </c>
      <c r="D156" s="103">
        <v>10</v>
      </c>
      <c r="E156" s="103">
        <v>30.17</v>
      </c>
      <c r="F156" s="103"/>
      <c r="G156" s="103"/>
      <c r="H156" s="103"/>
      <c r="I156" s="103"/>
      <c r="J156" s="103"/>
      <c r="K156" s="103"/>
      <c r="L156" s="103"/>
      <c r="M156" s="103"/>
      <c r="N156" s="103">
        <f t="shared" si="3"/>
        <v>30.17</v>
      </c>
    </row>
    <row r="157" spans="1:14">
      <c r="A157" s="104" t="s">
        <v>680</v>
      </c>
      <c r="B157" s="103">
        <v>117</v>
      </c>
      <c r="C157" s="103">
        <v>44</v>
      </c>
      <c r="D157" s="103">
        <v>16</v>
      </c>
      <c r="E157" s="103">
        <v>29.61</v>
      </c>
      <c r="F157" s="103"/>
      <c r="G157" s="103"/>
      <c r="H157" s="103"/>
      <c r="I157" s="103"/>
      <c r="J157" s="103"/>
      <c r="K157" s="103"/>
      <c r="L157" s="103"/>
      <c r="M157" s="103"/>
      <c r="N157" s="103">
        <f t="shared" si="3"/>
        <v>29.61</v>
      </c>
    </row>
    <row r="158" spans="1:14">
      <c r="A158" s="104" t="s">
        <v>681</v>
      </c>
      <c r="B158" s="103">
        <v>67</v>
      </c>
      <c r="C158" s="103">
        <v>19</v>
      </c>
      <c r="D158" s="103">
        <v>9</v>
      </c>
      <c r="E158" s="103">
        <v>3.9049999999999998</v>
      </c>
      <c r="F158" s="103"/>
      <c r="G158" s="103"/>
      <c r="H158" s="103"/>
      <c r="I158" s="103"/>
      <c r="J158" s="103"/>
      <c r="K158" s="103"/>
      <c r="L158" s="103"/>
      <c r="M158" s="103"/>
      <c r="N158" s="103">
        <f t="shared" si="3"/>
        <v>3.9049999999999998</v>
      </c>
    </row>
    <row r="159" spans="1:14">
      <c r="A159" s="104" t="s">
        <v>682</v>
      </c>
      <c r="B159" s="113">
        <v>32</v>
      </c>
      <c r="C159" s="113">
        <v>32</v>
      </c>
      <c r="D159" s="113">
        <v>12</v>
      </c>
      <c r="E159" s="114">
        <v>2</v>
      </c>
      <c r="F159" s="103"/>
      <c r="G159" s="103"/>
      <c r="H159" s="103"/>
      <c r="I159" s="103"/>
      <c r="J159" s="103"/>
      <c r="K159" s="103"/>
      <c r="L159" s="103"/>
      <c r="M159" s="103"/>
      <c r="N159" s="103">
        <f t="shared" si="3"/>
        <v>2</v>
      </c>
    </row>
    <row r="160" spans="1:14">
      <c r="A160" s="104" t="s">
        <v>683</v>
      </c>
      <c r="B160" s="103">
        <v>174</v>
      </c>
      <c r="C160" s="103">
        <v>63</v>
      </c>
      <c r="D160" s="103">
        <v>9</v>
      </c>
      <c r="E160" s="103">
        <v>18.89</v>
      </c>
      <c r="F160" s="103"/>
      <c r="G160" s="103"/>
      <c r="H160" s="103"/>
      <c r="I160" s="103"/>
      <c r="J160" s="103"/>
      <c r="K160" s="103"/>
      <c r="L160" s="103"/>
      <c r="M160" s="103"/>
      <c r="N160" s="103">
        <f t="shared" si="3"/>
        <v>18.89</v>
      </c>
    </row>
    <row r="161" spans="1:14">
      <c r="A161" s="104" t="s">
        <v>684</v>
      </c>
      <c r="B161" s="103">
        <v>154</v>
      </c>
      <c r="C161" s="103">
        <v>58</v>
      </c>
      <c r="D161" s="103">
        <v>8</v>
      </c>
      <c r="E161" s="103">
        <v>32.155000000000001</v>
      </c>
      <c r="F161" s="103"/>
      <c r="G161" s="103"/>
      <c r="H161" s="103"/>
      <c r="I161" s="103"/>
      <c r="J161" s="103"/>
      <c r="K161" s="103"/>
      <c r="L161" s="103"/>
      <c r="M161" s="103"/>
      <c r="N161" s="103">
        <f t="shared" si="3"/>
        <v>32.155000000000001</v>
      </c>
    </row>
    <row r="162" spans="1:14">
      <c r="A162" s="104" t="s">
        <v>685</v>
      </c>
      <c r="B162" s="103">
        <v>112</v>
      </c>
      <c r="C162" s="103">
        <v>51</v>
      </c>
      <c r="D162" s="103">
        <v>8</v>
      </c>
      <c r="E162" s="103">
        <v>14.55</v>
      </c>
      <c r="F162" s="103"/>
      <c r="G162" s="103"/>
      <c r="H162" s="103"/>
      <c r="I162" s="103"/>
      <c r="J162" s="103"/>
      <c r="K162" s="103"/>
      <c r="L162" s="103"/>
      <c r="M162" s="103"/>
      <c r="N162" s="103">
        <f t="shared" si="3"/>
        <v>14.55</v>
      </c>
    </row>
    <row r="163" spans="1:14">
      <c r="A163" s="104" t="s">
        <v>686</v>
      </c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>
        <f t="shared" si="3"/>
        <v>0</v>
      </c>
    </row>
    <row r="164" spans="1:14">
      <c r="A164" s="104" t="s">
        <v>209</v>
      </c>
      <c r="B164" s="103">
        <v>35</v>
      </c>
      <c r="C164" s="103">
        <v>33</v>
      </c>
      <c r="D164" s="103">
        <v>7</v>
      </c>
      <c r="E164" s="103">
        <v>1.5349999999999999</v>
      </c>
      <c r="F164" s="103"/>
      <c r="G164" s="103"/>
      <c r="H164" s="103"/>
      <c r="I164" s="103"/>
      <c r="J164" s="103"/>
      <c r="K164" s="103"/>
      <c r="L164" s="103"/>
      <c r="M164" s="103"/>
      <c r="N164" s="103">
        <f t="shared" si="3"/>
        <v>1.5349999999999999</v>
      </c>
    </row>
    <row r="165" spans="1:14">
      <c r="A165" s="104" t="s">
        <v>210</v>
      </c>
      <c r="B165" s="103">
        <v>76</v>
      </c>
      <c r="C165" s="103">
        <v>26</v>
      </c>
      <c r="D165" s="103">
        <v>5</v>
      </c>
      <c r="E165" s="103">
        <v>0.94499999999999995</v>
      </c>
      <c r="F165" s="103"/>
      <c r="G165" s="103"/>
      <c r="H165" s="103"/>
      <c r="I165" s="103"/>
      <c r="J165" s="103"/>
      <c r="K165" s="103"/>
      <c r="L165" s="103"/>
      <c r="M165" s="103"/>
      <c r="N165" s="103">
        <f t="shared" si="3"/>
        <v>0.94499999999999995</v>
      </c>
    </row>
    <row r="166" spans="1:14">
      <c r="A166" s="104" t="s">
        <v>687</v>
      </c>
      <c r="B166" s="103">
        <v>114</v>
      </c>
      <c r="C166" s="103">
        <v>60</v>
      </c>
      <c r="D166" s="103">
        <v>5</v>
      </c>
      <c r="E166" s="103">
        <v>13.2</v>
      </c>
      <c r="F166" s="103"/>
      <c r="G166" s="103"/>
      <c r="H166" s="103"/>
      <c r="I166" s="103"/>
      <c r="J166" s="103"/>
      <c r="K166" s="103"/>
      <c r="L166" s="103"/>
      <c r="M166" s="103"/>
      <c r="N166" s="103">
        <f t="shared" si="3"/>
        <v>13.2</v>
      </c>
    </row>
    <row r="167" spans="1:14">
      <c r="A167" s="104" t="s">
        <v>688</v>
      </c>
      <c r="B167" s="103">
        <v>97</v>
      </c>
      <c r="C167" s="103">
        <v>51</v>
      </c>
      <c r="D167" s="103">
        <v>5</v>
      </c>
      <c r="E167" s="103">
        <v>9.14</v>
      </c>
      <c r="F167" s="103"/>
      <c r="G167" s="103"/>
      <c r="H167" s="103"/>
      <c r="I167" s="103"/>
      <c r="J167" s="103"/>
      <c r="K167" s="103"/>
      <c r="L167" s="103"/>
      <c r="M167" s="103"/>
      <c r="N167" s="103">
        <f t="shared" si="3"/>
        <v>9.14</v>
      </c>
    </row>
    <row r="168" spans="1:14">
      <c r="A168" s="104" t="s">
        <v>689</v>
      </c>
      <c r="B168" s="103">
        <v>121</v>
      </c>
      <c r="C168" s="103">
        <v>63</v>
      </c>
      <c r="D168" s="103">
        <v>5</v>
      </c>
      <c r="E168" s="103">
        <v>13.215</v>
      </c>
      <c r="F168" s="103"/>
      <c r="G168" s="103"/>
      <c r="H168" s="103"/>
      <c r="I168" s="103"/>
      <c r="J168" s="103"/>
      <c r="K168" s="103"/>
      <c r="L168" s="103"/>
      <c r="M168" s="103"/>
      <c r="N168" s="103">
        <f t="shared" si="3"/>
        <v>13.215</v>
      </c>
    </row>
    <row r="169" spans="1:14">
      <c r="A169" s="104" t="s">
        <v>690</v>
      </c>
      <c r="B169" s="103">
        <v>100</v>
      </c>
      <c r="C169" s="103">
        <v>57</v>
      </c>
      <c r="D169" s="103">
        <v>5</v>
      </c>
      <c r="E169" s="103">
        <v>10.285</v>
      </c>
      <c r="F169" s="103"/>
      <c r="G169" s="103"/>
      <c r="H169" s="103"/>
      <c r="I169" s="103"/>
      <c r="J169" s="103"/>
      <c r="K169" s="103"/>
      <c r="L169" s="103"/>
      <c r="M169" s="103"/>
      <c r="N169" s="103">
        <f t="shared" si="3"/>
        <v>10.285</v>
      </c>
    </row>
    <row r="170" spans="1:14">
      <c r="A170" s="104" t="s">
        <v>691</v>
      </c>
      <c r="B170" s="103">
        <v>87</v>
      </c>
      <c r="C170" s="103">
        <v>59</v>
      </c>
      <c r="D170" s="103">
        <v>5</v>
      </c>
      <c r="E170" s="103">
        <v>6.36</v>
      </c>
      <c r="F170" s="103"/>
      <c r="G170" s="103"/>
      <c r="H170" s="103"/>
      <c r="I170" s="103"/>
      <c r="J170" s="103"/>
      <c r="K170" s="103"/>
      <c r="L170" s="103"/>
      <c r="M170" s="103"/>
      <c r="N170" s="103">
        <f t="shared" si="3"/>
        <v>6.36</v>
      </c>
    </row>
    <row r="171" spans="1:14">
      <c r="A171" s="104" t="s">
        <v>218</v>
      </c>
      <c r="B171" s="103">
        <v>87</v>
      </c>
      <c r="C171" s="103">
        <v>59</v>
      </c>
      <c r="D171" s="103">
        <v>5</v>
      </c>
      <c r="E171" s="103">
        <v>6.36</v>
      </c>
      <c r="F171" s="103"/>
      <c r="G171" s="103"/>
      <c r="H171" s="103"/>
      <c r="I171" s="103"/>
      <c r="J171" s="103"/>
      <c r="K171" s="103"/>
      <c r="L171" s="103"/>
      <c r="M171" s="103"/>
      <c r="N171" s="103">
        <f t="shared" si="3"/>
        <v>6.36</v>
      </c>
    </row>
    <row r="172" spans="1:14">
      <c r="A172" s="104" t="s">
        <v>692</v>
      </c>
      <c r="B172" s="103">
        <v>85</v>
      </c>
      <c r="C172" s="103">
        <v>66</v>
      </c>
      <c r="D172" s="103">
        <v>5</v>
      </c>
      <c r="E172" s="103">
        <v>10.75</v>
      </c>
      <c r="F172" s="103"/>
      <c r="G172" s="103"/>
      <c r="H172" s="103"/>
      <c r="I172" s="103"/>
      <c r="J172" s="103"/>
      <c r="K172" s="103"/>
      <c r="L172" s="103"/>
      <c r="M172" s="103"/>
      <c r="N172" s="103">
        <f t="shared" si="3"/>
        <v>10.75</v>
      </c>
    </row>
    <row r="173" spans="1:14">
      <c r="A173" s="104" t="s">
        <v>693</v>
      </c>
      <c r="B173" s="103">
        <v>86</v>
      </c>
      <c r="C173" s="103">
        <v>59</v>
      </c>
      <c r="D173" s="103">
        <v>5</v>
      </c>
      <c r="E173" s="103">
        <v>7.6</v>
      </c>
      <c r="F173" s="103"/>
      <c r="G173" s="103"/>
      <c r="H173" s="103"/>
      <c r="I173" s="103"/>
      <c r="J173" s="103"/>
      <c r="K173" s="103"/>
      <c r="L173" s="103"/>
      <c r="M173" s="103"/>
      <c r="N173" s="103">
        <f t="shared" si="3"/>
        <v>7.6</v>
      </c>
    </row>
    <row r="174" spans="1:14">
      <c r="A174" s="104" t="s">
        <v>694</v>
      </c>
      <c r="B174" s="111">
        <v>16</v>
      </c>
      <c r="C174" s="111">
        <v>18</v>
      </c>
      <c r="D174" s="111">
        <v>5</v>
      </c>
      <c r="E174" s="111">
        <v>1.6</v>
      </c>
      <c r="F174" s="103"/>
      <c r="G174" s="103"/>
      <c r="H174" s="103"/>
      <c r="I174" s="103"/>
      <c r="J174" s="103"/>
      <c r="K174" s="103"/>
      <c r="L174" s="103"/>
      <c r="M174" s="103"/>
      <c r="N174" s="103">
        <f t="shared" si="3"/>
        <v>1.6</v>
      </c>
    </row>
    <row r="175" spans="1:14">
      <c r="A175" s="104" t="s">
        <v>695</v>
      </c>
      <c r="B175" s="51">
        <v>86.5</v>
      </c>
      <c r="C175" s="51">
        <v>16</v>
      </c>
      <c r="D175" s="51">
        <v>6</v>
      </c>
      <c r="E175" s="115">
        <v>3.8</v>
      </c>
      <c r="F175" s="103"/>
      <c r="G175" s="103"/>
      <c r="H175" s="103"/>
      <c r="I175" s="103"/>
      <c r="J175" s="103"/>
      <c r="K175" s="103"/>
      <c r="L175" s="103"/>
      <c r="M175" s="103"/>
      <c r="N175" s="103">
        <f t="shared" si="3"/>
        <v>3.8</v>
      </c>
    </row>
    <row r="176" spans="1:14">
      <c r="A176" s="104" t="s">
        <v>696</v>
      </c>
      <c r="B176" s="51">
        <v>108.7</v>
      </c>
      <c r="C176" s="51">
        <v>45.7</v>
      </c>
      <c r="D176" s="51">
        <v>8</v>
      </c>
      <c r="E176" s="51">
        <v>20</v>
      </c>
      <c r="F176" s="103"/>
      <c r="G176" s="103"/>
      <c r="H176" s="103"/>
      <c r="I176" s="103"/>
      <c r="J176" s="103"/>
      <c r="K176" s="103"/>
      <c r="L176" s="103"/>
      <c r="M176" s="103"/>
      <c r="N176" s="103">
        <f t="shared" si="3"/>
        <v>20</v>
      </c>
    </row>
    <row r="177" spans="1:14">
      <c r="A177" s="104" t="s">
        <v>474</v>
      </c>
      <c r="B177" s="103">
        <v>111</v>
      </c>
      <c r="C177" s="103">
        <v>46</v>
      </c>
      <c r="D177" s="103">
        <v>8</v>
      </c>
      <c r="E177" s="103">
        <v>16</v>
      </c>
      <c r="F177" s="103"/>
      <c r="G177" s="103"/>
      <c r="H177" s="103"/>
      <c r="I177" s="103"/>
      <c r="J177" s="103"/>
      <c r="K177" s="103"/>
      <c r="L177" s="103"/>
      <c r="M177" s="103"/>
      <c r="N177" s="103">
        <f t="shared" si="3"/>
        <v>16</v>
      </c>
    </row>
    <row r="178" spans="1:14">
      <c r="A178" s="104" t="s">
        <v>697</v>
      </c>
      <c r="B178" s="103">
        <v>99</v>
      </c>
      <c r="C178" s="103">
        <v>52</v>
      </c>
      <c r="D178" s="103">
        <v>7</v>
      </c>
      <c r="E178" s="103">
        <v>16.992000000000001</v>
      </c>
      <c r="F178" s="103"/>
      <c r="G178" s="103"/>
      <c r="H178" s="103"/>
      <c r="I178" s="103"/>
      <c r="J178" s="103"/>
      <c r="K178" s="103"/>
      <c r="L178" s="103"/>
      <c r="M178" s="103"/>
      <c r="N178" s="103">
        <f t="shared" si="3"/>
        <v>16.992000000000001</v>
      </c>
    </row>
    <row r="179" spans="1:14">
      <c r="A179" s="104" t="s">
        <v>226</v>
      </c>
      <c r="B179" s="103">
        <v>55</v>
      </c>
      <c r="C179" s="103">
        <v>17</v>
      </c>
      <c r="D179" s="103">
        <v>5</v>
      </c>
      <c r="E179" s="103">
        <v>1.79</v>
      </c>
      <c r="F179" s="103"/>
      <c r="G179" s="103"/>
      <c r="H179" s="103"/>
      <c r="I179" s="103"/>
      <c r="J179" s="103"/>
      <c r="K179" s="103"/>
      <c r="L179" s="103"/>
      <c r="M179" s="103"/>
      <c r="N179" s="103">
        <f t="shared" si="3"/>
        <v>1.79</v>
      </c>
    </row>
    <row r="180" spans="1:14">
      <c r="A180" s="104" t="s">
        <v>698</v>
      </c>
      <c r="B180" s="111">
        <v>44</v>
      </c>
      <c r="C180" s="111">
        <v>18</v>
      </c>
      <c r="D180" s="111">
        <v>5</v>
      </c>
      <c r="E180" s="111">
        <v>1.6</v>
      </c>
      <c r="F180" s="103"/>
      <c r="G180" s="103"/>
      <c r="H180" s="103"/>
      <c r="I180" s="103"/>
      <c r="J180" s="103"/>
      <c r="K180" s="103"/>
      <c r="L180" s="103"/>
      <c r="M180" s="103"/>
      <c r="N180" s="103">
        <f t="shared" si="3"/>
        <v>1.6</v>
      </c>
    </row>
    <row r="181" spans="1:14">
      <c r="A181" s="104" t="s">
        <v>699</v>
      </c>
      <c r="B181" s="51">
        <v>86.5</v>
      </c>
      <c r="C181" s="51">
        <v>16</v>
      </c>
      <c r="D181" s="51">
        <v>6</v>
      </c>
      <c r="E181" s="115">
        <v>3.8</v>
      </c>
      <c r="F181" s="103"/>
      <c r="G181" s="103"/>
      <c r="H181" s="103"/>
      <c r="I181" s="103"/>
      <c r="J181" s="103"/>
      <c r="K181" s="103"/>
      <c r="L181" s="103"/>
      <c r="M181" s="103"/>
      <c r="N181" s="103">
        <f t="shared" si="3"/>
        <v>3.8</v>
      </c>
    </row>
    <row r="182" spans="1:14">
      <c r="A182" s="104" t="s">
        <v>700</v>
      </c>
      <c r="B182" s="103">
        <v>136</v>
      </c>
      <c r="C182" s="103">
        <v>77</v>
      </c>
      <c r="D182" s="103">
        <v>10</v>
      </c>
      <c r="E182" s="103">
        <v>47.55</v>
      </c>
      <c r="F182" s="103"/>
      <c r="G182" s="103"/>
      <c r="H182" s="103"/>
      <c r="I182" s="103"/>
      <c r="J182" s="103"/>
      <c r="K182" s="103"/>
      <c r="L182" s="103"/>
      <c r="M182" s="103"/>
      <c r="N182" s="103">
        <f t="shared" si="3"/>
        <v>47.55</v>
      </c>
    </row>
    <row r="183" spans="1:14">
      <c r="A183" s="104" t="s">
        <v>701</v>
      </c>
      <c r="B183" s="103">
        <v>136</v>
      </c>
      <c r="C183" s="103">
        <v>77</v>
      </c>
      <c r="D183" s="103">
        <v>10</v>
      </c>
      <c r="E183" s="103">
        <v>47.55</v>
      </c>
      <c r="F183" s="103"/>
      <c r="G183" s="103"/>
      <c r="H183" s="103"/>
      <c r="I183" s="103"/>
      <c r="J183" s="103"/>
      <c r="K183" s="103"/>
      <c r="L183" s="103"/>
      <c r="M183" s="103"/>
      <c r="N183" s="103">
        <f t="shared" si="3"/>
        <v>47.55</v>
      </c>
    </row>
    <row r="184" spans="1:14">
      <c r="A184" s="104" t="s">
        <v>702</v>
      </c>
      <c r="B184" s="103">
        <v>98</v>
      </c>
      <c r="C184" s="103">
        <v>21</v>
      </c>
      <c r="D184" s="103">
        <v>12</v>
      </c>
      <c r="E184" s="103">
        <v>9.6999999999999993</v>
      </c>
      <c r="F184" s="103"/>
      <c r="G184" s="103"/>
      <c r="H184" s="103"/>
      <c r="I184" s="103"/>
      <c r="J184" s="103"/>
      <c r="K184" s="103"/>
      <c r="L184" s="103"/>
      <c r="M184" s="103"/>
      <c r="N184" s="103">
        <f t="shared" si="3"/>
        <v>9.6999999999999993</v>
      </c>
    </row>
    <row r="185" spans="1:14">
      <c r="A185" s="104" t="s">
        <v>703</v>
      </c>
      <c r="B185" s="103">
        <v>56</v>
      </c>
      <c r="C185" s="103">
        <v>29</v>
      </c>
      <c r="D185" s="103">
        <v>9</v>
      </c>
      <c r="E185" s="103">
        <v>5.5250000000000004</v>
      </c>
      <c r="F185" s="103"/>
      <c r="G185" s="103"/>
      <c r="H185" s="103"/>
      <c r="I185" s="103"/>
      <c r="J185" s="103"/>
      <c r="K185" s="103"/>
      <c r="L185" s="103"/>
      <c r="M185" s="103"/>
      <c r="N185" s="103">
        <f t="shared" si="3"/>
        <v>5.5250000000000004</v>
      </c>
    </row>
    <row r="186" spans="1:14">
      <c r="A186" s="104" t="s">
        <v>704</v>
      </c>
      <c r="B186" s="103">
        <v>36</v>
      </c>
      <c r="C186" s="103">
        <v>25</v>
      </c>
      <c r="D186" s="103">
        <v>5</v>
      </c>
      <c r="E186" s="103">
        <v>1.5149999999999999</v>
      </c>
      <c r="F186" s="103"/>
      <c r="G186" s="103"/>
      <c r="H186" s="103"/>
      <c r="I186" s="103"/>
      <c r="J186" s="103"/>
      <c r="K186" s="103"/>
      <c r="L186" s="103"/>
      <c r="M186" s="103"/>
      <c r="N186" s="103">
        <f t="shared" si="3"/>
        <v>1.5149999999999999</v>
      </c>
    </row>
    <row r="187" spans="1:14">
      <c r="A187" s="104" t="s">
        <v>705</v>
      </c>
      <c r="B187" s="103">
        <v>36</v>
      </c>
      <c r="C187" s="103">
        <v>25</v>
      </c>
      <c r="D187" s="103">
        <v>5</v>
      </c>
      <c r="E187" s="103">
        <v>1.5149999999999999</v>
      </c>
      <c r="F187" s="103"/>
      <c r="G187" s="103"/>
      <c r="H187" s="103"/>
      <c r="I187" s="103"/>
      <c r="J187" s="103"/>
      <c r="K187" s="103"/>
      <c r="L187" s="103"/>
      <c r="M187" s="103"/>
      <c r="N187" s="103">
        <f t="shared" si="3"/>
        <v>1.5149999999999999</v>
      </c>
    </row>
    <row r="188" spans="1:14">
      <c r="A188" s="104" t="s">
        <v>706</v>
      </c>
      <c r="B188" s="103">
        <v>112</v>
      </c>
      <c r="C188" s="103">
        <v>28</v>
      </c>
      <c r="D188" s="103">
        <v>4</v>
      </c>
      <c r="E188" s="103">
        <v>4.0999999999999996</v>
      </c>
      <c r="F188" s="103"/>
      <c r="G188" s="103"/>
      <c r="H188" s="103"/>
      <c r="I188" s="103"/>
      <c r="J188" s="103"/>
      <c r="K188" s="103"/>
      <c r="L188" s="103"/>
      <c r="M188" s="103"/>
      <c r="N188" s="103">
        <f t="shared" si="3"/>
        <v>4.0999999999999996</v>
      </c>
    </row>
    <row r="189" spans="1:14">
      <c r="A189" s="104" t="s">
        <v>707</v>
      </c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>
        <f t="shared" si="3"/>
        <v>0</v>
      </c>
    </row>
    <row r="190" spans="1:14">
      <c r="A190" s="104" t="s">
        <v>708</v>
      </c>
      <c r="B190" s="116">
        <v>35</v>
      </c>
      <c r="C190" s="116">
        <v>25</v>
      </c>
      <c r="D190" s="116">
        <v>5</v>
      </c>
      <c r="E190" s="117">
        <v>1.7</v>
      </c>
      <c r="F190" s="103"/>
      <c r="G190" s="103"/>
      <c r="H190" s="103"/>
      <c r="I190" s="103"/>
      <c r="J190" s="103"/>
      <c r="K190" s="103"/>
      <c r="L190" s="103"/>
      <c r="M190" s="103"/>
      <c r="N190" s="103">
        <f t="shared" si="3"/>
        <v>1.7</v>
      </c>
    </row>
    <row r="191" spans="1:14">
      <c r="A191" s="104" t="s">
        <v>709</v>
      </c>
      <c r="B191" s="113">
        <v>47</v>
      </c>
      <c r="C191" s="113">
        <v>35</v>
      </c>
      <c r="D191" s="113">
        <v>8</v>
      </c>
      <c r="E191" s="114">
        <v>6</v>
      </c>
      <c r="F191" s="103"/>
      <c r="G191" s="103"/>
      <c r="H191" s="103"/>
      <c r="I191" s="103"/>
      <c r="J191" s="103"/>
      <c r="K191" s="103"/>
      <c r="L191" s="103"/>
      <c r="M191" s="103"/>
      <c r="N191" s="103">
        <f t="shared" si="3"/>
        <v>6</v>
      </c>
    </row>
    <row r="192" spans="1:14">
      <c r="A192" s="104" t="s">
        <v>710</v>
      </c>
      <c r="B192" s="103">
        <v>35</v>
      </c>
      <c r="C192" s="103">
        <v>30</v>
      </c>
      <c r="D192" s="103">
        <v>9</v>
      </c>
      <c r="E192" s="103">
        <v>3.7250000000000001</v>
      </c>
      <c r="F192" s="103"/>
      <c r="G192" s="103"/>
      <c r="H192" s="103"/>
      <c r="I192" s="103"/>
      <c r="J192" s="103"/>
      <c r="K192" s="103"/>
      <c r="L192" s="103"/>
      <c r="M192" s="103"/>
      <c r="N192" s="103">
        <f t="shared" si="3"/>
        <v>3.7250000000000001</v>
      </c>
    </row>
    <row r="193" spans="1:14">
      <c r="A193" s="104" t="s">
        <v>711</v>
      </c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>
        <f t="shared" si="3"/>
        <v>0</v>
      </c>
    </row>
    <row r="194" spans="1:14">
      <c r="A194" s="104" t="s">
        <v>712</v>
      </c>
      <c r="B194" s="103">
        <v>134</v>
      </c>
      <c r="C194" s="103">
        <v>41</v>
      </c>
      <c r="D194" s="103">
        <v>9</v>
      </c>
      <c r="E194" s="103">
        <v>20.190000000000001</v>
      </c>
      <c r="F194" s="103"/>
      <c r="G194" s="103"/>
      <c r="H194" s="103"/>
      <c r="I194" s="103"/>
      <c r="J194" s="103"/>
      <c r="K194" s="103"/>
      <c r="L194" s="103"/>
      <c r="M194" s="103"/>
      <c r="N194" s="103">
        <f t="shared" si="3"/>
        <v>20.190000000000001</v>
      </c>
    </row>
    <row r="195" spans="1:14">
      <c r="A195" s="104" t="s">
        <v>713</v>
      </c>
      <c r="B195" s="103">
        <v>119</v>
      </c>
      <c r="C195" s="103">
        <v>29</v>
      </c>
      <c r="D195" s="103">
        <v>6</v>
      </c>
      <c r="E195" s="103">
        <v>8.4250000000000007</v>
      </c>
      <c r="F195" s="103"/>
      <c r="G195" s="103"/>
      <c r="H195" s="103"/>
      <c r="I195" s="103"/>
      <c r="J195" s="103"/>
      <c r="K195" s="103"/>
      <c r="L195" s="103"/>
      <c r="M195" s="103"/>
      <c r="N195" s="103">
        <f t="shared" si="3"/>
        <v>8.4250000000000007</v>
      </c>
    </row>
    <row r="196" spans="1:14">
      <c r="A196" s="104" t="s">
        <v>714</v>
      </c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>
        <f t="shared" si="3"/>
        <v>0</v>
      </c>
    </row>
    <row r="197" spans="1:14">
      <c r="A197" s="104" t="s">
        <v>715</v>
      </c>
      <c r="B197" s="118">
        <v>127</v>
      </c>
      <c r="C197" s="118">
        <v>43</v>
      </c>
      <c r="D197" s="118">
        <v>9</v>
      </c>
      <c r="E197" s="108">
        <v>24</v>
      </c>
      <c r="F197" s="103"/>
      <c r="G197" s="103"/>
      <c r="H197" s="103"/>
      <c r="I197" s="103"/>
      <c r="J197" s="103"/>
      <c r="K197" s="103"/>
      <c r="L197" s="103"/>
      <c r="M197" s="103"/>
      <c r="N197" s="103">
        <f t="shared" si="3"/>
        <v>24</v>
      </c>
    </row>
    <row r="198" spans="1:14">
      <c r="A198" s="104" t="s">
        <v>716</v>
      </c>
      <c r="B198" s="118">
        <v>127</v>
      </c>
      <c r="C198" s="118">
        <v>43</v>
      </c>
      <c r="D198" s="118">
        <v>9</v>
      </c>
      <c r="E198" s="108">
        <v>24</v>
      </c>
      <c r="F198" s="103"/>
      <c r="G198" s="103"/>
      <c r="H198" s="103"/>
      <c r="I198" s="103"/>
      <c r="J198" s="103"/>
      <c r="K198" s="103"/>
      <c r="L198" s="103"/>
      <c r="M198" s="103"/>
      <c r="N198" s="103">
        <f t="shared" si="3"/>
        <v>24</v>
      </c>
    </row>
    <row r="199" spans="1:14">
      <c r="A199" s="104" t="s">
        <v>717</v>
      </c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>
        <f t="shared" si="3"/>
        <v>0</v>
      </c>
    </row>
    <row r="200" spans="1:14">
      <c r="A200" s="104" t="s">
        <v>718</v>
      </c>
      <c r="B200" s="103">
        <v>149</v>
      </c>
      <c r="C200" s="103">
        <v>46</v>
      </c>
      <c r="D200" s="103">
        <v>7</v>
      </c>
      <c r="E200" s="103">
        <v>23.5</v>
      </c>
      <c r="F200" s="103">
        <v>31</v>
      </c>
      <c r="G200" s="103">
        <v>10</v>
      </c>
      <c r="H200" s="103">
        <v>21.8</v>
      </c>
      <c r="I200" s="103"/>
      <c r="J200" s="103"/>
      <c r="K200" s="103"/>
      <c r="L200" s="103"/>
      <c r="M200" s="103"/>
      <c r="N200" s="103">
        <f t="shared" si="3"/>
        <v>23.5</v>
      </c>
    </row>
    <row r="201" spans="1:14">
      <c r="A201" s="104" t="s">
        <v>719</v>
      </c>
      <c r="B201" s="103">
        <v>168</v>
      </c>
      <c r="C201" s="103">
        <v>32</v>
      </c>
      <c r="D201" s="103">
        <v>7</v>
      </c>
      <c r="E201" s="103">
        <v>17.399999999999999</v>
      </c>
      <c r="F201" s="103"/>
      <c r="G201" s="103"/>
      <c r="H201" s="103"/>
      <c r="I201" s="103"/>
      <c r="J201" s="103"/>
      <c r="K201" s="103"/>
      <c r="L201" s="103"/>
      <c r="M201" s="103"/>
      <c r="N201" s="103">
        <f t="shared" si="3"/>
        <v>17.399999999999999</v>
      </c>
    </row>
    <row r="202" spans="1:14">
      <c r="A202" s="104" t="s">
        <v>720</v>
      </c>
      <c r="B202" s="103">
        <v>128</v>
      </c>
      <c r="C202" s="103">
        <v>30</v>
      </c>
      <c r="D202" s="103">
        <v>9</v>
      </c>
      <c r="E202" s="103">
        <v>12.8</v>
      </c>
      <c r="F202" s="103"/>
      <c r="G202" s="103"/>
      <c r="H202" s="103"/>
      <c r="I202" s="103"/>
      <c r="J202" s="103"/>
      <c r="K202" s="103"/>
      <c r="L202" s="103"/>
      <c r="M202" s="103"/>
      <c r="N202" s="103">
        <f t="shared" si="3"/>
        <v>12.8</v>
      </c>
    </row>
    <row r="203" spans="1:14">
      <c r="A203" s="104" t="s">
        <v>721</v>
      </c>
      <c r="B203" s="103">
        <v>98</v>
      </c>
      <c r="C203" s="103">
        <v>36</v>
      </c>
      <c r="D203" s="103">
        <v>6</v>
      </c>
      <c r="E203" s="103">
        <v>6.23</v>
      </c>
      <c r="F203" s="103"/>
      <c r="G203" s="103"/>
      <c r="H203" s="103"/>
      <c r="I203" s="103"/>
      <c r="J203" s="103"/>
      <c r="K203" s="103"/>
      <c r="L203" s="103"/>
      <c r="M203" s="103"/>
      <c r="N203" s="103">
        <f t="shared" si="3"/>
        <v>6.23</v>
      </c>
    </row>
    <row r="204" spans="1:14">
      <c r="A204" s="104" t="s">
        <v>722</v>
      </c>
      <c r="B204" s="113">
        <v>97</v>
      </c>
      <c r="C204" s="113">
        <v>36</v>
      </c>
      <c r="D204" s="113">
        <v>8</v>
      </c>
      <c r="E204" s="114">
        <v>12</v>
      </c>
      <c r="F204" s="103"/>
      <c r="G204" s="103"/>
      <c r="H204" s="103"/>
      <c r="I204" s="103"/>
      <c r="J204" s="103"/>
      <c r="K204" s="103"/>
      <c r="L204" s="103"/>
      <c r="M204" s="103"/>
      <c r="N204" s="103">
        <f t="shared" si="3"/>
        <v>12</v>
      </c>
    </row>
    <row r="205" spans="1:14">
      <c r="A205" s="104" t="s">
        <v>723</v>
      </c>
      <c r="B205" s="103">
        <v>207</v>
      </c>
      <c r="C205" s="103">
        <v>45</v>
      </c>
      <c r="D205" s="103">
        <v>10</v>
      </c>
      <c r="E205" s="103">
        <v>47.4</v>
      </c>
      <c r="F205" s="103">
        <v>146</v>
      </c>
      <c r="G205" s="103">
        <v>28</v>
      </c>
      <c r="H205" s="103">
        <v>10</v>
      </c>
      <c r="I205" s="103">
        <v>20</v>
      </c>
      <c r="J205" s="103">
        <v>158</v>
      </c>
      <c r="K205" s="103">
        <v>28</v>
      </c>
      <c r="L205" s="103">
        <v>7</v>
      </c>
      <c r="M205" s="103">
        <v>15.18</v>
      </c>
      <c r="N205" s="103">
        <f t="shared" si="3"/>
        <v>82.580000000000013</v>
      </c>
    </row>
    <row r="206" spans="1:14">
      <c r="A206" s="104" t="s">
        <v>724</v>
      </c>
      <c r="B206" s="103">
        <v>93</v>
      </c>
      <c r="C206" s="103">
        <v>55</v>
      </c>
      <c r="D206" s="103">
        <v>9</v>
      </c>
      <c r="E206" s="103">
        <v>19</v>
      </c>
      <c r="F206" s="103"/>
      <c r="G206" s="103"/>
      <c r="H206" s="103"/>
      <c r="I206" s="103"/>
      <c r="J206" s="103"/>
      <c r="K206" s="103"/>
      <c r="L206" s="103"/>
      <c r="M206" s="103"/>
      <c r="N206" s="103">
        <f t="shared" si="3"/>
        <v>19</v>
      </c>
    </row>
    <row r="207" spans="1:14">
      <c r="A207" s="104" t="s">
        <v>725</v>
      </c>
      <c r="B207" s="103">
        <v>155</v>
      </c>
      <c r="C207" s="103">
        <v>47</v>
      </c>
      <c r="D207" s="103">
        <v>10</v>
      </c>
      <c r="E207" s="103">
        <v>33.44</v>
      </c>
      <c r="F207" s="103"/>
      <c r="G207" s="103"/>
      <c r="H207" s="103"/>
      <c r="I207" s="103"/>
      <c r="J207" s="103"/>
      <c r="K207" s="103"/>
      <c r="L207" s="103"/>
      <c r="M207" s="103"/>
      <c r="N207" s="103">
        <f t="shared" si="3"/>
        <v>33.44</v>
      </c>
    </row>
    <row r="208" spans="1:14">
      <c r="A208" s="104" t="s">
        <v>726</v>
      </c>
      <c r="B208" s="113">
        <v>127</v>
      </c>
      <c r="C208" s="113">
        <v>35</v>
      </c>
      <c r="D208" s="113">
        <v>7</v>
      </c>
      <c r="E208" s="114">
        <v>12</v>
      </c>
      <c r="F208" s="103"/>
      <c r="G208" s="103"/>
      <c r="H208" s="103"/>
      <c r="I208" s="103"/>
      <c r="J208" s="103"/>
      <c r="K208" s="103"/>
      <c r="L208" s="103"/>
      <c r="M208" s="103"/>
      <c r="N208" s="103">
        <f t="shared" si="3"/>
        <v>12</v>
      </c>
    </row>
    <row r="209" spans="1:14">
      <c r="A209" s="104" t="s">
        <v>727</v>
      </c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>
        <f t="shared" si="3"/>
        <v>0</v>
      </c>
    </row>
    <row r="210" spans="1:14">
      <c r="A210" s="104" t="s">
        <v>728</v>
      </c>
      <c r="B210" s="103">
        <v>97</v>
      </c>
      <c r="C210" s="103">
        <v>30</v>
      </c>
      <c r="D210" s="103">
        <v>5</v>
      </c>
      <c r="E210" s="103">
        <v>6.95</v>
      </c>
      <c r="F210" s="103"/>
      <c r="G210" s="103"/>
      <c r="H210" s="103"/>
      <c r="I210" s="103"/>
      <c r="J210" s="103"/>
      <c r="K210" s="103"/>
      <c r="L210" s="103"/>
      <c r="M210" s="103"/>
      <c r="N210" s="103">
        <f t="shared" si="3"/>
        <v>6.95</v>
      </c>
    </row>
    <row r="211" spans="1:14">
      <c r="A211" s="104" t="s">
        <v>729</v>
      </c>
      <c r="B211" s="103">
        <v>70</v>
      </c>
      <c r="C211" s="103">
        <v>30</v>
      </c>
      <c r="D211" s="103">
        <v>6</v>
      </c>
      <c r="E211" s="103">
        <v>3.31</v>
      </c>
      <c r="F211" s="103"/>
      <c r="G211" s="103"/>
      <c r="H211" s="103"/>
      <c r="I211" s="103"/>
      <c r="J211" s="103"/>
      <c r="K211" s="103"/>
      <c r="L211" s="103"/>
      <c r="M211" s="103"/>
      <c r="N211" s="103">
        <f t="shared" si="3"/>
        <v>3.31</v>
      </c>
    </row>
    <row r="212" spans="1:14">
      <c r="A212" s="104" t="s">
        <v>730</v>
      </c>
      <c r="B212" s="103">
        <v>125</v>
      </c>
      <c r="C212" s="103">
        <v>43</v>
      </c>
      <c r="D212" s="103">
        <v>7</v>
      </c>
      <c r="E212" s="103">
        <v>16.920000000000002</v>
      </c>
      <c r="F212" s="103"/>
      <c r="G212" s="103"/>
      <c r="H212" s="103"/>
      <c r="I212" s="103"/>
      <c r="J212" s="103"/>
      <c r="K212" s="103"/>
      <c r="L212" s="103"/>
      <c r="M212" s="103"/>
      <c r="N212" s="103">
        <f t="shared" si="3"/>
        <v>16.920000000000002</v>
      </c>
    </row>
    <row r="213" spans="1:14">
      <c r="A213" s="104" t="s">
        <v>731</v>
      </c>
      <c r="B213" s="103">
        <v>98</v>
      </c>
      <c r="C213" s="103">
        <v>32</v>
      </c>
      <c r="D213" s="103">
        <v>4</v>
      </c>
      <c r="E213" s="103">
        <v>4.8650000000000002</v>
      </c>
      <c r="F213" s="103"/>
      <c r="G213" s="103"/>
      <c r="H213" s="103"/>
      <c r="I213" s="103"/>
      <c r="J213" s="103"/>
      <c r="K213" s="103"/>
      <c r="L213" s="103"/>
      <c r="M213" s="103"/>
      <c r="N213" s="103">
        <f t="shared" si="3"/>
        <v>4.8650000000000002</v>
      </c>
    </row>
    <row r="214" spans="1:14">
      <c r="A214" s="104" t="s">
        <v>732</v>
      </c>
      <c r="B214" s="103">
        <v>67</v>
      </c>
      <c r="C214" s="103">
        <v>31</v>
      </c>
      <c r="D214" s="103">
        <v>4</v>
      </c>
      <c r="E214" s="103">
        <v>3.33</v>
      </c>
      <c r="F214" s="103"/>
      <c r="G214" s="103"/>
      <c r="H214" s="103"/>
      <c r="I214" s="103"/>
      <c r="J214" s="103"/>
      <c r="K214" s="103"/>
      <c r="L214" s="103"/>
      <c r="M214" s="103"/>
      <c r="N214" s="103">
        <f t="shared" si="3"/>
        <v>3.33</v>
      </c>
    </row>
    <row r="215" spans="1:14">
      <c r="A215" s="104" t="s">
        <v>733</v>
      </c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>
        <f t="shared" si="3"/>
        <v>0</v>
      </c>
    </row>
    <row r="216" spans="1:14">
      <c r="A216" s="104" t="s">
        <v>734</v>
      </c>
      <c r="B216" s="118">
        <v>194</v>
      </c>
      <c r="C216" s="118">
        <v>44</v>
      </c>
      <c r="D216" s="118">
        <v>8</v>
      </c>
      <c r="E216" s="108">
        <v>31.5</v>
      </c>
      <c r="F216" s="103"/>
      <c r="G216" s="103"/>
      <c r="H216" s="103"/>
      <c r="I216" s="103"/>
      <c r="J216" s="103"/>
      <c r="K216" s="103"/>
      <c r="L216" s="103"/>
      <c r="M216" s="103"/>
      <c r="N216" s="103">
        <f t="shared" si="3"/>
        <v>31.5</v>
      </c>
    </row>
    <row r="217" spans="1:14">
      <c r="A217" s="104" t="s">
        <v>735</v>
      </c>
      <c r="B217" s="103">
        <v>127</v>
      </c>
      <c r="C217" s="103">
        <v>46</v>
      </c>
      <c r="D217" s="103">
        <v>7</v>
      </c>
      <c r="E217" s="103">
        <v>22.4</v>
      </c>
      <c r="F217" s="103"/>
      <c r="G217" s="103"/>
      <c r="H217" s="103"/>
      <c r="I217" s="103"/>
      <c r="J217" s="103"/>
      <c r="K217" s="103"/>
      <c r="L217" s="103"/>
      <c r="M217" s="103"/>
      <c r="N217" s="103">
        <f t="shared" si="3"/>
        <v>22.4</v>
      </c>
    </row>
    <row r="218" spans="1:14">
      <c r="A218" s="104" t="s">
        <v>736</v>
      </c>
      <c r="B218" s="103">
        <v>128</v>
      </c>
      <c r="C218" s="103">
        <v>67</v>
      </c>
      <c r="D218" s="103">
        <v>7</v>
      </c>
      <c r="E218" s="103">
        <v>29.26</v>
      </c>
      <c r="F218" s="103"/>
      <c r="G218" s="103"/>
      <c r="H218" s="103"/>
      <c r="I218" s="103"/>
      <c r="J218" s="103"/>
      <c r="K218" s="103"/>
      <c r="L218" s="103"/>
      <c r="M218" s="103"/>
      <c r="N218" s="103">
        <f t="shared" si="3"/>
        <v>29.26</v>
      </c>
    </row>
    <row r="219" spans="1:14">
      <c r="A219" s="104" t="s">
        <v>737</v>
      </c>
      <c r="B219" s="103">
        <v>116</v>
      </c>
      <c r="C219" s="103">
        <v>40</v>
      </c>
      <c r="D219" s="103">
        <v>7</v>
      </c>
      <c r="E219" s="103">
        <v>12.5</v>
      </c>
      <c r="F219" s="103"/>
      <c r="G219" s="103"/>
      <c r="H219" s="103"/>
      <c r="I219" s="103"/>
      <c r="J219" s="103"/>
      <c r="K219" s="103"/>
      <c r="L219" s="103"/>
      <c r="M219" s="103"/>
      <c r="N219" s="103">
        <f t="shared" ref="N219:N258" si="4">E219+I219+M219</f>
        <v>12.5</v>
      </c>
    </row>
    <row r="220" spans="1:14">
      <c r="A220" s="104" t="s">
        <v>738</v>
      </c>
      <c r="B220" s="103">
        <v>164</v>
      </c>
      <c r="C220" s="103">
        <v>36</v>
      </c>
      <c r="D220" s="103">
        <v>9</v>
      </c>
      <c r="E220" s="103">
        <v>24.55</v>
      </c>
      <c r="F220" s="103"/>
      <c r="G220" s="103"/>
      <c r="H220" s="103"/>
      <c r="I220" s="103"/>
      <c r="J220" s="103"/>
      <c r="K220" s="103"/>
      <c r="L220" s="103"/>
      <c r="M220" s="103"/>
      <c r="N220" s="103">
        <f t="shared" si="4"/>
        <v>24.55</v>
      </c>
    </row>
    <row r="221" spans="1:14">
      <c r="A221" s="104" t="s">
        <v>739</v>
      </c>
      <c r="B221" s="103">
        <v>137</v>
      </c>
      <c r="C221" s="103">
        <v>36</v>
      </c>
      <c r="D221" s="103">
        <v>8</v>
      </c>
      <c r="E221" s="103">
        <v>18.204999999999998</v>
      </c>
      <c r="F221" s="103"/>
      <c r="G221" s="103"/>
      <c r="H221" s="103"/>
      <c r="I221" s="103"/>
      <c r="J221" s="103"/>
      <c r="K221" s="103"/>
      <c r="L221" s="103"/>
      <c r="M221" s="103"/>
      <c r="N221" s="103">
        <f t="shared" si="4"/>
        <v>18.204999999999998</v>
      </c>
    </row>
    <row r="222" spans="1:14">
      <c r="A222" s="104" t="s">
        <v>740</v>
      </c>
      <c r="B222" s="103">
        <v>165</v>
      </c>
      <c r="C222" s="103">
        <v>36</v>
      </c>
      <c r="D222" s="103">
        <v>7</v>
      </c>
      <c r="E222" s="103">
        <v>18.649999999999999</v>
      </c>
      <c r="F222" s="103"/>
      <c r="G222" s="103"/>
      <c r="H222" s="103"/>
      <c r="I222" s="103"/>
      <c r="J222" s="103"/>
      <c r="K222" s="103"/>
      <c r="L222" s="103"/>
      <c r="M222" s="103"/>
      <c r="N222" s="103">
        <f t="shared" si="4"/>
        <v>18.649999999999999</v>
      </c>
    </row>
    <row r="223" spans="1:14">
      <c r="A223" s="104" t="s">
        <v>741</v>
      </c>
      <c r="B223" s="103">
        <v>165</v>
      </c>
      <c r="C223" s="103">
        <v>36</v>
      </c>
      <c r="D223" s="103">
        <v>7</v>
      </c>
      <c r="E223" s="103">
        <v>19.559999999999999</v>
      </c>
      <c r="F223" s="103"/>
      <c r="G223" s="103"/>
      <c r="H223" s="103"/>
      <c r="I223" s="103"/>
      <c r="J223" s="103"/>
      <c r="K223" s="103"/>
      <c r="L223" s="103"/>
      <c r="M223" s="103"/>
      <c r="N223" s="103">
        <f t="shared" si="4"/>
        <v>19.559999999999999</v>
      </c>
    </row>
    <row r="224" spans="1:14">
      <c r="A224" s="104" t="s">
        <v>742</v>
      </c>
      <c r="B224" s="118">
        <v>137</v>
      </c>
      <c r="C224" s="118">
        <v>35</v>
      </c>
      <c r="D224" s="118">
        <v>7</v>
      </c>
      <c r="E224" s="108">
        <v>14.8</v>
      </c>
      <c r="F224" s="103"/>
      <c r="G224" s="103"/>
      <c r="H224" s="103"/>
      <c r="I224" s="103"/>
      <c r="J224" s="103"/>
      <c r="K224" s="103"/>
      <c r="L224" s="103"/>
      <c r="M224" s="103"/>
      <c r="N224" s="103">
        <f t="shared" si="4"/>
        <v>14.8</v>
      </c>
    </row>
    <row r="225" spans="1:14">
      <c r="A225" s="104" t="s">
        <v>743</v>
      </c>
      <c r="B225" s="118">
        <v>166</v>
      </c>
      <c r="C225" s="118">
        <v>37</v>
      </c>
      <c r="D225" s="118">
        <v>8</v>
      </c>
      <c r="E225" s="108">
        <v>22.954999999999998</v>
      </c>
      <c r="F225" s="103"/>
      <c r="G225" s="103"/>
      <c r="H225" s="103"/>
      <c r="I225" s="103"/>
      <c r="J225" s="103"/>
      <c r="K225" s="103"/>
      <c r="L225" s="103"/>
      <c r="M225" s="103"/>
      <c r="N225" s="103">
        <f t="shared" si="4"/>
        <v>22.954999999999998</v>
      </c>
    </row>
    <row r="226" spans="1:14">
      <c r="A226" s="104" t="s">
        <v>744</v>
      </c>
      <c r="B226" s="118">
        <v>136</v>
      </c>
      <c r="C226" s="118">
        <v>35</v>
      </c>
      <c r="D226" s="118">
        <v>8</v>
      </c>
      <c r="E226" s="108">
        <v>17.440000000000001</v>
      </c>
      <c r="F226" s="103"/>
      <c r="G226" s="103"/>
      <c r="H226" s="103"/>
      <c r="I226" s="103"/>
      <c r="J226" s="103"/>
      <c r="K226" s="103"/>
      <c r="L226" s="103"/>
      <c r="M226" s="103"/>
      <c r="N226" s="103">
        <f t="shared" si="4"/>
        <v>17.440000000000001</v>
      </c>
    </row>
    <row r="227" spans="1:14">
      <c r="A227" s="104" t="s">
        <v>745</v>
      </c>
      <c r="B227" s="118">
        <v>165</v>
      </c>
      <c r="C227" s="118">
        <v>36</v>
      </c>
      <c r="D227" s="118">
        <v>5</v>
      </c>
      <c r="E227" s="108">
        <v>13.7</v>
      </c>
      <c r="F227" s="103"/>
      <c r="G227" s="103"/>
      <c r="H227" s="103"/>
      <c r="I227" s="103"/>
      <c r="J227" s="103"/>
      <c r="K227" s="103"/>
      <c r="L227" s="103"/>
      <c r="M227" s="103"/>
      <c r="N227" s="103">
        <f t="shared" si="4"/>
        <v>13.7</v>
      </c>
    </row>
    <row r="228" spans="1:14">
      <c r="A228" s="104" t="s">
        <v>746</v>
      </c>
      <c r="B228" s="108">
        <v>135</v>
      </c>
      <c r="C228" s="108">
        <v>36</v>
      </c>
      <c r="D228" s="108">
        <v>7</v>
      </c>
      <c r="E228" s="108">
        <v>11</v>
      </c>
      <c r="F228" s="103"/>
      <c r="G228" s="103"/>
      <c r="H228" s="103"/>
      <c r="I228" s="103"/>
      <c r="J228" s="103"/>
      <c r="K228" s="103"/>
      <c r="L228" s="103"/>
      <c r="M228" s="103"/>
      <c r="N228" s="103">
        <f t="shared" si="4"/>
        <v>11</v>
      </c>
    </row>
    <row r="229" spans="1:14">
      <c r="A229" s="104" t="s">
        <v>747</v>
      </c>
      <c r="B229" s="108">
        <v>135</v>
      </c>
      <c r="C229" s="108">
        <v>36</v>
      </c>
      <c r="D229" s="108">
        <v>7</v>
      </c>
      <c r="E229" s="108">
        <v>14</v>
      </c>
      <c r="F229" s="103"/>
      <c r="G229" s="103"/>
      <c r="H229" s="103"/>
      <c r="I229" s="103"/>
      <c r="J229" s="103"/>
      <c r="K229" s="103"/>
      <c r="L229" s="103"/>
      <c r="M229" s="103"/>
      <c r="N229" s="103">
        <f t="shared" si="4"/>
        <v>14</v>
      </c>
    </row>
    <row r="230" spans="1:14">
      <c r="A230" s="104" t="s">
        <v>748</v>
      </c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>
        <f t="shared" si="4"/>
        <v>0</v>
      </c>
    </row>
    <row r="231" spans="1:14">
      <c r="A231" s="104" t="s">
        <v>749</v>
      </c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>
        <f t="shared" si="4"/>
        <v>0</v>
      </c>
    </row>
    <row r="232" spans="1:14">
      <c r="A232" s="104" t="s">
        <v>750</v>
      </c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>
        <f t="shared" si="4"/>
        <v>0</v>
      </c>
    </row>
    <row r="233" spans="1:14">
      <c r="A233" s="104" t="s">
        <v>751</v>
      </c>
      <c r="B233" s="103">
        <v>188</v>
      </c>
      <c r="C233" s="103">
        <v>48</v>
      </c>
      <c r="D233" s="103">
        <v>9</v>
      </c>
      <c r="E233" s="103">
        <v>37.799999999999997</v>
      </c>
      <c r="F233" s="103">
        <v>148</v>
      </c>
      <c r="G233" s="103">
        <v>53</v>
      </c>
      <c r="H233" s="103">
        <v>8</v>
      </c>
      <c r="I233" s="103">
        <v>30.4</v>
      </c>
      <c r="J233" s="103"/>
      <c r="K233" s="103"/>
      <c r="L233" s="103"/>
      <c r="M233" s="103"/>
      <c r="N233" s="103">
        <f t="shared" si="4"/>
        <v>68.199999999999989</v>
      </c>
    </row>
    <row r="234" spans="1:14">
      <c r="A234" s="104" t="s">
        <v>752</v>
      </c>
      <c r="B234" s="103">
        <v>158</v>
      </c>
      <c r="C234" s="103">
        <v>45</v>
      </c>
      <c r="D234" s="103">
        <v>13</v>
      </c>
      <c r="E234" s="103">
        <v>42.6</v>
      </c>
      <c r="F234" s="103"/>
      <c r="G234" s="103"/>
      <c r="H234" s="103"/>
      <c r="I234" s="103"/>
      <c r="J234" s="103"/>
      <c r="K234" s="103"/>
      <c r="L234" s="103"/>
      <c r="M234" s="103"/>
      <c r="N234" s="103">
        <f t="shared" si="4"/>
        <v>42.6</v>
      </c>
    </row>
    <row r="235" spans="1:14">
      <c r="A235" s="104" t="s">
        <v>753</v>
      </c>
      <c r="B235" s="103">
        <v>167</v>
      </c>
      <c r="C235" s="103">
        <v>40</v>
      </c>
      <c r="D235" s="103">
        <v>8</v>
      </c>
      <c r="E235" s="103">
        <v>28.56</v>
      </c>
      <c r="F235" s="103"/>
      <c r="G235" s="103"/>
      <c r="H235" s="103"/>
      <c r="I235" s="103"/>
      <c r="J235" s="103"/>
      <c r="K235" s="103"/>
      <c r="L235" s="103"/>
      <c r="M235" s="103"/>
      <c r="N235" s="103">
        <f t="shared" si="4"/>
        <v>28.56</v>
      </c>
    </row>
    <row r="236" spans="1:14">
      <c r="A236" s="104" t="s">
        <v>754</v>
      </c>
      <c r="B236" s="118">
        <v>138</v>
      </c>
      <c r="C236" s="118">
        <v>36</v>
      </c>
      <c r="D236" s="118">
        <v>10</v>
      </c>
      <c r="E236" s="108">
        <v>20</v>
      </c>
      <c r="F236" s="103"/>
      <c r="G236" s="103"/>
      <c r="H236" s="103"/>
      <c r="I236" s="103"/>
      <c r="J236" s="103"/>
      <c r="K236" s="103"/>
      <c r="L236" s="103"/>
      <c r="M236" s="103"/>
      <c r="N236" s="103">
        <f t="shared" si="4"/>
        <v>20</v>
      </c>
    </row>
    <row r="237" spans="1:14">
      <c r="A237" s="104" t="s">
        <v>755</v>
      </c>
      <c r="B237" s="103">
        <v>155</v>
      </c>
      <c r="C237" s="103">
        <v>45</v>
      </c>
      <c r="D237" s="103">
        <v>9</v>
      </c>
      <c r="E237" s="103">
        <v>27.63</v>
      </c>
      <c r="F237" s="103"/>
      <c r="G237" s="103"/>
      <c r="H237" s="103"/>
      <c r="I237" s="103"/>
      <c r="J237" s="103"/>
      <c r="K237" s="103"/>
      <c r="L237" s="103"/>
      <c r="M237" s="103"/>
      <c r="N237" s="103">
        <f t="shared" si="4"/>
        <v>27.63</v>
      </c>
    </row>
    <row r="238" spans="1:14">
      <c r="A238" s="104" t="s">
        <v>756</v>
      </c>
      <c r="B238" s="103">
        <v>165</v>
      </c>
      <c r="C238" s="103">
        <v>34</v>
      </c>
      <c r="D238" s="103">
        <v>7</v>
      </c>
      <c r="E238" s="103">
        <v>17.48</v>
      </c>
      <c r="F238" s="103"/>
      <c r="G238" s="103"/>
      <c r="H238" s="103"/>
      <c r="I238" s="103"/>
      <c r="J238" s="103"/>
      <c r="K238" s="103"/>
      <c r="L238" s="103"/>
      <c r="M238" s="103"/>
      <c r="N238" s="103">
        <f t="shared" si="4"/>
        <v>17.48</v>
      </c>
    </row>
    <row r="239" spans="1:14">
      <c r="A239" s="104" t="s">
        <v>757</v>
      </c>
      <c r="B239" s="118">
        <v>150</v>
      </c>
      <c r="C239" s="118">
        <v>34</v>
      </c>
      <c r="D239" s="118">
        <v>5</v>
      </c>
      <c r="E239" s="108">
        <v>12</v>
      </c>
      <c r="F239" s="103"/>
      <c r="G239" s="103"/>
      <c r="H239" s="103"/>
      <c r="I239" s="103"/>
      <c r="J239" s="103"/>
      <c r="K239" s="103"/>
      <c r="L239" s="103"/>
      <c r="M239" s="103"/>
      <c r="N239" s="103">
        <f t="shared" si="4"/>
        <v>12</v>
      </c>
    </row>
    <row r="240" spans="1:14">
      <c r="A240" s="104" t="s">
        <v>758</v>
      </c>
      <c r="B240" s="118">
        <v>87</v>
      </c>
      <c r="C240" s="118">
        <v>29</v>
      </c>
      <c r="D240" s="118">
        <v>7</v>
      </c>
      <c r="E240" s="108">
        <v>7.8</v>
      </c>
      <c r="F240" s="103"/>
      <c r="G240" s="103"/>
      <c r="H240" s="103"/>
      <c r="I240" s="103"/>
      <c r="J240" s="103"/>
      <c r="K240" s="103"/>
      <c r="L240" s="103"/>
      <c r="M240" s="103"/>
      <c r="N240" s="103">
        <f t="shared" si="4"/>
        <v>7.8</v>
      </c>
    </row>
    <row r="241" spans="1:14">
      <c r="A241" s="104" t="s">
        <v>759</v>
      </c>
      <c r="B241" s="118">
        <v>58</v>
      </c>
      <c r="C241" s="118">
        <v>30</v>
      </c>
      <c r="D241" s="118">
        <v>9</v>
      </c>
      <c r="E241" s="108">
        <v>6.5</v>
      </c>
      <c r="F241" s="103"/>
      <c r="G241" s="103"/>
      <c r="H241" s="103"/>
      <c r="I241" s="103"/>
      <c r="J241" s="103"/>
      <c r="K241" s="103"/>
      <c r="L241" s="103"/>
      <c r="M241" s="103"/>
      <c r="N241" s="103">
        <f t="shared" si="4"/>
        <v>6.5</v>
      </c>
    </row>
    <row r="242" spans="1:14">
      <c r="A242" s="104" t="s">
        <v>760</v>
      </c>
      <c r="B242" s="108">
        <v>45</v>
      </c>
      <c r="C242" s="108">
        <v>24.5</v>
      </c>
      <c r="D242" s="108">
        <v>5</v>
      </c>
      <c r="E242" s="108">
        <v>2</v>
      </c>
      <c r="F242" s="103"/>
      <c r="G242" s="103"/>
      <c r="H242" s="103"/>
      <c r="I242" s="103"/>
      <c r="J242" s="103"/>
      <c r="K242" s="103"/>
      <c r="L242" s="103"/>
      <c r="M242" s="103"/>
      <c r="N242" s="103">
        <f t="shared" si="4"/>
        <v>2</v>
      </c>
    </row>
    <row r="243" spans="1:14">
      <c r="A243" s="104" t="s">
        <v>761</v>
      </c>
      <c r="B243" s="108">
        <v>55</v>
      </c>
      <c r="C243" s="108">
        <v>32</v>
      </c>
      <c r="D243" s="108">
        <v>3.5</v>
      </c>
      <c r="E243" s="108">
        <v>3</v>
      </c>
      <c r="F243" s="103"/>
      <c r="G243" s="103"/>
      <c r="H243" s="103"/>
      <c r="I243" s="103"/>
      <c r="J243" s="103"/>
      <c r="K243" s="103"/>
      <c r="L243" s="103"/>
      <c r="M243" s="103"/>
      <c r="N243" s="103">
        <f t="shared" si="4"/>
        <v>3</v>
      </c>
    </row>
    <row r="244" spans="1:14">
      <c r="A244" s="104" t="s">
        <v>762</v>
      </c>
      <c r="B244" s="108">
        <v>41</v>
      </c>
      <c r="C244" s="108">
        <v>25</v>
      </c>
      <c r="D244" s="108">
        <v>4</v>
      </c>
      <c r="E244" s="108">
        <v>1</v>
      </c>
      <c r="F244" s="103"/>
      <c r="G244" s="103"/>
      <c r="H244" s="103"/>
      <c r="I244" s="103"/>
      <c r="J244" s="103"/>
      <c r="K244" s="103"/>
      <c r="L244" s="103"/>
      <c r="M244" s="103"/>
      <c r="N244" s="103">
        <f t="shared" si="4"/>
        <v>1</v>
      </c>
    </row>
    <row r="245" spans="1:14">
      <c r="A245" s="104" t="s">
        <v>763</v>
      </c>
      <c r="B245" s="108">
        <v>147</v>
      </c>
      <c r="C245" s="108">
        <v>47</v>
      </c>
      <c r="D245" s="108">
        <v>7</v>
      </c>
      <c r="E245" s="108">
        <v>13.7</v>
      </c>
      <c r="F245" s="103"/>
      <c r="G245" s="103"/>
      <c r="H245" s="103"/>
      <c r="I245" s="103"/>
      <c r="J245" s="103"/>
      <c r="K245" s="103"/>
      <c r="L245" s="103"/>
      <c r="M245" s="103"/>
      <c r="N245" s="103">
        <f t="shared" si="4"/>
        <v>13.7</v>
      </c>
    </row>
    <row r="246" spans="1:14">
      <c r="A246" s="104" t="s">
        <v>764</v>
      </c>
      <c r="B246" s="118">
        <v>196</v>
      </c>
      <c r="C246" s="118">
        <v>44</v>
      </c>
      <c r="D246" s="118">
        <v>8</v>
      </c>
      <c r="E246" s="108">
        <v>31.954999999999998</v>
      </c>
      <c r="F246" s="103"/>
      <c r="G246" s="103"/>
      <c r="H246" s="103"/>
      <c r="I246" s="103"/>
      <c r="J246" s="103"/>
      <c r="K246" s="103"/>
      <c r="L246" s="103"/>
      <c r="M246" s="103"/>
      <c r="N246" s="103">
        <f t="shared" si="4"/>
        <v>31.954999999999998</v>
      </c>
    </row>
    <row r="247" spans="1:14">
      <c r="A247" s="104" t="s">
        <v>765</v>
      </c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>
        <f t="shared" si="4"/>
        <v>0</v>
      </c>
    </row>
    <row r="248" spans="1:14">
      <c r="A248" s="104" t="s">
        <v>290</v>
      </c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>
        <f t="shared" si="4"/>
        <v>0</v>
      </c>
    </row>
    <row r="249" spans="1:14">
      <c r="A249" s="104" t="s">
        <v>291</v>
      </c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>
        <f t="shared" si="4"/>
        <v>0</v>
      </c>
    </row>
    <row r="250" spans="1:14">
      <c r="A250" s="104" t="s">
        <v>766</v>
      </c>
      <c r="B250" s="103">
        <v>185</v>
      </c>
      <c r="C250" s="103">
        <v>50</v>
      </c>
      <c r="D250" s="103">
        <v>9</v>
      </c>
      <c r="E250" s="103">
        <v>45</v>
      </c>
      <c r="F250" s="103"/>
      <c r="G250" s="103"/>
      <c r="H250" s="103"/>
      <c r="I250" s="103"/>
      <c r="J250" s="103"/>
      <c r="K250" s="103"/>
      <c r="L250" s="103"/>
      <c r="M250" s="103"/>
      <c r="N250" s="103">
        <f t="shared" si="4"/>
        <v>45</v>
      </c>
    </row>
    <row r="251" spans="1:14">
      <c r="A251" s="104" t="s">
        <v>767</v>
      </c>
      <c r="B251" s="118">
        <v>185</v>
      </c>
      <c r="C251" s="118">
        <v>51</v>
      </c>
      <c r="D251" s="118">
        <v>10</v>
      </c>
      <c r="E251" s="108">
        <v>47.9</v>
      </c>
      <c r="F251" s="103"/>
      <c r="G251" s="103"/>
      <c r="H251" s="103"/>
      <c r="I251" s="103"/>
      <c r="J251" s="103"/>
      <c r="K251" s="103"/>
      <c r="L251" s="103"/>
      <c r="M251" s="103"/>
      <c r="N251" s="103">
        <f t="shared" si="4"/>
        <v>47.9</v>
      </c>
    </row>
    <row r="252" spans="1:14">
      <c r="A252" s="104" t="s">
        <v>768</v>
      </c>
      <c r="B252" s="118">
        <v>186</v>
      </c>
      <c r="C252" s="118">
        <v>51</v>
      </c>
      <c r="D252" s="118">
        <v>10</v>
      </c>
      <c r="E252" s="108">
        <v>48.4</v>
      </c>
      <c r="F252" s="103"/>
      <c r="G252" s="103"/>
      <c r="H252" s="103"/>
      <c r="I252" s="103"/>
      <c r="J252" s="103"/>
      <c r="K252" s="103"/>
      <c r="L252" s="103"/>
      <c r="M252" s="103"/>
      <c r="N252" s="103">
        <f t="shared" si="4"/>
        <v>48.4</v>
      </c>
    </row>
    <row r="253" spans="1:14">
      <c r="A253" s="104" t="s">
        <v>769</v>
      </c>
      <c r="B253" s="103">
        <v>123</v>
      </c>
      <c r="C253" s="103">
        <v>53</v>
      </c>
      <c r="D253" s="103">
        <v>11</v>
      </c>
      <c r="E253" s="103">
        <v>33.9</v>
      </c>
      <c r="F253" s="103">
        <v>186</v>
      </c>
      <c r="G253" s="103">
        <v>51</v>
      </c>
      <c r="H253" s="103">
        <v>10</v>
      </c>
      <c r="I253" s="103">
        <v>44.1</v>
      </c>
      <c r="J253" s="103"/>
      <c r="K253" s="103"/>
      <c r="L253" s="103"/>
      <c r="M253" s="103"/>
      <c r="N253" s="103">
        <f t="shared" si="4"/>
        <v>78</v>
      </c>
    </row>
    <row r="254" spans="1:14">
      <c r="A254" s="104" t="s">
        <v>770</v>
      </c>
      <c r="B254" s="103">
        <v>122</v>
      </c>
      <c r="C254" s="103">
        <v>55</v>
      </c>
      <c r="D254" s="103">
        <v>11</v>
      </c>
      <c r="E254" s="103">
        <v>33.700000000000003</v>
      </c>
      <c r="F254" s="103">
        <v>186</v>
      </c>
      <c r="G254" s="103">
        <v>51</v>
      </c>
      <c r="H254" s="103">
        <v>10</v>
      </c>
      <c r="I254" s="103">
        <v>41.3</v>
      </c>
      <c r="J254" s="103"/>
      <c r="K254" s="103"/>
      <c r="L254" s="103"/>
      <c r="M254" s="103"/>
      <c r="N254" s="103">
        <f t="shared" si="4"/>
        <v>75</v>
      </c>
    </row>
    <row r="255" spans="1:14">
      <c r="A255" s="104" t="s">
        <v>771</v>
      </c>
      <c r="B255" s="103">
        <v>130</v>
      </c>
      <c r="C255" s="103">
        <v>54</v>
      </c>
      <c r="D255" s="103">
        <v>9</v>
      </c>
      <c r="E255" s="103">
        <v>29.14</v>
      </c>
      <c r="F255" s="103">
        <v>182</v>
      </c>
      <c r="G255" s="103">
        <v>49</v>
      </c>
      <c r="H255" s="103">
        <v>10</v>
      </c>
      <c r="I255" s="103">
        <v>40.229999999999997</v>
      </c>
      <c r="J255" s="103">
        <v>188</v>
      </c>
      <c r="K255" s="103">
        <v>51</v>
      </c>
      <c r="L255" s="103">
        <v>8</v>
      </c>
      <c r="M255" s="103">
        <v>35.65</v>
      </c>
      <c r="N255" s="103">
        <f t="shared" si="4"/>
        <v>105.02000000000001</v>
      </c>
    </row>
    <row r="256" spans="1:14">
      <c r="A256" s="104" t="s">
        <v>772</v>
      </c>
      <c r="B256" s="103">
        <v>130</v>
      </c>
      <c r="C256" s="103">
        <v>54</v>
      </c>
      <c r="D256" s="103">
        <v>9</v>
      </c>
      <c r="E256" s="103">
        <v>29.14</v>
      </c>
      <c r="F256" s="103">
        <v>180</v>
      </c>
      <c r="G256" s="103">
        <v>48</v>
      </c>
      <c r="H256" s="103">
        <v>10</v>
      </c>
      <c r="I256" s="103">
        <v>37</v>
      </c>
      <c r="J256" s="103">
        <v>188</v>
      </c>
      <c r="K256" s="103">
        <v>51</v>
      </c>
      <c r="L256" s="103">
        <v>8</v>
      </c>
      <c r="M256" s="103">
        <v>35.65</v>
      </c>
      <c r="N256" s="103">
        <f t="shared" si="4"/>
        <v>101.78999999999999</v>
      </c>
    </row>
    <row r="257" spans="1:14">
      <c r="A257" s="104" t="s">
        <v>773</v>
      </c>
      <c r="B257" s="103">
        <v>166</v>
      </c>
      <c r="C257" s="103">
        <v>53</v>
      </c>
      <c r="D257" s="103">
        <v>10</v>
      </c>
      <c r="E257" s="103">
        <v>44.65</v>
      </c>
      <c r="F257" s="103">
        <v>180</v>
      </c>
      <c r="G257" s="103">
        <v>47</v>
      </c>
      <c r="H257" s="103">
        <v>10</v>
      </c>
      <c r="I257" s="103">
        <v>47.37</v>
      </c>
      <c r="J257" s="103">
        <v>185</v>
      </c>
      <c r="K257" s="103">
        <v>50</v>
      </c>
      <c r="L257" s="103">
        <v>8</v>
      </c>
      <c r="M257" s="103">
        <v>44.8</v>
      </c>
      <c r="N257" s="103">
        <f t="shared" si="4"/>
        <v>136.82</v>
      </c>
    </row>
    <row r="258" spans="1:14">
      <c r="A258" s="104" t="s">
        <v>774</v>
      </c>
      <c r="B258" s="103">
        <v>166</v>
      </c>
      <c r="C258" s="103">
        <v>53</v>
      </c>
      <c r="D258" s="103">
        <v>10</v>
      </c>
      <c r="E258" s="103">
        <v>44.65</v>
      </c>
      <c r="F258" s="103">
        <v>180</v>
      </c>
      <c r="G258" s="103">
        <v>48</v>
      </c>
      <c r="H258" s="103">
        <v>10</v>
      </c>
      <c r="I258" s="103">
        <v>44.3</v>
      </c>
      <c r="J258" s="103">
        <v>186</v>
      </c>
      <c r="K258" s="103">
        <v>50</v>
      </c>
      <c r="L258" s="103">
        <v>9</v>
      </c>
      <c r="M258" s="103">
        <v>42.9</v>
      </c>
      <c r="N258" s="103">
        <f t="shared" si="4"/>
        <v>131.85</v>
      </c>
    </row>
  </sheetData>
  <autoFilter ref="A2:O258" xr:uid="{00000000-0001-0000-0300-000000000000}"/>
  <mergeCells count="3">
    <mergeCell ref="F1:I1"/>
    <mergeCell ref="J1:M1"/>
    <mergeCell ref="B1:E1"/>
  </mergeCells>
  <conditionalFormatting sqref="A1:A1048576">
    <cfRule type="duplicateValues" dxfId="92" priority="4"/>
  </conditionalFormatting>
  <conditionalFormatting sqref="B1">
    <cfRule type="duplicateValues" dxfId="91" priority="1"/>
  </conditionalFormatting>
  <conditionalFormatting sqref="F1">
    <cfRule type="duplicateValues" dxfId="90" priority="3"/>
  </conditionalFormatting>
  <conditionalFormatting sqref="J1">
    <cfRule type="duplicateValues" dxfId="89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F5B7-5098-47C3-B679-32851BFE174B}">
  <dimension ref="A1:AF80"/>
  <sheetViews>
    <sheetView topLeftCell="A12" workbookViewId="0">
      <selection activeCell="A35" sqref="A35:XFD36"/>
    </sheetView>
  </sheetViews>
  <sheetFormatPr defaultRowHeight="15"/>
  <sheetData>
    <row r="1" spans="1:32">
      <c r="A1" s="124"/>
      <c r="B1" s="52"/>
      <c r="C1" s="345" t="s">
        <v>1</v>
      </c>
      <c r="D1" s="345"/>
      <c r="E1" s="345"/>
      <c r="F1" s="345"/>
      <c r="G1" s="345"/>
      <c r="H1" s="345"/>
      <c r="I1" s="346" t="s">
        <v>2</v>
      </c>
      <c r="J1" s="346"/>
      <c r="K1" s="346"/>
      <c r="L1" s="346"/>
      <c r="M1" s="119"/>
      <c r="N1" s="347" t="s">
        <v>3</v>
      </c>
      <c r="O1" s="347"/>
      <c r="P1" s="347"/>
      <c r="Q1" s="347"/>
      <c r="R1" s="121"/>
      <c r="S1" s="359" t="s">
        <v>5</v>
      </c>
      <c r="T1" s="360"/>
      <c r="U1" s="361" t="s">
        <v>7</v>
      </c>
      <c r="V1" s="349"/>
      <c r="W1" s="362"/>
      <c r="X1" s="63"/>
      <c r="Y1" s="64"/>
      <c r="Z1" s="358" t="s">
        <v>775</v>
      </c>
      <c r="AA1" s="358"/>
      <c r="AB1" s="358"/>
      <c r="AC1" s="358"/>
      <c r="AD1" s="53"/>
      <c r="AE1" s="53"/>
      <c r="AF1" s="53"/>
    </row>
    <row r="2" spans="1:32">
      <c r="A2" s="124"/>
      <c r="B2" s="52"/>
      <c r="C2" s="60" t="s">
        <v>8</v>
      </c>
      <c r="D2" s="60" t="s">
        <v>9</v>
      </c>
      <c r="E2" s="60" t="s">
        <v>10</v>
      </c>
      <c r="F2" s="54" t="s">
        <v>13</v>
      </c>
      <c r="G2" s="122" t="s">
        <v>350</v>
      </c>
      <c r="H2" s="122" t="s">
        <v>350</v>
      </c>
      <c r="I2" s="66" t="s">
        <v>8</v>
      </c>
      <c r="J2" s="66" t="s">
        <v>9</v>
      </c>
      <c r="K2" s="66" t="s">
        <v>10</v>
      </c>
      <c r="L2" s="67" t="s">
        <v>11</v>
      </c>
      <c r="M2" s="119" t="s">
        <v>350</v>
      </c>
      <c r="N2" s="68" t="s">
        <v>8</v>
      </c>
      <c r="O2" s="68" t="s">
        <v>9</v>
      </c>
      <c r="P2" s="68" t="s">
        <v>10</v>
      </c>
      <c r="Q2" s="68" t="s">
        <v>11</v>
      </c>
      <c r="R2" s="120" t="s">
        <v>350</v>
      </c>
      <c r="S2" s="123" t="s">
        <v>350</v>
      </c>
      <c r="T2" s="123" t="s">
        <v>350</v>
      </c>
      <c r="U2" s="62"/>
      <c r="V2" s="69" t="s">
        <v>15</v>
      </c>
      <c r="W2" s="69" t="s">
        <v>16</v>
      </c>
      <c r="X2" s="70" t="s">
        <v>12</v>
      </c>
      <c r="Y2" s="71" t="s">
        <v>17</v>
      </c>
      <c r="Z2" s="65" t="s">
        <v>776</v>
      </c>
      <c r="AA2" s="65" t="s">
        <v>777</v>
      </c>
      <c r="AB2" s="65" t="s">
        <v>778</v>
      </c>
      <c r="AC2" s="65" t="s">
        <v>779</v>
      </c>
      <c r="AD2" s="53"/>
      <c r="AE2" s="53"/>
      <c r="AF2" s="53"/>
    </row>
    <row r="3" spans="1:32">
      <c r="A3" s="124" t="s">
        <v>19</v>
      </c>
      <c r="B3" s="52" t="s">
        <v>409</v>
      </c>
      <c r="C3" s="60" t="s">
        <v>21</v>
      </c>
      <c r="D3" s="60" t="s">
        <v>22</v>
      </c>
      <c r="E3" s="60" t="s">
        <v>23</v>
      </c>
      <c r="F3" s="54" t="s">
        <v>24</v>
      </c>
      <c r="G3" s="122" t="s">
        <v>35</v>
      </c>
      <c r="H3" s="122" t="s">
        <v>34</v>
      </c>
      <c r="I3" s="72" t="s">
        <v>21</v>
      </c>
      <c r="J3" s="72" t="s">
        <v>22</v>
      </c>
      <c r="K3" s="72" t="s">
        <v>23</v>
      </c>
      <c r="L3" s="67" t="s">
        <v>24</v>
      </c>
      <c r="M3" s="119" t="s">
        <v>34</v>
      </c>
      <c r="N3" s="73" t="s">
        <v>21</v>
      </c>
      <c r="O3" s="73" t="s">
        <v>22</v>
      </c>
      <c r="P3" s="73" t="s">
        <v>23</v>
      </c>
      <c r="Q3" s="68" t="s">
        <v>24</v>
      </c>
      <c r="R3" s="120" t="s">
        <v>34</v>
      </c>
      <c r="S3" s="123" t="s">
        <v>35</v>
      </c>
      <c r="T3" s="123" t="s">
        <v>34</v>
      </c>
      <c r="U3" s="62"/>
      <c r="V3" s="69"/>
      <c r="W3" s="69"/>
      <c r="X3" s="70"/>
      <c r="Y3" s="71"/>
      <c r="Z3" s="65"/>
      <c r="AA3" s="65"/>
      <c r="AB3" s="65"/>
      <c r="AC3" s="65"/>
      <c r="AD3" s="53"/>
      <c r="AE3" s="53"/>
      <c r="AF3" s="53"/>
    </row>
    <row r="4" spans="1:32">
      <c r="A4" s="124" t="s">
        <v>419</v>
      </c>
      <c r="B4" s="52" t="e">
        <f>VLOOKUP(A4,[2]SKU.Mapping!$B:$C,2,)</f>
        <v>#N/A</v>
      </c>
      <c r="C4" s="60">
        <v>14</v>
      </c>
      <c r="D4" s="60">
        <v>14</v>
      </c>
      <c r="E4" s="60">
        <v>9</v>
      </c>
      <c r="F4" s="54">
        <v>270</v>
      </c>
      <c r="G4" s="54"/>
      <c r="H4" s="55">
        <f>F4/1000</f>
        <v>0.27</v>
      </c>
      <c r="I4" s="81"/>
      <c r="J4" s="81"/>
      <c r="K4" s="81"/>
      <c r="L4" s="82"/>
      <c r="M4" s="83"/>
      <c r="N4" s="84"/>
      <c r="O4" s="84"/>
      <c r="P4" s="84"/>
      <c r="Q4" s="84"/>
      <c r="R4" s="84"/>
      <c r="S4" s="75">
        <f>F4+L4+Q4</f>
        <v>270</v>
      </c>
      <c r="T4" s="76">
        <f>S4/1000</f>
        <v>0.27</v>
      </c>
      <c r="U4" s="62">
        <f>VLOOKUP(A4,[1]Index!$E:$M,7,)</f>
        <v>61.218384299999997</v>
      </c>
      <c r="V4" s="77">
        <f>U4-S4</f>
        <v>-208.7816157</v>
      </c>
      <c r="W4" s="78">
        <f>V4/U4</f>
        <v>-3.4104398227314863</v>
      </c>
      <c r="X4" s="79">
        <f>(((C4*D4*E4)+(I4*J4*K4)+(N4*O4*P4))/1000000)*35.32</f>
        <v>6.2304479999999995E-2</v>
      </c>
      <c r="Y4" s="80">
        <f>T4/X4</f>
        <v>4.333556752259228</v>
      </c>
      <c r="Z4" s="65"/>
      <c r="AA4" s="65"/>
      <c r="AB4" s="65"/>
      <c r="AC4" s="65"/>
    </row>
    <row r="5" spans="1:32">
      <c r="A5" s="124" t="s">
        <v>420</v>
      </c>
      <c r="B5" s="52" t="e">
        <f>VLOOKUP(A5,[2]SKU.Mapping!$B:$C,2,)</f>
        <v>#N/A</v>
      </c>
      <c r="C5" s="60">
        <v>14</v>
      </c>
      <c r="D5" s="60">
        <v>14</v>
      </c>
      <c r="E5" s="60">
        <v>8.9</v>
      </c>
      <c r="F5" s="54">
        <v>460</v>
      </c>
      <c r="G5" s="54"/>
      <c r="H5" s="55">
        <f>F5/1000</f>
        <v>0.46</v>
      </c>
      <c r="I5" s="81"/>
      <c r="J5" s="81"/>
      <c r="K5" s="81"/>
      <c r="L5" s="82"/>
      <c r="M5" s="83"/>
      <c r="N5" s="84"/>
      <c r="O5" s="84"/>
      <c r="P5" s="84"/>
      <c r="Q5" s="84"/>
      <c r="R5" s="84"/>
      <c r="S5" s="75">
        <f>F5+L5+Q5</f>
        <v>460</v>
      </c>
      <c r="T5" s="76">
        <f>S5/1000</f>
        <v>0.46</v>
      </c>
      <c r="U5" s="62">
        <f>VLOOKUP(A5,[1]Index!$E:$M,7,)</f>
        <v>122.43520316199999</v>
      </c>
      <c r="V5" s="77">
        <f>U5-S5</f>
        <v>-337.56479683800001</v>
      </c>
      <c r="W5" s="78">
        <f>V5/U5</f>
        <v>-2.757089367437497</v>
      </c>
      <c r="X5" s="79">
        <f>(((C5*D5*E5)+(I5*J5*K5)+(N5*O5*P5))/1000000)*35.32</f>
        <v>6.1612208000000002E-2</v>
      </c>
      <c r="Y5" s="80">
        <f>T5/X5</f>
        <v>7.4660528316076578</v>
      </c>
      <c r="Z5" s="65"/>
      <c r="AA5" s="65"/>
      <c r="AB5" s="65"/>
      <c r="AC5" s="65"/>
    </row>
    <row r="6" spans="1:32" s="53" customFormat="1" ht="12.95" customHeight="1">
      <c r="A6" s="124" t="s">
        <v>780</v>
      </c>
      <c r="B6" s="52" t="e">
        <f>VLOOKUP(A6,[2]SKU.Mapping!$B:$C,2,)</f>
        <v>#N/A</v>
      </c>
      <c r="C6" s="60">
        <v>163.19999999999999</v>
      </c>
      <c r="D6" s="60">
        <v>35.700000000000003</v>
      </c>
      <c r="E6" s="60">
        <v>6.5</v>
      </c>
      <c r="F6" s="54">
        <v>18400</v>
      </c>
      <c r="G6" s="54"/>
      <c r="H6" s="55">
        <f>G6/1000</f>
        <v>0</v>
      </c>
      <c r="I6" s="66"/>
      <c r="J6" s="66"/>
      <c r="K6" s="66"/>
      <c r="L6" s="67"/>
      <c r="M6" s="74"/>
      <c r="N6" s="68"/>
      <c r="O6" s="68"/>
      <c r="P6" s="68"/>
      <c r="Q6" s="68"/>
      <c r="R6" s="68"/>
      <c r="S6" s="75">
        <f>F6+L6+Q6</f>
        <v>18400</v>
      </c>
      <c r="T6" s="76">
        <f>S6/1000</f>
        <v>18.399999999999999</v>
      </c>
      <c r="U6" s="62" t="e">
        <f>VLOOKUP(A6,[1]Index!$E:$M,7,)</f>
        <v>#N/A</v>
      </c>
      <c r="V6" s="77" t="e">
        <f>U6-S6</f>
        <v>#N/A</v>
      </c>
      <c r="W6" s="78" t="e">
        <f>V6/U6</f>
        <v>#N/A</v>
      </c>
      <c r="X6" s="79">
        <f>(((C6*D6*E6)+(I6*J6*K6)+(N6*O6*P6))/1000000)*35.32</f>
        <v>1.3375881791999999</v>
      </c>
      <c r="Y6" s="80">
        <f>T6/X6</f>
        <v>13.75610242833103</v>
      </c>
      <c r="Z6" s="65"/>
      <c r="AA6" s="65"/>
      <c r="AB6" s="65"/>
      <c r="AC6" s="65"/>
    </row>
    <row r="7" spans="1:32" s="53" customFormat="1" ht="12.95" customHeight="1">
      <c r="A7" s="124" t="s">
        <v>780</v>
      </c>
      <c r="B7" s="52" t="e">
        <f>VLOOKUP(A7,[2]SKU.Mapping!$B:$C,2,)</f>
        <v>#N/A</v>
      </c>
      <c r="C7" s="60">
        <v>163</v>
      </c>
      <c r="D7" s="60">
        <v>35</v>
      </c>
      <c r="E7" s="60">
        <v>7.5</v>
      </c>
      <c r="F7" s="54">
        <v>18315</v>
      </c>
      <c r="G7" s="54"/>
      <c r="H7" s="55">
        <f>G7/1000</f>
        <v>0</v>
      </c>
      <c r="I7" s="66"/>
      <c r="J7" s="66"/>
      <c r="K7" s="66"/>
      <c r="L7" s="67"/>
      <c r="M7" s="74"/>
      <c r="N7" s="68"/>
      <c r="O7" s="68"/>
      <c r="P7" s="68"/>
      <c r="Q7" s="68"/>
      <c r="R7" s="68"/>
      <c r="S7" s="75">
        <f>F7+L7+Q7</f>
        <v>18315</v>
      </c>
      <c r="T7" s="76">
        <f>S7/1000</f>
        <v>18.315000000000001</v>
      </c>
      <c r="U7" s="62" t="e">
        <f>VLOOKUP(A7,[1]Index!$E:$M,7,)</f>
        <v>#N/A</v>
      </c>
      <c r="V7" s="77" t="e">
        <f>U7-S7</f>
        <v>#N/A</v>
      </c>
      <c r="W7" s="78" t="e">
        <f>V7/U7</f>
        <v>#N/A</v>
      </c>
      <c r="X7" s="79">
        <f>(((C7*D7*E7)+(I7*J7*K7)+(N7*O7*P7))/1000000)*35.32</f>
        <v>1.5112544999999999</v>
      </c>
      <c r="Y7" s="80">
        <f>T7/X7</f>
        <v>12.119070613189242</v>
      </c>
      <c r="Z7" s="65"/>
      <c r="AA7" s="65"/>
      <c r="AB7" s="65"/>
      <c r="AC7" s="65"/>
    </row>
    <row r="8" spans="1:32">
      <c r="A8" s="132" t="s">
        <v>434</v>
      </c>
      <c r="B8" s="133"/>
      <c r="C8" s="136">
        <v>20</v>
      </c>
      <c r="D8" s="136">
        <v>13</v>
      </c>
      <c r="E8" s="136">
        <v>9</v>
      </c>
      <c r="F8" s="137">
        <v>400</v>
      </c>
      <c r="G8" s="152">
        <f t="shared" ref="G8:G16" si="0">F8/1000</f>
        <v>0.4</v>
      </c>
      <c r="H8" s="153"/>
      <c r="I8" s="153"/>
      <c r="J8" s="153"/>
      <c r="K8" s="154"/>
      <c r="L8" s="155"/>
      <c r="M8" s="156"/>
      <c r="N8" s="156"/>
      <c r="O8" s="156"/>
      <c r="P8" s="156"/>
      <c r="Q8" s="156"/>
      <c r="R8" s="147">
        <f t="shared" ref="R8:R34" si="1">F8+K8+P8</f>
        <v>400</v>
      </c>
      <c r="S8" s="148">
        <f t="shared" ref="S8:S34" si="2">R8/1000</f>
        <v>0.4</v>
      </c>
      <c r="T8" s="135" t="e">
        <f>VLOOKUP(A8,[1]Index!$E:$M,7,)</f>
        <v>#N/A</v>
      </c>
      <c r="U8" s="149" t="e">
        <f t="shared" ref="U8:U34" si="3">T8-R8</f>
        <v>#N/A</v>
      </c>
      <c r="V8" s="150" t="e">
        <f t="shared" ref="V8:V34" si="4">U8/T8</f>
        <v>#N/A</v>
      </c>
      <c r="W8" s="151">
        <f t="shared" ref="W8:W34" si="5">(((C8*D8*E8)+(H8*I8*J8)+(M8*N8*O8))/1000000)*35.32</f>
        <v>8.2648800000000008E-2</v>
      </c>
      <c r="X8" s="80">
        <f t="shared" ref="X8:X34" si="6">S8/W8</f>
        <v>4.8397556891328124</v>
      </c>
    </row>
    <row r="9" spans="1:32">
      <c r="A9" s="132" t="s">
        <v>436</v>
      </c>
      <c r="B9" s="133"/>
      <c r="C9" s="136">
        <v>23</v>
      </c>
      <c r="D9" s="136">
        <v>12</v>
      </c>
      <c r="E9" s="136">
        <v>9</v>
      </c>
      <c r="F9" s="137">
        <v>295</v>
      </c>
      <c r="G9" s="152">
        <f t="shared" si="0"/>
        <v>0.29499999999999998</v>
      </c>
      <c r="H9" s="153"/>
      <c r="I9" s="153"/>
      <c r="J9" s="153"/>
      <c r="K9" s="154"/>
      <c r="L9" s="155"/>
      <c r="M9" s="156"/>
      <c r="N9" s="156"/>
      <c r="O9" s="156"/>
      <c r="P9" s="156"/>
      <c r="Q9" s="156"/>
      <c r="R9" s="147">
        <f t="shared" si="1"/>
        <v>295</v>
      </c>
      <c r="S9" s="148">
        <f t="shared" si="2"/>
        <v>0.29499999999999998</v>
      </c>
      <c r="T9" s="135" t="e">
        <f>VLOOKUP(A9,[1]Index!$E:$M,7,)</f>
        <v>#N/A</v>
      </c>
      <c r="U9" s="149" t="e">
        <f t="shared" si="3"/>
        <v>#N/A</v>
      </c>
      <c r="V9" s="150" t="e">
        <f t="shared" si="4"/>
        <v>#N/A</v>
      </c>
      <c r="W9" s="151">
        <f t="shared" si="5"/>
        <v>8.7734880000000001E-2</v>
      </c>
      <c r="X9" s="80">
        <f t="shared" si="6"/>
        <v>3.3624027296783217</v>
      </c>
    </row>
    <row r="10" spans="1:32">
      <c r="A10" s="132" t="s">
        <v>432</v>
      </c>
      <c r="B10" s="133"/>
      <c r="C10" s="168">
        <v>13</v>
      </c>
      <c r="D10" s="168">
        <v>13</v>
      </c>
      <c r="E10" s="168">
        <v>7</v>
      </c>
      <c r="F10" s="169">
        <v>290</v>
      </c>
      <c r="G10" s="152">
        <f t="shared" si="0"/>
        <v>0.28999999999999998</v>
      </c>
      <c r="H10" s="153"/>
      <c r="I10" s="153"/>
      <c r="J10" s="153"/>
      <c r="K10" s="154"/>
      <c r="L10" s="155"/>
      <c r="M10" s="156"/>
      <c r="N10" s="156"/>
      <c r="O10" s="156"/>
      <c r="P10" s="156"/>
      <c r="Q10" s="156"/>
      <c r="R10" s="147">
        <f t="shared" si="1"/>
        <v>290</v>
      </c>
      <c r="S10" s="148">
        <f t="shared" si="2"/>
        <v>0.28999999999999998</v>
      </c>
      <c r="T10" s="135" t="e">
        <f>VLOOKUP(A10,[1]Index!$E:$M,7,)</f>
        <v>#N/A</v>
      </c>
      <c r="U10" s="149" t="e">
        <f t="shared" si="3"/>
        <v>#N/A</v>
      </c>
      <c r="V10" s="150" t="e">
        <f t="shared" si="4"/>
        <v>#N/A</v>
      </c>
      <c r="W10" s="151">
        <f t="shared" si="5"/>
        <v>4.1783560000000004E-2</v>
      </c>
      <c r="X10" s="80">
        <f t="shared" si="6"/>
        <v>6.9405287629871637</v>
      </c>
    </row>
    <row r="11" spans="1:32">
      <c r="A11" s="132" t="s">
        <v>426</v>
      </c>
      <c r="B11" s="133"/>
      <c r="C11" s="136">
        <v>67</v>
      </c>
      <c r="D11" s="136">
        <v>42</v>
      </c>
      <c r="E11" s="136">
        <v>7</v>
      </c>
      <c r="F11" s="137">
        <v>2765</v>
      </c>
      <c r="G11" s="152">
        <f t="shared" si="0"/>
        <v>2.7650000000000001</v>
      </c>
      <c r="H11" s="153"/>
      <c r="I11" s="153"/>
      <c r="J11" s="153"/>
      <c r="K11" s="154"/>
      <c r="L11" s="155"/>
      <c r="M11" s="156"/>
      <c r="N11" s="156"/>
      <c r="O11" s="156"/>
      <c r="P11" s="156"/>
      <c r="Q11" s="156"/>
      <c r="R11" s="147">
        <f t="shared" si="1"/>
        <v>2765</v>
      </c>
      <c r="S11" s="148">
        <f t="shared" si="2"/>
        <v>2.7650000000000001</v>
      </c>
      <c r="T11" s="135">
        <f>VLOOKUP(A11,[1]Index!$E:$M,7,)</f>
        <v>438.57068889999999</v>
      </c>
      <c r="U11" s="149">
        <f t="shared" si="3"/>
        <v>-2326.4293111000002</v>
      </c>
      <c r="V11" s="150">
        <f t="shared" si="4"/>
        <v>-5.3045708935429046</v>
      </c>
      <c r="W11" s="151">
        <f t="shared" si="5"/>
        <v>0.69573335999999997</v>
      </c>
      <c r="X11" s="80">
        <f t="shared" si="6"/>
        <v>3.9742236882244661</v>
      </c>
    </row>
    <row r="12" spans="1:32">
      <c r="A12" s="132" t="s">
        <v>427</v>
      </c>
      <c r="B12" s="133"/>
      <c r="C12" s="136">
        <v>66</v>
      </c>
      <c r="D12" s="136">
        <v>34</v>
      </c>
      <c r="E12" s="136">
        <v>6</v>
      </c>
      <c r="F12" s="137">
        <v>2870</v>
      </c>
      <c r="G12" s="152">
        <f t="shared" si="0"/>
        <v>2.87</v>
      </c>
      <c r="H12" s="153"/>
      <c r="I12" s="153"/>
      <c r="J12" s="153"/>
      <c r="K12" s="154"/>
      <c r="L12" s="155"/>
      <c r="M12" s="156"/>
      <c r="N12" s="156"/>
      <c r="O12" s="156"/>
      <c r="P12" s="156"/>
      <c r="Q12" s="156"/>
      <c r="R12" s="147">
        <f t="shared" si="1"/>
        <v>2870</v>
      </c>
      <c r="S12" s="148">
        <f t="shared" si="2"/>
        <v>2.87</v>
      </c>
      <c r="T12" s="135">
        <f>VLOOKUP(A12,[1]Index!$E:$M,7,)</f>
        <v>458.09590217536049</v>
      </c>
      <c r="U12" s="149">
        <f t="shared" si="3"/>
        <v>-2411.9040978246394</v>
      </c>
      <c r="V12" s="150">
        <f t="shared" si="4"/>
        <v>-5.2650636828909141</v>
      </c>
      <c r="W12" s="151">
        <f t="shared" si="5"/>
        <v>0.47554848</v>
      </c>
      <c r="X12" s="80">
        <f t="shared" si="6"/>
        <v>6.0351365227789184</v>
      </c>
    </row>
    <row r="13" spans="1:32">
      <c r="A13" s="132" t="s">
        <v>422</v>
      </c>
      <c r="B13" s="133"/>
      <c r="C13" s="168">
        <v>37</v>
      </c>
      <c r="D13" s="168">
        <v>10</v>
      </c>
      <c r="E13" s="168">
        <v>6</v>
      </c>
      <c r="F13" s="169">
        <v>320</v>
      </c>
      <c r="G13" s="152">
        <f t="shared" si="0"/>
        <v>0.32</v>
      </c>
      <c r="H13" s="153"/>
      <c r="I13" s="153"/>
      <c r="J13" s="153"/>
      <c r="K13" s="154"/>
      <c r="L13" s="155"/>
      <c r="M13" s="156"/>
      <c r="N13" s="156"/>
      <c r="O13" s="156"/>
      <c r="P13" s="156"/>
      <c r="Q13" s="156"/>
      <c r="R13" s="147">
        <f t="shared" si="1"/>
        <v>320</v>
      </c>
      <c r="S13" s="148">
        <f t="shared" si="2"/>
        <v>0.32</v>
      </c>
      <c r="T13" s="135" t="e">
        <f>VLOOKUP(A13,[1]Index!$E:$M,7,)</f>
        <v>#N/A</v>
      </c>
      <c r="U13" s="149" t="e">
        <f t="shared" si="3"/>
        <v>#N/A</v>
      </c>
      <c r="V13" s="150" t="e">
        <f t="shared" si="4"/>
        <v>#N/A</v>
      </c>
      <c r="W13" s="151">
        <f t="shared" si="5"/>
        <v>7.8410400000000005E-2</v>
      </c>
      <c r="X13" s="80">
        <f t="shared" si="6"/>
        <v>4.0810912838092905</v>
      </c>
    </row>
    <row r="14" spans="1:32">
      <c r="A14" s="132" t="s">
        <v>423</v>
      </c>
      <c r="B14" s="133"/>
      <c r="C14" s="136">
        <v>28</v>
      </c>
      <c r="D14" s="136">
        <v>19</v>
      </c>
      <c r="E14" s="136">
        <v>6</v>
      </c>
      <c r="F14" s="137">
        <v>755</v>
      </c>
      <c r="G14" s="152">
        <f t="shared" si="0"/>
        <v>0.755</v>
      </c>
      <c r="H14" s="153"/>
      <c r="I14" s="153"/>
      <c r="J14" s="153"/>
      <c r="K14" s="154"/>
      <c r="L14" s="155"/>
      <c r="M14" s="156"/>
      <c r="N14" s="156"/>
      <c r="O14" s="156"/>
      <c r="P14" s="156"/>
      <c r="Q14" s="156"/>
      <c r="R14" s="147">
        <f t="shared" si="1"/>
        <v>755</v>
      </c>
      <c r="S14" s="148">
        <f t="shared" si="2"/>
        <v>0.755</v>
      </c>
      <c r="T14" s="135" t="e">
        <f>VLOOKUP(A14,[1]Index!$E:$M,7,)</f>
        <v>#N/A</v>
      </c>
      <c r="U14" s="149" t="e">
        <f t="shared" si="3"/>
        <v>#N/A</v>
      </c>
      <c r="V14" s="150" t="e">
        <f t="shared" si="4"/>
        <v>#N/A</v>
      </c>
      <c r="W14" s="151">
        <f t="shared" si="5"/>
        <v>0.11274144</v>
      </c>
      <c r="X14" s="80">
        <f t="shared" si="6"/>
        <v>6.6967390162836313</v>
      </c>
    </row>
    <row r="15" spans="1:32">
      <c r="A15" s="132" t="s">
        <v>424</v>
      </c>
      <c r="B15" s="133"/>
      <c r="C15" s="136">
        <v>33.5</v>
      </c>
      <c r="D15" s="136">
        <v>32.5</v>
      </c>
      <c r="E15" s="136">
        <v>6</v>
      </c>
      <c r="F15" s="137">
        <v>1725</v>
      </c>
      <c r="G15" s="152">
        <f t="shared" si="0"/>
        <v>1.7250000000000001</v>
      </c>
      <c r="H15" s="153"/>
      <c r="I15" s="153"/>
      <c r="J15" s="153"/>
      <c r="K15" s="154"/>
      <c r="L15" s="155"/>
      <c r="M15" s="156"/>
      <c r="N15" s="156"/>
      <c r="O15" s="156"/>
      <c r="P15" s="156"/>
      <c r="Q15" s="156"/>
      <c r="R15" s="147">
        <f t="shared" si="1"/>
        <v>1725</v>
      </c>
      <c r="S15" s="148">
        <f t="shared" si="2"/>
        <v>1.7250000000000001</v>
      </c>
      <c r="T15" s="135" t="e">
        <f>VLOOKUP(A15,[1]Index!$E:$M,7,)</f>
        <v>#N/A</v>
      </c>
      <c r="U15" s="149" t="e">
        <f t="shared" si="3"/>
        <v>#N/A</v>
      </c>
      <c r="V15" s="150" t="e">
        <f t="shared" si="4"/>
        <v>#N/A</v>
      </c>
      <c r="W15" s="151">
        <f t="shared" si="5"/>
        <v>0.23072790000000001</v>
      </c>
      <c r="X15" s="80">
        <f t="shared" si="6"/>
        <v>7.4763390123171058</v>
      </c>
    </row>
    <row r="16" spans="1:32">
      <c r="A16" s="132" t="s">
        <v>781</v>
      </c>
      <c r="B16" s="133"/>
      <c r="C16" s="136">
        <v>115</v>
      </c>
      <c r="D16" s="136">
        <v>39</v>
      </c>
      <c r="E16" s="136">
        <v>7</v>
      </c>
      <c r="F16" s="137">
        <v>11810</v>
      </c>
      <c r="G16" s="152">
        <f t="shared" si="0"/>
        <v>11.81</v>
      </c>
      <c r="H16" s="138"/>
      <c r="I16" s="138"/>
      <c r="J16" s="138"/>
      <c r="K16" s="139"/>
      <c r="L16" s="146"/>
      <c r="M16" s="140"/>
      <c r="N16" s="140"/>
      <c r="O16" s="140"/>
      <c r="P16" s="140"/>
      <c r="Q16" s="140"/>
      <c r="R16" s="147">
        <f t="shared" si="1"/>
        <v>11810</v>
      </c>
      <c r="S16" s="148">
        <f t="shared" si="2"/>
        <v>11.81</v>
      </c>
      <c r="T16" s="135" t="e">
        <f>VLOOKUP(A16,[1]Index!$E:$M,7,)</f>
        <v>#N/A</v>
      </c>
      <c r="U16" s="149" t="e">
        <f t="shared" si="3"/>
        <v>#N/A</v>
      </c>
      <c r="V16" s="150" t="e">
        <f t="shared" si="4"/>
        <v>#N/A</v>
      </c>
      <c r="W16" s="151">
        <f t="shared" si="5"/>
        <v>1.1088714</v>
      </c>
      <c r="X16" s="80">
        <f t="shared" si="6"/>
        <v>10.650468575526432</v>
      </c>
    </row>
    <row r="17" spans="1:24">
      <c r="A17" s="180" t="s">
        <v>372</v>
      </c>
      <c r="B17" s="133"/>
      <c r="C17" s="136"/>
      <c r="D17" s="136"/>
      <c r="E17" s="136"/>
      <c r="F17" s="137">
        <v>28000</v>
      </c>
      <c r="G17" s="145"/>
      <c r="H17" s="138"/>
      <c r="I17" s="138"/>
      <c r="J17" s="138"/>
      <c r="K17" s="139"/>
      <c r="L17" s="146"/>
      <c r="M17" s="140"/>
      <c r="N17" s="140"/>
      <c r="O17" s="140"/>
      <c r="P17" s="140"/>
      <c r="Q17" s="140"/>
      <c r="R17" s="158">
        <f t="shared" si="1"/>
        <v>28000</v>
      </c>
      <c r="S17" s="148">
        <f t="shared" si="2"/>
        <v>28</v>
      </c>
      <c r="T17" s="135" t="e">
        <f>VLOOKUP(A17,[1]Index!$E:$M,7,)</f>
        <v>#N/A</v>
      </c>
      <c r="U17" s="149" t="e">
        <f t="shared" si="3"/>
        <v>#N/A</v>
      </c>
      <c r="V17" s="150" t="e">
        <f t="shared" si="4"/>
        <v>#N/A</v>
      </c>
      <c r="W17" s="151">
        <f t="shared" si="5"/>
        <v>0</v>
      </c>
      <c r="X17" s="80" t="e">
        <f t="shared" si="6"/>
        <v>#DIV/0!</v>
      </c>
    </row>
    <row r="18" spans="1:24">
      <c r="A18" s="180" t="s">
        <v>782</v>
      </c>
      <c r="B18" s="133"/>
      <c r="C18" s="136"/>
      <c r="D18" s="136"/>
      <c r="E18" s="136"/>
      <c r="F18" s="137">
        <v>29000</v>
      </c>
      <c r="G18" s="145"/>
      <c r="H18" s="138"/>
      <c r="I18" s="138"/>
      <c r="J18" s="138"/>
      <c r="K18" s="139"/>
      <c r="L18" s="146"/>
      <c r="M18" s="140"/>
      <c r="N18" s="140"/>
      <c r="O18" s="140"/>
      <c r="P18" s="140"/>
      <c r="Q18" s="140"/>
      <c r="R18" s="158">
        <f t="shared" si="1"/>
        <v>29000</v>
      </c>
      <c r="S18" s="148">
        <f t="shared" si="2"/>
        <v>29</v>
      </c>
      <c r="T18" s="135" t="e">
        <f>VLOOKUP(A18,[1]Index!$E:$M,7,)</f>
        <v>#N/A</v>
      </c>
      <c r="U18" s="149" t="e">
        <f t="shared" si="3"/>
        <v>#N/A</v>
      </c>
      <c r="V18" s="150" t="e">
        <f t="shared" si="4"/>
        <v>#N/A</v>
      </c>
      <c r="W18" s="151">
        <f t="shared" si="5"/>
        <v>0</v>
      </c>
      <c r="X18" s="80" t="e">
        <f t="shared" si="6"/>
        <v>#DIV/0!</v>
      </c>
    </row>
    <row r="19" spans="1:24">
      <c r="A19" s="180" t="s">
        <v>783</v>
      </c>
      <c r="B19" s="133"/>
      <c r="C19" s="136"/>
      <c r="D19" s="136"/>
      <c r="E19" s="136"/>
      <c r="F19" s="137">
        <v>26000</v>
      </c>
      <c r="G19" s="145"/>
      <c r="H19" s="138"/>
      <c r="I19" s="138"/>
      <c r="J19" s="138"/>
      <c r="K19" s="139"/>
      <c r="L19" s="146"/>
      <c r="M19" s="140"/>
      <c r="N19" s="140"/>
      <c r="O19" s="140"/>
      <c r="P19" s="140"/>
      <c r="Q19" s="140"/>
      <c r="R19" s="158">
        <f t="shared" si="1"/>
        <v>26000</v>
      </c>
      <c r="S19" s="148">
        <f t="shared" si="2"/>
        <v>26</v>
      </c>
      <c r="T19" s="135" t="e">
        <f>VLOOKUP(A19,[1]Index!$E:$M,7,)</f>
        <v>#N/A</v>
      </c>
      <c r="U19" s="149" t="e">
        <f t="shared" si="3"/>
        <v>#N/A</v>
      </c>
      <c r="V19" s="150" t="e">
        <f t="shared" si="4"/>
        <v>#N/A</v>
      </c>
      <c r="W19" s="151">
        <f t="shared" si="5"/>
        <v>0</v>
      </c>
      <c r="X19" s="80" t="e">
        <f t="shared" si="6"/>
        <v>#DIV/0!</v>
      </c>
    </row>
    <row r="20" spans="1:24">
      <c r="A20" s="170" t="s">
        <v>784</v>
      </c>
      <c r="B20" s="133"/>
      <c r="C20" s="136"/>
      <c r="D20" s="136"/>
      <c r="E20" s="136"/>
      <c r="F20" s="137">
        <v>75000</v>
      </c>
      <c r="G20" s="145"/>
      <c r="H20" s="138"/>
      <c r="I20" s="138"/>
      <c r="J20" s="138"/>
      <c r="K20" s="139"/>
      <c r="L20" s="146"/>
      <c r="M20" s="140"/>
      <c r="N20" s="140"/>
      <c r="O20" s="140"/>
      <c r="P20" s="140"/>
      <c r="Q20" s="140"/>
      <c r="R20" s="158">
        <f t="shared" si="1"/>
        <v>75000</v>
      </c>
      <c r="S20" s="148">
        <f t="shared" si="2"/>
        <v>75</v>
      </c>
      <c r="T20" s="135" t="e">
        <f>VLOOKUP(A20,[1]Index!$E:$M,7,)</f>
        <v>#N/A</v>
      </c>
      <c r="U20" s="149" t="e">
        <f t="shared" si="3"/>
        <v>#N/A</v>
      </c>
      <c r="V20" s="150" t="e">
        <f t="shared" si="4"/>
        <v>#N/A</v>
      </c>
      <c r="W20" s="151">
        <f t="shared" si="5"/>
        <v>0</v>
      </c>
      <c r="X20" s="80" t="e">
        <f t="shared" si="6"/>
        <v>#DIV/0!</v>
      </c>
    </row>
    <row r="21" spans="1:24">
      <c r="A21" s="170" t="s">
        <v>785</v>
      </c>
      <c r="B21" s="133"/>
      <c r="C21" s="136"/>
      <c r="D21" s="136"/>
      <c r="E21" s="136"/>
      <c r="F21" s="137">
        <v>72000</v>
      </c>
      <c r="G21" s="145"/>
      <c r="H21" s="138"/>
      <c r="I21" s="138"/>
      <c r="J21" s="138"/>
      <c r="K21" s="139"/>
      <c r="L21" s="146"/>
      <c r="M21" s="140"/>
      <c r="N21" s="140"/>
      <c r="O21" s="140"/>
      <c r="P21" s="140"/>
      <c r="Q21" s="140"/>
      <c r="R21" s="158">
        <f t="shared" si="1"/>
        <v>72000</v>
      </c>
      <c r="S21" s="148">
        <f t="shared" si="2"/>
        <v>72</v>
      </c>
      <c r="T21" s="135" t="e">
        <f>VLOOKUP(A21,[1]Index!$E:$M,7,)</f>
        <v>#N/A</v>
      </c>
      <c r="U21" s="149" t="e">
        <f t="shared" si="3"/>
        <v>#N/A</v>
      </c>
      <c r="V21" s="150" t="e">
        <f t="shared" si="4"/>
        <v>#N/A</v>
      </c>
      <c r="W21" s="151">
        <f t="shared" si="5"/>
        <v>0</v>
      </c>
      <c r="X21" s="80" t="e">
        <f t="shared" si="6"/>
        <v>#DIV/0!</v>
      </c>
    </row>
    <row r="22" spans="1:24">
      <c r="A22" s="170" t="s">
        <v>786</v>
      </c>
      <c r="B22" s="133"/>
      <c r="C22" s="136"/>
      <c r="D22" s="136"/>
      <c r="E22" s="136"/>
      <c r="F22" s="137">
        <v>97000</v>
      </c>
      <c r="G22" s="145"/>
      <c r="H22" s="138"/>
      <c r="I22" s="138"/>
      <c r="J22" s="138"/>
      <c r="K22" s="139"/>
      <c r="L22" s="146"/>
      <c r="M22" s="140"/>
      <c r="N22" s="140"/>
      <c r="O22" s="140"/>
      <c r="P22" s="140"/>
      <c r="Q22" s="140"/>
      <c r="R22" s="158">
        <f t="shared" si="1"/>
        <v>97000</v>
      </c>
      <c r="S22" s="148">
        <f t="shared" si="2"/>
        <v>97</v>
      </c>
      <c r="T22" s="135" t="e">
        <f>VLOOKUP(A22,[1]Index!$E:$M,7,)</f>
        <v>#N/A</v>
      </c>
      <c r="U22" s="149" t="e">
        <f t="shared" si="3"/>
        <v>#N/A</v>
      </c>
      <c r="V22" s="150" t="e">
        <f t="shared" si="4"/>
        <v>#N/A</v>
      </c>
      <c r="W22" s="151">
        <f t="shared" si="5"/>
        <v>0</v>
      </c>
      <c r="X22" s="80" t="e">
        <f t="shared" si="6"/>
        <v>#DIV/0!</v>
      </c>
    </row>
    <row r="23" spans="1:24">
      <c r="A23" s="170" t="s">
        <v>787</v>
      </c>
      <c r="B23" s="133"/>
      <c r="C23" s="136"/>
      <c r="D23" s="136"/>
      <c r="E23" s="136"/>
      <c r="F23" s="137">
        <v>95000</v>
      </c>
      <c r="G23" s="145"/>
      <c r="H23" s="138"/>
      <c r="I23" s="138"/>
      <c r="J23" s="138"/>
      <c r="K23" s="139"/>
      <c r="L23" s="146"/>
      <c r="M23" s="140"/>
      <c r="N23" s="140"/>
      <c r="O23" s="140"/>
      <c r="P23" s="140"/>
      <c r="Q23" s="140"/>
      <c r="R23" s="158">
        <f t="shared" si="1"/>
        <v>95000</v>
      </c>
      <c r="S23" s="148">
        <f t="shared" si="2"/>
        <v>95</v>
      </c>
      <c r="T23" s="135" t="e">
        <f>VLOOKUP(A23,[1]Index!$E:$M,7,)</f>
        <v>#N/A</v>
      </c>
      <c r="U23" s="149" t="e">
        <f t="shared" si="3"/>
        <v>#N/A</v>
      </c>
      <c r="V23" s="150" t="e">
        <f t="shared" si="4"/>
        <v>#N/A</v>
      </c>
      <c r="W23" s="151">
        <f t="shared" si="5"/>
        <v>0</v>
      </c>
      <c r="X23" s="80" t="e">
        <f t="shared" si="6"/>
        <v>#DIV/0!</v>
      </c>
    </row>
    <row r="24" spans="1:24">
      <c r="A24" s="170" t="s">
        <v>788</v>
      </c>
      <c r="B24" s="133"/>
      <c r="C24" s="136"/>
      <c r="D24" s="136"/>
      <c r="E24" s="136"/>
      <c r="F24" s="137">
        <v>132000</v>
      </c>
      <c r="G24" s="145"/>
      <c r="H24" s="138"/>
      <c r="I24" s="138"/>
      <c r="J24" s="138"/>
      <c r="K24" s="139"/>
      <c r="L24" s="146"/>
      <c r="M24" s="140"/>
      <c r="N24" s="140"/>
      <c r="O24" s="140"/>
      <c r="P24" s="140"/>
      <c r="Q24" s="140"/>
      <c r="R24" s="158">
        <f t="shared" si="1"/>
        <v>132000</v>
      </c>
      <c r="S24" s="148">
        <f t="shared" si="2"/>
        <v>132</v>
      </c>
      <c r="T24" s="135" t="e">
        <f>VLOOKUP(A24,[1]Index!$E:$M,7,)</f>
        <v>#N/A</v>
      </c>
      <c r="U24" s="149" t="e">
        <f t="shared" si="3"/>
        <v>#N/A</v>
      </c>
      <c r="V24" s="150" t="e">
        <f t="shared" si="4"/>
        <v>#N/A</v>
      </c>
      <c r="W24" s="151">
        <f t="shared" si="5"/>
        <v>0</v>
      </c>
      <c r="X24" s="80" t="e">
        <f t="shared" si="6"/>
        <v>#DIV/0!</v>
      </c>
    </row>
    <row r="25" spans="1:24">
      <c r="A25" s="170" t="s">
        <v>789</v>
      </c>
      <c r="B25" s="133"/>
      <c r="C25" s="136"/>
      <c r="D25" s="136"/>
      <c r="E25" s="136"/>
      <c r="F25" s="137">
        <v>128000</v>
      </c>
      <c r="G25" s="145"/>
      <c r="H25" s="138"/>
      <c r="I25" s="138"/>
      <c r="J25" s="138"/>
      <c r="K25" s="139"/>
      <c r="L25" s="146"/>
      <c r="M25" s="140"/>
      <c r="N25" s="140"/>
      <c r="O25" s="140"/>
      <c r="P25" s="140"/>
      <c r="Q25" s="140"/>
      <c r="R25" s="158">
        <f t="shared" si="1"/>
        <v>128000</v>
      </c>
      <c r="S25" s="148">
        <f t="shared" si="2"/>
        <v>128</v>
      </c>
      <c r="T25" s="135" t="e">
        <f>VLOOKUP(A25,[1]Index!$E:$M,7,)</f>
        <v>#N/A</v>
      </c>
      <c r="U25" s="149" t="e">
        <f t="shared" si="3"/>
        <v>#N/A</v>
      </c>
      <c r="V25" s="150" t="e">
        <f t="shared" si="4"/>
        <v>#N/A</v>
      </c>
      <c r="W25" s="151">
        <f t="shared" si="5"/>
        <v>0</v>
      </c>
      <c r="X25" s="80" t="e">
        <f t="shared" si="6"/>
        <v>#DIV/0!</v>
      </c>
    </row>
    <row r="26" spans="1:24">
      <c r="A26" s="181" t="s">
        <v>378</v>
      </c>
      <c r="B26" s="133"/>
      <c r="C26" s="136"/>
      <c r="D26" s="136"/>
      <c r="E26" s="136"/>
      <c r="F26" s="137"/>
      <c r="G26" s="145"/>
      <c r="H26" s="138"/>
      <c r="I26" s="138"/>
      <c r="J26" s="138"/>
      <c r="K26" s="139"/>
      <c r="L26" s="146"/>
      <c r="M26" s="140"/>
      <c r="N26" s="140"/>
      <c r="O26" s="140"/>
      <c r="P26" s="140"/>
      <c r="Q26" s="140"/>
      <c r="R26" s="158">
        <f t="shared" si="1"/>
        <v>0</v>
      </c>
      <c r="S26" s="148">
        <f t="shared" si="2"/>
        <v>0</v>
      </c>
      <c r="T26" s="135" t="e">
        <f>VLOOKUP(A26,[1]Index!$E:$M,7,)</f>
        <v>#N/A</v>
      </c>
      <c r="U26" s="149" t="e">
        <f t="shared" si="3"/>
        <v>#N/A</v>
      </c>
      <c r="V26" s="150" t="e">
        <f t="shared" si="4"/>
        <v>#N/A</v>
      </c>
      <c r="W26" s="151">
        <f t="shared" si="5"/>
        <v>0</v>
      </c>
      <c r="X26" s="80" t="e">
        <f t="shared" si="6"/>
        <v>#DIV/0!</v>
      </c>
    </row>
    <row r="27" spans="1:24">
      <c r="A27" s="181" t="s">
        <v>379</v>
      </c>
      <c r="B27" s="133"/>
      <c r="C27" s="136"/>
      <c r="D27" s="136"/>
      <c r="E27" s="136"/>
      <c r="F27" s="137"/>
      <c r="G27" s="145"/>
      <c r="H27" s="138"/>
      <c r="I27" s="138"/>
      <c r="J27" s="138"/>
      <c r="K27" s="139"/>
      <c r="L27" s="146"/>
      <c r="M27" s="140"/>
      <c r="N27" s="140"/>
      <c r="O27" s="140"/>
      <c r="P27" s="140"/>
      <c r="Q27" s="140"/>
      <c r="R27" s="158">
        <f t="shared" si="1"/>
        <v>0</v>
      </c>
      <c r="S27" s="148">
        <f t="shared" si="2"/>
        <v>0</v>
      </c>
      <c r="T27" s="135" t="e">
        <f>VLOOKUP(A27,[1]Index!$E:$M,7,)</f>
        <v>#N/A</v>
      </c>
      <c r="U27" s="149" t="e">
        <f t="shared" si="3"/>
        <v>#N/A</v>
      </c>
      <c r="V27" s="150" t="e">
        <f t="shared" si="4"/>
        <v>#N/A</v>
      </c>
      <c r="W27" s="151">
        <f t="shared" si="5"/>
        <v>0</v>
      </c>
      <c r="X27" s="80" t="e">
        <f t="shared" si="6"/>
        <v>#DIV/0!</v>
      </c>
    </row>
    <row r="28" spans="1:24">
      <c r="A28" s="128" t="s">
        <v>429</v>
      </c>
      <c r="B28" s="133"/>
      <c r="C28" s="136"/>
      <c r="D28" s="136"/>
      <c r="E28" s="136"/>
      <c r="F28" s="137">
        <v>200</v>
      </c>
      <c r="G28" s="145"/>
      <c r="H28" s="138"/>
      <c r="I28" s="138"/>
      <c r="J28" s="138"/>
      <c r="K28" s="139"/>
      <c r="L28" s="146"/>
      <c r="M28" s="140"/>
      <c r="N28" s="140"/>
      <c r="O28" s="140"/>
      <c r="P28" s="140"/>
      <c r="Q28" s="140"/>
      <c r="R28" s="158">
        <f t="shared" si="1"/>
        <v>200</v>
      </c>
      <c r="S28" s="148">
        <f t="shared" si="2"/>
        <v>0.2</v>
      </c>
      <c r="T28" s="135" t="e">
        <f>VLOOKUP(A28,[1]Index!$E:$M,7,)</f>
        <v>#N/A</v>
      </c>
      <c r="U28" s="149" t="e">
        <f t="shared" si="3"/>
        <v>#N/A</v>
      </c>
      <c r="V28" s="150" t="e">
        <f t="shared" si="4"/>
        <v>#N/A</v>
      </c>
      <c r="W28" s="151">
        <f t="shared" si="5"/>
        <v>0</v>
      </c>
      <c r="X28" s="80" t="e">
        <f t="shared" si="6"/>
        <v>#DIV/0!</v>
      </c>
    </row>
    <row r="29" spans="1:24">
      <c r="A29" s="132" t="s">
        <v>456</v>
      </c>
      <c r="B29" s="133"/>
      <c r="C29" s="160">
        <v>47</v>
      </c>
      <c r="D29" s="160">
        <v>18</v>
      </c>
      <c r="E29" s="160">
        <v>5.3</v>
      </c>
      <c r="F29" s="161">
        <v>1450</v>
      </c>
      <c r="G29" s="152">
        <f t="shared" ref="G29:G34" si="7">F29/1000</f>
        <v>1.45</v>
      </c>
      <c r="H29" s="153"/>
      <c r="I29" s="153"/>
      <c r="J29" s="153"/>
      <c r="K29" s="154"/>
      <c r="L29" s="155"/>
      <c r="M29" s="156"/>
      <c r="N29" s="156"/>
      <c r="O29" s="156"/>
      <c r="P29" s="156"/>
      <c r="Q29" s="156"/>
      <c r="R29" s="147">
        <f t="shared" si="1"/>
        <v>1450</v>
      </c>
      <c r="S29" s="148">
        <f t="shared" si="2"/>
        <v>1.45</v>
      </c>
      <c r="T29" s="135">
        <f>VLOOKUP(A29,[1]Index!$E:$M,7,)</f>
        <v>100.02157753153847</v>
      </c>
      <c r="U29" s="149">
        <f t="shared" si="3"/>
        <v>-1349.9784224684615</v>
      </c>
      <c r="V29" s="150">
        <f t="shared" si="4"/>
        <v>-13.49687193288659</v>
      </c>
      <c r="W29" s="151">
        <f t="shared" si="5"/>
        <v>0.15836781600000002</v>
      </c>
      <c r="X29" s="80">
        <f t="shared" si="6"/>
        <v>9.1559007165950916</v>
      </c>
    </row>
    <row r="30" spans="1:24">
      <c r="A30" s="132" t="s">
        <v>363</v>
      </c>
      <c r="B30" s="133"/>
      <c r="C30" s="136">
        <v>150</v>
      </c>
      <c r="D30" s="136">
        <v>41</v>
      </c>
      <c r="E30" s="136">
        <v>13</v>
      </c>
      <c r="F30" s="137">
        <v>35600</v>
      </c>
      <c r="G30" s="152">
        <f t="shared" si="7"/>
        <v>35.6</v>
      </c>
      <c r="H30" s="153"/>
      <c r="I30" s="153"/>
      <c r="J30" s="153"/>
      <c r="K30" s="154"/>
      <c r="L30" s="155"/>
      <c r="M30" s="156"/>
      <c r="N30" s="156"/>
      <c r="O30" s="156"/>
      <c r="P30" s="156"/>
      <c r="Q30" s="156"/>
      <c r="R30" s="147">
        <f t="shared" si="1"/>
        <v>35600</v>
      </c>
      <c r="S30" s="148">
        <f t="shared" si="2"/>
        <v>35.6</v>
      </c>
      <c r="T30" s="135" t="e">
        <f>VLOOKUP(A30,[1]Index!$E:$M,7,)</f>
        <v>#N/A</v>
      </c>
      <c r="U30" s="149" t="e">
        <f t="shared" si="3"/>
        <v>#N/A</v>
      </c>
      <c r="V30" s="150" t="e">
        <f t="shared" si="4"/>
        <v>#N/A</v>
      </c>
      <c r="W30" s="151">
        <f t="shared" si="5"/>
        <v>2.8238339999999997</v>
      </c>
      <c r="X30" s="80">
        <f t="shared" si="6"/>
        <v>12.606973356082548</v>
      </c>
    </row>
    <row r="31" spans="1:24">
      <c r="A31" s="132" t="s">
        <v>360</v>
      </c>
      <c r="B31" s="133"/>
      <c r="C31" s="136">
        <v>161</v>
      </c>
      <c r="D31" s="136">
        <v>44</v>
      </c>
      <c r="E31" s="136">
        <v>13</v>
      </c>
      <c r="F31" s="137">
        <v>38300</v>
      </c>
      <c r="G31" s="152">
        <f t="shared" si="7"/>
        <v>38.299999999999997</v>
      </c>
      <c r="H31" s="153"/>
      <c r="I31" s="153"/>
      <c r="J31" s="153"/>
      <c r="K31" s="154"/>
      <c r="L31" s="155"/>
      <c r="M31" s="156"/>
      <c r="N31" s="156"/>
      <c r="O31" s="156"/>
      <c r="P31" s="156"/>
      <c r="Q31" s="156"/>
      <c r="R31" s="147">
        <f t="shared" si="1"/>
        <v>38300</v>
      </c>
      <c r="S31" s="148">
        <f t="shared" si="2"/>
        <v>38.299999999999997</v>
      </c>
      <c r="T31" s="135">
        <f>VLOOKUP(A31,[1]Index!$E:$M,7,)</f>
        <v>2577.9155984174913</v>
      </c>
      <c r="U31" s="149">
        <f t="shared" si="3"/>
        <v>-35722.084401582506</v>
      </c>
      <c r="V31" s="150">
        <f t="shared" si="4"/>
        <v>-13.856964294529764</v>
      </c>
      <c r="W31" s="151">
        <f t="shared" si="5"/>
        <v>3.2526894399999997</v>
      </c>
      <c r="X31" s="80">
        <f t="shared" si="6"/>
        <v>11.774871442998874</v>
      </c>
    </row>
    <row r="32" spans="1:24">
      <c r="A32" s="132" t="s">
        <v>790</v>
      </c>
      <c r="B32" s="133"/>
      <c r="C32" s="136">
        <v>135.5</v>
      </c>
      <c r="D32" s="136">
        <v>34.5</v>
      </c>
      <c r="E32" s="136">
        <v>6.5</v>
      </c>
      <c r="F32" s="164">
        <v>13550</v>
      </c>
      <c r="G32" s="152">
        <f t="shared" si="7"/>
        <v>13.55</v>
      </c>
      <c r="H32" s="138"/>
      <c r="I32" s="138"/>
      <c r="J32" s="138"/>
      <c r="K32" s="139"/>
      <c r="L32" s="146"/>
      <c r="M32" s="140"/>
      <c r="N32" s="140"/>
      <c r="O32" s="140"/>
      <c r="P32" s="140"/>
      <c r="Q32" s="140"/>
      <c r="R32" s="158">
        <f t="shared" si="1"/>
        <v>13550</v>
      </c>
      <c r="S32" s="148">
        <f t="shared" si="2"/>
        <v>13.55</v>
      </c>
      <c r="T32" s="135" t="e">
        <f>VLOOKUP(A32,[1]Index!$E:$M,7,)</f>
        <v>#N/A</v>
      </c>
      <c r="U32" s="149" t="e">
        <f t="shared" si="3"/>
        <v>#N/A</v>
      </c>
      <c r="V32" s="150" t="e">
        <f t="shared" si="4"/>
        <v>#N/A</v>
      </c>
      <c r="W32" s="151">
        <f t="shared" si="5"/>
        <v>1.073229105</v>
      </c>
      <c r="X32" s="80">
        <f t="shared" si="6"/>
        <v>12.625449623824728</v>
      </c>
    </row>
    <row r="33" spans="1:25">
      <c r="A33" s="132" t="s">
        <v>362</v>
      </c>
      <c r="B33" s="133"/>
      <c r="C33" s="136">
        <v>104</v>
      </c>
      <c r="D33" s="136">
        <v>39.5</v>
      </c>
      <c r="E33" s="136">
        <v>16.3</v>
      </c>
      <c r="F33" s="137">
        <v>30000</v>
      </c>
      <c r="G33" s="145">
        <f t="shared" si="7"/>
        <v>30</v>
      </c>
      <c r="H33" s="138"/>
      <c r="I33" s="138"/>
      <c r="J33" s="138"/>
      <c r="K33" s="139"/>
      <c r="L33" s="146"/>
      <c r="M33" s="140"/>
      <c r="N33" s="140"/>
      <c r="O33" s="140"/>
      <c r="P33" s="140"/>
      <c r="Q33" s="140"/>
      <c r="R33" s="147">
        <f t="shared" si="1"/>
        <v>30000</v>
      </c>
      <c r="S33" s="148">
        <f t="shared" si="2"/>
        <v>30</v>
      </c>
      <c r="T33" s="135" t="e">
        <f>VLOOKUP(A33,[1]Index!$E:$M,7,)</f>
        <v>#N/A</v>
      </c>
      <c r="U33" s="149" t="e">
        <f t="shared" si="3"/>
        <v>#N/A</v>
      </c>
      <c r="V33" s="150" t="e">
        <f t="shared" si="4"/>
        <v>#N/A</v>
      </c>
      <c r="W33" s="151">
        <f t="shared" si="5"/>
        <v>2.3650413280000002</v>
      </c>
      <c r="X33" s="80">
        <f t="shared" si="6"/>
        <v>12.684767764870109</v>
      </c>
    </row>
    <row r="34" spans="1:25">
      <c r="A34" s="132" t="s">
        <v>791</v>
      </c>
      <c r="B34" s="133"/>
      <c r="C34" s="160">
        <v>43</v>
      </c>
      <c r="D34" s="160">
        <v>41</v>
      </c>
      <c r="E34" s="160">
        <v>6</v>
      </c>
      <c r="F34" s="161">
        <v>2340</v>
      </c>
      <c r="G34" s="152">
        <f t="shared" si="7"/>
        <v>2.34</v>
      </c>
      <c r="H34" s="138"/>
      <c r="I34" s="138"/>
      <c r="J34" s="138"/>
      <c r="K34" s="139"/>
      <c r="L34" s="146"/>
      <c r="M34" s="140"/>
      <c r="N34" s="140"/>
      <c r="O34" s="140"/>
      <c r="P34" s="140"/>
      <c r="Q34" s="140"/>
      <c r="R34" s="147">
        <f t="shared" si="1"/>
        <v>2340</v>
      </c>
      <c r="S34" s="148">
        <f t="shared" si="2"/>
        <v>2.34</v>
      </c>
      <c r="T34" s="135" t="e">
        <f>VLOOKUP(A34,[1]Index!$E:$M,7,)</f>
        <v>#N/A</v>
      </c>
      <c r="U34" s="149" t="e">
        <f t="shared" si="3"/>
        <v>#N/A</v>
      </c>
      <c r="V34" s="150" t="e">
        <f t="shared" si="4"/>
        <v>#N/A</v>
      </c>
      <c r="W34" s="151">
        <f t="shared" si="5"/>
        <v>0.37361496000000005</v>
      </c>
      <c r="X34" s="80">
        <f t="shared" si="6"/>
        <v>6.2631325041160011</v>
      </c>
    </row>
    <row r="35" spans="1:25" s="53" customFormat="1" ht="12.75">
      <c r="A35" s="124" t="s">
        <v>423</v>
      </c>
      <c r="B35" s="208" t="s">
        <v>56</v>
      </c>
      <c r="C35" s="205"/>
      <c r="D35" s="205"/>
      <c r="E35" s="205"/>
      <c r="F35" s="205"/>
      <c r="G35" s="206"/>
      <c r="H35" s="206"/>
      <c r="I35" s="206"/>
      <c r="J35" s="206"/>
      <c r="K35" s="207"/>
      <c r="L35" s="207"/>
      <c r="M35" s="207"/>
      <c r="N35" s="207"/>
      <c r="O35" s="191">
        <f>V35*'Audit Dimensions'!$O$2</f>
        <v>0</v>
      </c>
      <c r="P35" s="75">
        <f t="shared" ref="P35:P80" si="8">F35+J35+N35</f>
        <v>0</v>
      </c>
      <c r="Q35" s="76">
        <f t="shared" ref="Q35:Q80" si="9">P35/1000</f>
        <v>0</v>
      </c>
      <c r="R35" s="185">
        <f t="shared" ref="R35:R80" si="10">MAX(Q35,O35)</f>
        <v>0</v>
      </c>
      <c r="S35" s="62">
        <f>VLOOKUP(A35,[1]Index!$E:$M,8,)</f>
        <v>487.98520959999996</v>
      </c>
      <c r="T35" s="77">
        <f t="shared" ref="T35:T80" si="11">S35-P35</f>
        <v>487.98520959999996</v>
      </c>
      <c r="U35" s="78">
        <f t="shared" ref="U35:U80" si="12">T35/S35</f>
        <v>1</v>
      </c>
      <c r="V35" s="79">
        <f t="shared" ref="V35:V80" si="13">(((C35*D35*E35)+(G35*H35*I35)+(K35*L35*M35))/1000000)*35.32</f>
        <v>0</v>
      </c>
      <c r="W35" s="80" t="e">
        <f t="shared" ref="W35:W80" si="14">Q35/V35</f>
        <v>#DIV/0!</v>
      </c>
      <c r="X35" s="53" t="s">
        <v>45</v>
      </c>
    </row>
    <row r="36" spans="1:25" s="53" customFormat="1" ht="12.75">
      <c r="A36" s="124" t="s">
        <v>424</v>
      </c>
      <c r="B36" s="208" t="s">
        <v>56</v>
      </c>
      <c r="C36" s="205"/>
      <c r="D36" s="205"/>
      <c r="E36" s="205"/>
      <c r="F36" s="205"/>
      <c r="G36" s="206"/>
      <c r="H36" s="206"/>
      <c r="I36" s="206"/>
      <c r="J36" s="206"/>
      <c r="K36" s="207"/>
      <c r="L36" s="207"/>
      <c r="M36" s="207"/>
      <c r="N36" s="207"/>
      <c r="O36" s="191">
        <f>V36*'Audit Dimensions'!$O$2</f>
        <v>0</v>
      </c>
      <c r="P36" s="75">
        <f t="shared" si="8"/>
        <v>0</v>
      </c>
      <c r="Q36" s="76">
        <f t="shared" si="9"/>
        <v>0</v>
      </c>
      <c r="R36" s="185">
        <f t="shared" si="10"/>
        <v>0</v>
      </c>
      <c r="S36" s="62">
        <f>VLOOKUP(A36,[1]Index!$E:$M,8,)</f>
        <v>992.21502399999986</v>
      </c>
      <c r="T36" s="77">
        <f t="shared" si="11"/>
        <v>992.21502399999986</v>
      </c>
      <c r="U36" s="78">
        <f t="shared" si="12"/>
        <v>1</v>
      </c>
      <c r="V36" s="79">
        <f t="shared" si="13"/>
        <v>0</v>
      </c>
      <c r="W36" s="80" t="e">
        <f t="shared" si="14"/>
        <v>#DIV/0!</v>
      </c>
      <c r="X36" s="53" t="s">
        <v>45</v>
      </c>
    </row>
    <row r="37" spans="1:25">
      <c r="A37" s="124" t="s">
        <v>385</v>
      </c>
      <c r="B37" s="208" t="s">
        <v>56</v>
      </c>
      <c r="C37" s="205"/>
      <c r="D37" s="205"/>
      <c r="E37" s="205"/>
      <c r="F37" s="205"/>
      <c r="G37" s="206"/>
      <c r="H37" s="206"/>
      <c r="I37" s="206"/>
      <c r="J37" s="206"/>
      <c r="K37" s="207"/>
      <c r="L37" s="207"/>
      <c r="M37" s="207"/>
      <c r="N37" s="207"/>
      <c r="O37" s="191">
        <f>V37*'Audit Dimensions'!$O$2</f>
        <v>0</v>
      </c>
      <c r="P37" s="75">
        <f t="shared" si="8"/>
        <v>0</v>
      </c>
      <c r="Q37" s="76">
        <f t="shared" si="9"/>
        <v>0</v>
      </c>
      <c r="R37" s="185">
        <f t="shared" si="10"/>
        <v>0</v>
      </c>
      <c r="S37" s="62">
        <f>VLOOKUP(A37,[1]Index!$E:$M,8,)</f>
        <v>398.59929200000005</v>
      </c>
      <c r="T37" s="77">
        <f t="shared" si="11"/>
        <v>398.59929200000005</v>
      </c>
      <c r="U37" s="78">
        <f t="shared" si="12"/>
        <v>1</v>
      </c>
      <c r="V37" s="79">
        <f t="shared" si="13"/>
        <v>0</v>
      </c>
      <c r="W37" s="80" t="e">
        <f t="shared" si="14"/>
        <v>#DIV/0!</v>
      </c>
      <c r="X37" s="53" t="s">
        <v>45</v>
      </c>
    </row>
    <row r="38" spans="1:25">
      <c r="A38" s="124" t="s">
        <v>422</v>
      </c>
      <c r="B38" s="208" t="s">
        <v>56</v>
      </c>
      <c r="C38" s="205"/>
      <c r="D38" s="205"/>
      <c r="E38" s="205"/>
      <c r="F38" s="205"/>
      <c r="G38" s="206"/>
      <c r="H38" s="206"/>
      <c r="I38" s="206"/>
      <c r="J38" s="206"/>
      <c r="K38" s="207"/>
      <c r="L38" s="207"/>
      <c r="M38" s="207"/>
      <c r="N38" s="207"/>
      <c r="O38" s="191">
        <f>V38*'Audit Dimensions'!$O$2</f>
        <v>0</v>
      </c>
      <c r="P38" s="75">
        <f t="shared" si="8"/>
        <v>0</v>
      </c>
      <c r="Q38" s="76">
        <f t="shared" si="9"/>
        <v>0</v>
      </c>
      <c r="R38" s="185">
        <f t="shared" si="10"/>
        <v>0</v>
      </c>
      <c r="S38" s="62" t="e">
        <f>VLOOKUP(A38,[1]Index!$E:$M,8,)</f>
        <v>#N/A</v>
      </c>
      <c r="T38" s="77" t="e">
        <f t="shared" si="11"/>
        <v>#N/A</v>
      </c>
      <c r="U38" s="78" t="e">
        <f t="shared" si="12"/>
        <v>#N/A</v>
      </c>
      <c r="V38" s="79">
        <f t="shared" si="13"/>
        <v>0</v>
      </c>
      <c r="W38" s="80" t="e">
        <f t="shared" si="14"/>
        <v>#DIV/0!</v>
      </c>
      <c r="X38" s="53" t="s">
        <v>45</v>
      </c>
    </row>
    <row r="39" spans="1:25">
      <c r="A39" s="124" t="s">
        <v>432</v>
      </c>
      <c r="B39" s="208" t="s">
        <v>56</v>
      </c>
      <c r="C39" s="205"/>
      <c r="D39" s="205"/>
      <c r="E39" s="205"/>
      <c r="F39" s="205"/>
      <c r="G39" s="206"/>
      <c r="H39" s="206"/>
      <c r="I39" s="206"/>
      <c r="J39" s="206"/>
      <c r="K39" s="207"/>
      <c r="L39" s="207"/>
      <c r="M39" s="207"/>
      <c r="N39" s="207"/>
      <c r="O39" s="191">
        <f>V39*'Audit Dimensions'!$O$2</f>
        <v>0</v>
      </c>
      <c r="P39" s="75">
        <f t="shared" si="8"/>
        <v>0</v>
      </c>
      <c r="Q39" s="76">
        <f t="shared" si="9"/>
        <v>0</v>
      </c>
      <c r="R39" s="185">
        <f t="shared" si="10"/>
        <v>0</v>
      </c>
      <c r="S39" s="62" t="e">
        <f>VLOOKUP(A39,[1]Index!$E:$M,8,)</f>
        <v>#N/A</v>
      </c>
      <c r="T39" s="77" t="e">
        <f t="shared" si="11"/>
        <v>#N/A</v>
      </c>
      <c r="U39" s="78" t="e">
        <f t="shared" si="12"/>
        <v>#N/A</v>
      </c>
      <c r="V39" s="79">
        <f t="shared" si="13"/>
        <v>0</v>
      </c>
      <c r="W39" s="80" t="e">
        <f t="shared" si="14"/>
        <v>#DIV/0!</v>
      </c>
      <c r="X39" s="53" t="s">
        <v>45</v>
      </c>
      <c r="Y39" s="53"/>
    </row>
    <row r="40" spans="1:25">
      <c r="A40" s="124" t="s">
        <v>389</v>
      </c>
      <c r="B40" s="208" t="s">
        <v>56</v>
      </c>
      <c r="C40" s="205"/>
      <c r="D40" s="205"/>
      <c r="E40" s="205"/>
      <c r="F40" s="205"/>
      <c r="G40" s="206"/>
      <c r="H40" s="206"/>
      <c r="I40" s="206"/>
      <c r="J40" s="206"/>
      <c r="K40" s="207"/>
      <c r="L40" s="207"/>
      <c r="M40" s="207"/>
      <c r="N40" s="207"/>
      <c r="O40" s="191">
        <f>V40*'Audit Dimensions'!$O$2</f>
        <v>0</v>
      </c>
      <c r="P40" s="75">
        <f t="shared" si="8"/>
        <v>0</v>
      </c>
      <c r="Q40" s="76">
        <f t="shared" si="9"/>
        <v>0</v>
      </c>
      <c r="R40" s="185">
        <f t="shared" si="10"/>
        <v>0</v>
      </c>
      <c r="S40" s="62">
        <f>VLOOKUP(A40,[1]Index!$E:$M,8,)</f>
        <v>148.58278111999999</v>
      </c>
      <c r="T40" s="77">
        <f t="shared" si="11"/>
        <v>148.58278111999999</v>
      </c>
      <c r="U40" s="78">
        <f t="shared" si="12"/>
        <v>1</v>
      </c>
      <c r="V40" s="79">
        <f t="shared" si="13"/>
        <v>0</v>
      </c>
      <c r="W40" s="80" t="e">
        <f t="shared" si="14"/>
        <v>#DIV/0!</v>
      </c>
      <c r="X40" s="53" t="s">
        <v>45</v>
      </c>
      <c r="Y40" s="53"/>
    </row>
    <row r="41" spans="1:25">
      <c r="A41" s="124" t="s">
        <v>390</v>
      </c>
      <c r="B41" s="208" t="s">
        <v>56</v>
      </c>
      <c r="C41" s="205"/>
      <c r="D41" s="205"/>
      <c r="E41" s="205"/>
      <c r="F41" s="205"/>
      <c r="G41" s="206"/>
      <c r="H41" s="206"/>
      <c r="I41" s="206"/>
      <c r="J41" s="206"/>
      <c r="K41" s="207"/>
      <c r="L41" s="207"/>
      <c r="M41" s="207"/>
      <c r="N41" s="207"/>
      <c r="O41" s="191">
        <f>V41*'Audit Dimensions'!$O$2</f>
        <v>0</v>
      </c>
      <c r="P41" s="75">
        <f t="shared" si="8"/>
        <v>0</v>
      </c>
      <c r="Q41" s="76">
        <f t="shared" si="9"/>
        <v>0</v>
      </c>
      <c r="R41" s="185">
        <f t="shared" si="10"/>
        <v>0</v>
      </c>
      <c r="S41" s="62">
        <f>VLOOKUP(A41,[1]Index!$E:$M,8,)</f>
        <v>150.74286112000001</v>
      </c>
      <c r="T41" s="77">
        <f t="shared" si="11"/>
        <v>150.74286112000001</v>
      </c>
      <c r="U41" s="78">
        <f t="shared" si="12"/>
        <v>1</v>
      </c>
      <c r="V41" s="79">
        <f t="shared" si="13"/>
        <v>0</v>
      </c>
      <c r="W41" s="80" t="e">
        <f t="shared" si="14"/>
        <v>#DIV/0!</v>
      </c>
      <c r="X41" s="53" t="s">
        <v>45</v>
      </c>
      <c r="Y41" s="53"/>
    </row>
    <row r="42" spans="1:25">
      <c r="A42" s="124" t="s">
        <v>434</v>
      </c>
      <c r="B42" s="208" t="s">
        <v>56</v>
      </c>
      <c r="C42" s="205"/>
      <c r="D42" s="205"/>
      <c r="E42" s="205"/>
      <c r="F42" s="205"/>
      <c r="G42" s="206"/>
      <c r="H42" s="206"/>
      <c r="I42" s="206"/>
      <c r="J42" s="206"/>
      <c r="K42" s="207"/>
      <c r="L42" s="207"/>
      <c r="M42" s="207"/>
      <c r="N42" s="207"/>
      <c r="O42" s="191">
        <f>V42*'Audit Dimensions'!$O$2</f>
        <v>0</v>
      </c>
      <c r="P42" s="75">
        <f t="shared" si="8"/>
        <v>0</v>
      </c>
      <c r="Q42" s="76">
        <f t="shared" si="9"/>
        <v>0</v>
      </c>
      <c r="R42" s="185">
        <f t="shared" si="10"/>
        <v>0</v>
      </c>
      <c r="S42" s="62" t="e">
        <f>VLOOKUP(A42,[1]Index!$E:$M,8,)</f>
        <v>#N/A</v>
      </c>
      <c r="T42" s="77" t="e">
        <f t="shared" si="11"/>
        <v>#N/A</v>
      </c>
      <c r="U42" s="78" t="e">
        <f t="shared" si="12"/>
        <v>#N/A</v>
      </c>
      <c r="V42" s="79">
        <f t="shared" si="13"/>
        <v>0</v>
      </c>
      <c r="W42" s="80" t="e">
        <f t="shared" si="14"/>
        <v>#DIV/0!</v>
      </c>
      <c r="X42" s="53" t="s">
        <v>45</v>
      </c>
      <c r="Y42" s="53"/>
    </row>
    <row r="43" spans="1:25">
      <c r="A43" s="124" t="s">
        <v>436</v>
      </c>
      <c r="B43" s="208" t="s">
        <v>56</v>
      </c>
      <c r="C43" s="205"/>
      <c r="D43" s="205"/>
      <c r="E43" s="205"/>
      <c r="F43" s="205"/>
      <c r="G43" s="206"/>
      <c r="H43" s="206"/>
      <c r="I43" s="206"/>
      <c r="J43" s="206"/>
      <c r="K43" s="207"/>
      <c r="L43" s="207"/>
      <c r="M43" s="207"/>
      <c r="N43" s="207"/>
      <c r="O43" s="191">
        <f>V43*'Audit Dimensions'!$O$2</f>
        <v>0</v>
      </c>
      <c r="P43" s="75">
        <f t="shared" si="8"/>
        <v>0</v>
      </c>
      <c r="Q43" s="76">
        <f t="shared" si="9"/>
        <v>0</v>
      </c>
      <c r="R43" s="185">
        <f t="shared" si="10"/>
        <v>0</v>
      </c>
      <c r="S43" s="62" t="e">
        <f>VLOOKUP(A43,[1]Index!$E:$M,8,)</f>
        <v>#N/A</v>
      </c>
      <c r="T43" s="77" t="e">
        <f t="shared" si="11"/>
        <v>#N/A</v>
      </c>
      <c r="U43" s="78" t="e">
        <f t="shared" si="12"/>
        <v>#N/A</v>
      </c>
      <c r="V43" s="79">
        <f t="shared" si="13"/>
        <v>0</v>
      </c>
      <c r="W43" s="80" t="e">
        <f t="shared" si="14"/>
        <v>#DIV/0!</v>
      </c>
      <c r="X43" s="53" t="s">
        <v>45</v>
      </c>
      <c r="Y43" s="53"/>
    </row>
    <row r="44" spans="1:25">
      <c r="A44" s="124" t="s">
        <v>426</v>
      </c>
      <c r="B44" s="208" t="s">
        <v>56</v>
      </c>
      <c r="C44" s="205"/>
      <c r="D44" s="205"/>
      <c r="E44" s="205"/>
      <c r="F44" s="205"/>
      <c r="G44" s="206"/>
      <c r="H44" s="206"/>
      <c r="I44" s="206"/>
      <c r="J44" s="206"/>
      <c r="K44" s="207"/>
      <c r="L44" s="207"/>
      <c r="M44" s="207"/>
      <c r="N44" s="207"/>
      <c r="O44" s="191">
        <f>V44*'Audit Dimensions'!$O$2</f>
        <v>0</v>
      </c>
      <c r="P44" s="75">
        <f t="shared" si="8"/>
        <v>0</v>
      </c>
      <c r="Q44" s="76">
        <f t="shared" si="9"/>
        <v>0</v>
      </c>
      <c r="R44" s="185">
        <f t="shared" si="10"/>
        <v>0</v>
      </c>
      <c r="S44" s="62">
        <f>VLOOKUP(A44,[1]Index!$E:$M,8,)</f>
        <v>3429.5108220776501</v>
      </c>
      <c r="T44" s="77">
        <f t="shared" si="11"/>
        <v>3429.5108220776501</v>
      </c>
      <c r="U44" s="78">
        <f t="shared" si="12"/>
        <v>1</v>
      </c>
      <c r="V44" s="79">
        <f t="shared" si="13"/>
        <v>0</v>
      </c>
      <c r="W44" s="80" t="e">
        <f t="shared" si="14"/>
        <v>#DIV/0!</v>
      </c>
      <c r="X44" s="53" t="s">
        <v>45</v>
      </c>
      <c r="Y44" s="53"/>
    </row>
    <row r="45" spans="1:25">
      <c r="A45" s="124" t="s">
        <v>427</v>
      </c>
      <c r="B45" s="208" t="s">
        <v>56</v>
      </c>
      <c r="C45" s="205"/>
      <c r="D45" s="205"/>
      <c r="E45" s="205"/>
      <c r="F45" s="205"/>
      <c r="G45" s="206"/>
      <c r="H45" s="206"/>
      <c r="I45" s="206"/>
      <c r="J45" s="206"/>
      <c r="K45" s="207"/>
      <c r="L45" s="207"/>
      <c r="M45" s="207"/>
      <c r="N45" s="207"/>
      <c r="O45" s="191">
        <f>V45*'Audit Dimensions'!$O$2</f>
        <v>0</v>
      </c>
      <c r="P45" s="75">
        <f t="shared" si="8"/>
        <v>0</v>
      </c>
      <c r="Q45" s="76">
        <f t="shared" si="9"/>
        <v>0</v>
      </c>
      <c r="R45" s="185">
        <f t="shared" si="10"/>
        <v>0</v>
      </c>
      <c r="S45" s="62">
        <f>VLOOKUP(A45,[1]Index!$E:$M,8,)</f>
        <v>2952.6442630900933</v>
      </c>
      <c r="T45" s="77">
        <f t="shared" si="11"/>
        <v>2952.6442630900933</v>
      </c>
      <c r="U45" s="78">
        <f t="shared" si="12"/>
        <v>1</v>
      </c>
      <c r="V45" s="79">
        <f t="shared" si="13"/>
        <v>0</v>
      </c>
      <c r="W45" s="80" t="e">
        <f t="shared" si="14"/>
        <v>#DIV/0!</v>
      </c>
      <c r="X45" s="53" t="s">
        <v>45</v>
      </c>
      <c r="Y45" s="53"/>
    </row>
    <row r="46" spans="1:25">
      <c r="A46" s="124" t="s">
        <v>183</v>
      </c>
      <c r="B46" s="208" t="s">
        <v>56</v>
      </c>
      <c r="C46" s="205"/>
      <c r="D46" s="205"/>
      <c r="E46" s="205"/>
      <c r="F46" s="205"/>
      <c r="G46" s="206"/>
      <c r="H46" s="206"/>
      <c r="I46" s="206"/>
      <c r="J46" s="206"/>
      <c r="K46" s="207"/>
      <c r="L46" s="207"/>
      <c r="M46" s="207"/>
      <c r="N46" s="207"/>
      <c r="O46" s="191">
        <f>V46*'Audit Dimensions'!$O$2</f>
        <v>0</v>
      </c>
      <c r="P46" s="75">
        <f t="shared" si="8"/>
        <v>0</v>
      </c>
      <c r="Q46" s="76">
        <f t="shared" si="9"/>
        <v>0</v>
      </c>
      <c r="R46" s="185">
        <f t="shared" si="10"/>
        <v>0</v>
      </c>
      <c r="S46" s="62">
        <f>VLOOKUP(A46,[1]Index!$E:$M,8,)</f>
        <v>3632.9277899999997</v>
      </c>
      <c r="T46" s="77">
        <f t="shared" si="11"/>
        <v>3632.9277899999997</v>
      </c>
      <c r="U46" s="78">
        <f t="shared" si="12"/>
        <v>1</v>
      </c>
      <c r="V46" s="79">
        <f t="shared" si="13"/>
        <v>0</v>
      </c>
      <c r="W46" s="80" t="e">
        <f t="shared" si="14"/>
        <v>#DIV/0!</v>
      </c>
      <c r="X46" s="53" t="s">
        <v>45</v>
      </c>
      <c r="Y46" s="53"/>
    </row>
    <row r="47" spans="1:25">
      <c r="A47" s="124" t="s">
        <v>184</v>
      </c>
      <c r="B47" s="208" t="s">
        <v>56</v>
      </c>
      <c r="C47" s="205"/>
      <c r="D47" s="205"/>
      <c r="E47" s="205"/>
      <c r="F47" s="205"/>
      <c r="G47" s="206"/>
      <c r="H47" s="206"/>
      <c r="I47" s="206"/>
      <c r="J47" s="206"/>
      <c r="K47" s="207"/>
      <c r="L47" s="207"/>
      <c r="M47" s="207"/>
      <c r="N47" s="207"/>
      <c r="O47" s="191">
        <f>V47*'Audit Dimensions'!$O$2</f>
        <v>0</v>
      </c>
      <c r="P47" s="75">
        <f t="shared" si="8"/>
        <v>0</v>
      </c>
      <c r="Q47" s="76">
        <f t="shared" si="9"/>
        <v>0</v>
      </c>
      <c r="R47" s="185">
        <f t="shared" si="10"/>
        <v>0</v>
      </c>
      <c r="S47" s="62">
        <f>VLOOKUP(A47,[1]Index!$E:$M,8,)</f>
        <v>1812.3625919999999</v>
      </c>
      <c r="T47" s="77">
        <f t="shared" si="11"/>
        <v>1812.3625919999999</v>
      </c>
      <c r="U47" s="78">
        <f t="shared" si="12"/>
        <v>1</v>
      </c>
      <c r="V47" s="79">
        <f t="shared" si="13"/>
        <v>0</v>
      </c>
      <c r="W47" s="80" t="e">
        <f t="shared" si="14"/>
        <v>#DIV/0!</v>
      </c>
      <c r="X47" s="53" t="s">
        <v>45</v>
      </c>
      <c r="Y47" s="53"/>
    </row>
    <row r="48" spans="1:25">
      <c r="A48" s="233" t="s">
        <v>781</v>
      </c>
      <c r="B48" s="208" t="s">
        <v>56</v>
      </c>
      <c r="C48" s="205"/>
      <c r="D48" s="205"/>
      <c r="E48" s="205"/>
      <c r="F48" s="205"/>
      <c r="G48" s="206"/>
      <c r="H48" s="206"/>
      <c r="I48" s="206"/>
      <c r="J48" s="206"/>
      <c r="K48" s="207"/>
      <c r="L48" s="207"/>
      <c r="M48" s="207"/>
      <c r="N48" s="207"/>
      <c r="O48" s="191">
        <f>V48*'Audit Dimensions'!$O$2</f>
        <v>0</v>
      </c>
      <c r="P48" s="75">
        <f t="shared" si="8"/>
        <v>0</v>
      </c>
      <c r="Q48" s="76">
        <f t="shared" si="9"/>
        <v>0</v>
      </c>
      <c r="R48" s="185">
        <f t="shared" si="10"/>
        <v>0</v>
      </c>
      <c r="S48" s="62" t="e">
        <f>VLOOKUP(A48,[1]Index!$E:$M,8,)</f>
        <v>#N/A</v>
      </c>
      <c r="T48" s="77" t="e">
        <f t="shared" si="11"/>
        <v>#N/A</v>
      </c>
      <c r="U48" s="78" t="e">
        <f t="shared" si="12"/>
        <v>#N/A</v>
      </c>
      <c r="V48" s="79">
        <f t="shared" si="13"/>
        <v>0</v>
      </c>
      <c r="W48" s="80" t="e">
        <f t="shared" si="14"/>
        <v>#DIV/0!</v>
      </c>
      <c r="X48" s="53" t="s">
        <v>45</v>
      </c>
      <c r="Y48" s="53"/>
    </row>
    <row r="49" spans="1:25">
      <c r="A49" s="124" t="s">
        <v>790</v>
      </c>
      <c r="B49" s="208" t="s">
        <v>54</v>
      </c>
      <c r="C49" s="205"/>
      <c r="D49" s="205"/>
      <c r="E49" s="205"/>
      <c r="F49" s="205"/>
      <c r="G49" s="206"/>
      <c r="H49" s="206"/>
      <c r="I49" s="206"/>
      <c r="J49" s="206"/>
      <c r="K49" s="207"/>
      <c r="L49" s="207"/>
      <c r="M49" s="207"/>
      <c r="N49" s="207"/>
      <c r="O49" s="191">
        <f>V49*'Audit Dimensions'!$O$2</f>
        <v>0</v>
      </c>
      <c r="P49" s="75">
        <f t="shared" si="8"/>
        <v>0</v>
      </c>
      <c r="Q49" s="76">
        <f t="shared" si="9"/>
        <v>0</v>
      </c>
      <c r="R49" s="185">
        <f t="shared" si="10"/>
        <v>0</v>
      </c>
      <c r="S49" s="62" t="e">
        <f>VLOOKUP(A49,[1]Index!$E:$M,8,)</f>
        <v>#N/A</v>
      </c>
      <c r="T49" s="77" t="e">
        <f t="shared" si="11"/>
        <v>#N/A</v>
      </c>
      <c r="U49" s="78" t="e">
        <f t="shared" si="12"/>
        <v>#N/A</v>
      </c>
      <c r="V49" s="79">
        <f t="shared" si="13"/>
        <v>0</v>
      </c>
      <c r="W49" s="80" t="e">
        <f t="shared" si="14"/>
        <v>#DIV/0!</v>
      </c>
      <c r="X49" s="53" t="s">
        <v>45</v>
      </c>
      <c r="Y49" s="53"/>
    </row>
    <row r="50" spans="1:25">
      <c r="A50" s="124" t="s">
        <v>304</v>
      </c>
      <c r="B50" s="208" t="s">
        <v>54</v>
      </c>
      <c r="C50" s="205"/>
      <c r="D50" s="205"/>
      <c r="E50" s="205"/>
      <c r="F50" s="205"/>
      <c r="G50" s="206"/>
      <c r="H50" s="206"/>
      <c r="I50" s="206"/>
      <c r="J50" s="206"/>
      <c r="K50" s="207"/>
      <c r="L50" s="207"/>
      <c r="M50" s="207"/>
      <c r="N50" s="207"/>
      <c r="O50" s="191">
        <f>V50*'Audit Dimensions'!$O$2</f>
        <v>0</v>
      </c>
      <c r="P50" s="75">
        <f t="shared" si="8"/>
        <v>0</v>
      </c>
      <c r="Q50" s="76">
        <f t="shared" si="9"/>
        <v>0</v>
      </c>
      <c r="R50" s="185">
        <f t="shared" si="10"/>
        <v>0</v>
      </c>
      <c r="S50" s="62">
        <f>VLOOKUP(A50,[1]Index!$E:$M,8,)</f>
        <v>8966.60196</v>
      </c>
      <c r="T50" s="77">
        <f t="shared" si="11"/>
        <v>8966.60196</v>
      </c>
      <c r="U50" s="78">
        <f t="shared" si="12"/>
        <v>1</v>
      </c>
      <c r="V50" s="79">
        <f t="shared" si="13"/>
        <v>0</v>
      </c>
      <c r="W50" s="80" t="e">
        <f t="shared" si="14"/>
        <v>#DIV/0!</v>
      </c>
      <c r="X50" s="53" t="s">
        <v>45</v>
      </c>
      <c r="Y50" s="53"/>
    </row>
    <row r="51" spans="1:25">
      <c r="A51" s="124" t="s">
        <v>429</v>
      </c>
      <c r="B51" s="208" t="s">
        <v>54</v>
      </c>
      <c r="C51" s="205"/>
      <c r="D51" s="205"/>
      <c r="E51" s="205"/>
      <c r="F51" s="205"/>
      <c r="G51" s="206"/>
      <c r="H51" s="206"/>
      <c r="I51" s="206"/>
      <c r="J51" s="206"/>
      <c r="K51" s="207"/>
      <c r="L51" s="207"/>
      <c r="M51" s="207"/>
      <c r="N51" s="207"/>
      <c r="O51" s="191">
        <f>V51*'Audit Dimensions'!$O$2</f>
        <v>0</v>
      </c>
      <c r="P51" s="75">
        <f t="shared" si="8"/>
        <v>0</v>
      </c>
      <c r="Q51" s="76">
        <f t="shared" si="9"/>
        <v>0</v>
      </c>
      <c r="R51" s="185">
        <f t="shared" si="10"/>
        <v>0</v>
      </c>
      <c r="S51" s="62" t="e">
        <f>VLOOKUP(A51,[1]Index!$E:$M,8,)</f>
        <v>#N/A</v>
      </c>
      <c r="T51" s="77" t="e">
        <f t="shared" si="11"/>
        <v>#N/A</v>
      </c>
      <c r="U51" s="78" t="e">
        <f t="shared" si="12"/>
        <v>#N/A</v>
      </c>
      <c r="V51" s="79">
        <f t="shared" si="13"/>
        <v>0</v>
      </c>
      <c r="W51" s="80" t="e">
        <f t="shared" si="14"/>
        <v>#DIV/0!</v>
      </c>
      <c r="X51" s="53" t="s">
        <v>45</v>
      </c>
      <c r="Y51" s="53"/>
    </row>
    <row r="52" spans="1:25">
      <c r="A52" s="124" t="s">
        <v>782</v>
      </c>
      <c r="B52" s="208" t="s">
        <v>54</v>
      </c>
      <c r="C52" s="205"/>
      <c r="D52" s="205"/>
      <c r="E52" s="205"/>
      <c r="F52" s="205"/>
      <c r="G52" s="206"/>
      <c r="H52" s="206"/>
      <c r="I52" s="206"/>
      <c r="J52" s="206"/>
      <c r="K52" s="207"/>
      <c r="L52" s="207"/>
      <c r="M52" s="207"/>
      <c r="N52" s="207"/>
      <c r="O52" s="191">
        <f>V52*'Audit Dimensions'!$O$2</f>
        <v>0</v>
      </c>
      <c r="P52" s="75">
        <f t="shared" si="8"/>
        <v>0</v>
      </c>
      <c r="Q52" s="76">
        <f t="shared" si="9"/>
        <v>0</v>
      </c>
      <c r="R52" s="185">
        <f t="shared" si="10"/>
        <v>0</v>
      </c>
      <c r="S52" s="62" t="e">
        <f>VLOOKUP(A52,[1]Index!$E:$M,8,)</f>
        <v>#N/A</v>
      </c>
      <c r="T52" s="77" t="e">
        <f t="shared" si="11"/>
        <v>#N/A</v>
      </c>
      <c r="U52" s="78" t="e">
        <f t="shared" si="12"/>
        <v>#N/A</v>
      </c>
      <c r="V52" s="79">
        <f t="shared" si="13"/>
        <v>0</v>
      </c>
      <c r="W52" s="80" t="e">
        <f t="shared" si="14"/>
        <v>#DIV/0!</v>
      </c>
      <c r="X52" s="53" t="s">
        <v>45</v>
      </c>
      <c r="Y52" s="53"/>
    </row>
    <row r="53" spans="1:25">
      <c r="A53" s="124" t="s">
        <v>290</v>
      </c>
      <c r="B53" s="208" t="s">
        <v>54</v>
      </c>
      <c r="C53" s="205"/>
      <c r="D53" s="205"/>
      <c r="E53" s="205"/>
      <c r="F53" s="205"/>
      <c r="G53" s="206"/>
      <c r="H53" s="206"/>
      <c r="I53" s="206"/>
      <c r="J53" s="206"/>
      <c r="K53" s="207"/>
      <c r="L53" s="207"/>
      <c r="M53" s="207"/>
      <c r="N53" s="207"/>
      <c r="O53" s="191">
        <f>V53*'Audit Dimensions'!$O$2</f>
        <v>0</v>
      </c>
      <c r="P53" s="75">
        <f t="shared" si="8"/>
        <v>0</v>
      </c>
      <c r="Q53" s="76">
        <f t="shared" si="9"/>
        <v>0</v>
      </c>
      <c r="R53" s="185">
        <f t="shared" si="10"/>
        <v>0</v>
      </c>
      <c r="S53" s="62">
        <f>VLOOKUP(A53,[1]Index!$E:$M,8,)</f>
        <v>1078.6686991525426</v>
      </c>
      <c r="T53" s="77">
        <f t="shared" si="11"/>
        <v>1078.6686991525426</v>
      </c>
      <c r="U53" s="78">
        <f t="shared" si="12"/>
        <v>1</v>
      </c>
      <c r="V53" s="79">
        <f t="shared" si="13"/>
        <v>0</v>
      </c>
      <c r="W53" s="80" t="e">
        <f t="shared" si="14"/>
        <v>#DIV/0!</v>
      </c>
      <c r="X53" s="53" t="s">
        <v>45</v>
      </c>
      <c r="Y53" s="53"/>
    </row>
    <row r="54" spans="1:25">
      <c r="A54" s="124" t="s">
        <v>393</v>
      </c>
      <c r="B54" s="208" t="s">
        <v>54</v>
      </c>
      <c r="C54" s="205"/>
      <c r="D54" s="205"/>
      <c r="E54" s="205"/>
      <c r="F54" s="205"/>
      <c r="G54" s="206"/>
      <c r="H54" s="206"/>
      <c r="I54" s="206"/>
      <c r="J54" s="206"/>
      <c r="K54" s="207"/>
      <c r="L54" s="207"/>
      <c r="M54" s="207"/>
      <c r="N54" s="207"/>
      <c r="O54" s="191">
        <f>V54*'Audit Dimensions'!$O$2</f>
        <v>0</v>
      </c>
      <c r="P54" s="75">
        <f t="shared" si="8"/>
        <v>0</v>
      </c>
      <c r="Q54" s="76">
        <f t="shared" si="9"/>
        <v>0</v>
      </c>
      <c r="R54" s="185">
        <f t="shared" si="10"/>
        <v>0</v>
      </c>
      <c r="S54" s="62" t="e">
        <f>VLOOKUP(A54,[1]Index!$E:$M,8,)</f>
        <v>#N/A</v>
      </c>
      <c r="T54" s="77" t="e">
        <f t="shared" si="11"/>
        <v>#N/A</v>
      </c>
      <c r="U54" s="78" t="e">
        <f t="shared" si="12"/>
        <v>#N/A</v>
      </c>
      <c r="V54" s="79">
        <f t="shared" si="13"/>
        <v>0</v>
      </c>
      <c r="W54" s="80" t="e">
        <f t="shared" si="14"/>
        <v>#DIV/0!</v>
      </c>
      <c r="X54" s="53" t="s">
        <v>45</v>
      </c>
      <c r="Y54" s="53"/>
    </row>
    <row r="55" spans="1:25">
      <c r="A55" s="124" t="s">
        <v>784</v>
      </c>
      <c r="B55" s="208" t="s">
        <v>54</v>
      </c>
      <c r="C55" s="205"/>
      <c r="D55" s="205"/>
      <c r="E55" s="205"/>
      <c r="F55" s="205"/>
      <c r="G55" s="206"/>
      <c r="H55" s="206"/>
      <c r="I55" s="206"/>
      <c r="J55" s="206"/>
      <c r="K55" s="207"/>
      <c r="L55" s="207"/>
      <c r="M55" s="207"/>
      <c r="N55" s="207"/>
      <c r="O55" s="191">
        <f>V55*'Audit Dimensions'!$O$2</f>
        <v>0</v>
      </c>
      <c r="P55" s="75">
        <f t="shared" si="8"/>
        <v>0</v>
      </c>
      <c r="Q55" s="76">
        <f t="shared" si="9"/>
        <v>0</v>
      </c>
      <c r="R55" s="185">
        <f t="shared" si="10"/>
        <v>0</v>
      </c>
      <c r="S55" s="62" t="e">
        <f>VLOOKUP(A55,[1]Index!$E:$M,8,)</f>
        <v>#N/A</v>
      </c>
      <c r="T55" s="77" t="e">
        <f t="shared" si="11"/>
        <v>#N/A</v>
      </c>
      <c r="U55" s="78" t="e">
        <f t="shared" si="12"/>
        <v>#N/A</v>
      </c>
      <c r="V55" s="79">
        <f t="shared" si="13"/>
        <v>0</v>
      </c>
      <c r="W55" s="80" t="e">
        <f t="shared" si="14"/>
        <v>#DIV/0!</v>
      </c>
      <c r="X55" s="53" t="s">
        <v>45</v>
      </c>
      <c r="Y55" s="53"/>
    </row>
    <row r="56" spans="1:25">
      <c r="A56" s="124" t="s">
        <v>785</v>
      </c>
      <c r="B56" s="208" t="s">
        <v>54</v>
      </c>
      <c r="C56" s="205"/>
      <c r="D56" s="205"/>
      <c r="E56" s="205"/>
      <c r="F56" s="205"/>
      <c r="G56" s="206"/>
      <c r="H56" s="206"/>
      <c r="I56" s="206"/>
      <c r="J56" s="206"/>
      <c r="K56" s="207"/>
      <c r="L56" s="207"/>
      <c r="M56" s="207"/>
      <c r="N56" s="207"/>
      <c r="O56" s="191">
        <f>V56*'Audit Dimensions'!$O$2</f>
        <v>0</v>
      </c>
      <c r="P56" s="75">
        <f t="shared" si="8"/>
        <v>0</v>
      </c>
      <c r="Q56" s="76">
        <f t="shared" si="9"/>
        <v>0</v>
      </c>
      <c r="R56" s="185">
        <f t="shared" si="10"/>
        <v>0</v>
      </c>
      <c r="S56" s="62" t="e">
        <f>VLOOKUP(A56,[1]Index!$E:$M,8,)</f>
        <v>#N/A</v>
      </c>
      <c r="T56" s="77" t="e">
        <f t="shared" si="11"/>
        <v>#N/A</v>
      </c>
      <c r="U56" s="78" t="e">
        <f t="shared" si="12"/>
        <v>#N/A</v>
      </c>
      <c r="V56" s="79">
        <f t="shared" si="13"/>
        <v>0</v>
      </c>
      <c r="W56" s="80" t="e">
        <f t="shared" si="14"/>
        <v>#DIV/0!</v>
      </c>
      <c r="X56" s="53" t="s">
        <v>45</v>
      </c>
      <c r="Y56" s="53"/>
    </row>
    <row r="57" spans="1:25">
      <c r="A57" s="124" t="s">
        <v>786</v>
      </c>
      <c r="B57" s="208" t="s">
        <v>54</v>
      </c>
      <c r="C57" s="205"/>
      <c r="D57" s="205"/>
      <c r="E57" s="205"/>
      <c r="F57" s="205"/>
      <c r="G57" s="206"/>
      <c r="H57" s="206"/>
      <c r="I57" s="206"/>
      <c r="J57" s="206"/>
      <c r="K57" s="207"/>
      <c r="L57" s="207"/>
      <c r="M57" s="207"/>
      <c r="N57" s="207"/>
      <c r="O57" s="191">
        <f>V57*'Audit Dimensions'!$O$2</f>
        <v>0</v>
      </c>
      <c r="P57" s="75">
        <f t="shared" si="8"/>
        <v>0</v>
      </c>
      <c r="Q57" s="76">
        <f t="shared" si="9"/>
        <v>0</v>
      </c>
      <c r="R57" s="185">
        <f t="shared" si="10"/>
        <v>0</v>
      </c>
      <c r="S57" s="62" t="e">
        <f>VLOOKUP(A57,[1]Index!$E:$M,8,)</f>
        <v>#N/A</v>
      </c>
      <c r="T57" s="77" t="e">
        <f t="shared" si="11"/>
        <v>#N/A</v>
      </c>
      <c r="U57" s="78" t="e">
        <f t="shared" si="12"/>
        <v>#N/A</v>
      </c>
      <c r="V57" s="79">
        <f t="shared" si="13"/>
        <v>0</v>
      </c>
      <c r="W57" s="80" t="e">
        <f t="shared" si="14"/>
        <v>#DIV/0!</v>
      </c>
      <c r="X57" s="53" t="s">
        <v>45</v>
      </c>
      <c r="Y57" s="53"/>
    </row>
    <row r="58" spans="1:25">
      <c r="A58" s="124" t="s">
        <v>787</v>
      </c>
      <c r="B58" s="208" t="s">
        <v>54</v>
      </c>
      <c r="C58" s="205"/>
      <c r="D58" s="205"/>
      <c r="E58" s="205"/>
      <c r="F58" s="205"/>
      <c r="G58" s="206"/>
      <c r="H58" s="206"/>
      <c r="I58" s="206"/>
      <c r="J58" s="206"/>
      <c r="K58" s="207"/>
      <c r="L58" s="207"/>
      <c r="M58" s="207"/>
      <c r="N58" s="207"/>
      <c r="O58" s="191">
        <f>V58*'Audit Dimensions'!$O$2</f>
        <v>0</v>
      </c>
      <c r="P58" s="75">
        <f t="shared" si="8"/>
        <v>0</v>
      </c>
      <c r="Q58" s="76">
        <f t="shared" si="9"/>
        <v>0</v>
      </c>
      <c r="R58" s="185">
        <f t="shared" si="10"/>
        <v>0</v>
      </c>
      <c r="S58" s="62" t="e">
        <f>VLOOKUP(A58,[1]Index!$E:$M,8,)</f>
        <v>#N/A</v>
      </c>
      <c r="T58" s="77" t="e">
        <f t="shared" si="11"/>
        <v>#N/A</v>
      </c>
      <c r="U58" s="78" t="e">
        <f t="shared" si="12"/>
        <v>#N/A</v>
      </c>
      <c r="V58" s="79">
        <f t="shared" si="13"/>
        <v>0</v>
      </c>
      <c r="W58" s="80" t="e">
        <f t="shared" si="14"/>
        <v>#DIV/0!</v>
      </c>
      <c r="X58" s="53" t="s">
        <v>45</v>
      </c>
      <c r="Y58" s="53"/>
    </row>
    <row r="59" spans="1:25">
      <c r="A59" s="124" t="s">
        <v>788</v>
      </c>
      <c r="B59" s="208" t="s">
        <v>54</v>
      </c>
      <c r="C59" s="205"/>
      <c r="D59" s="205"/>
      <c r="E59" s="205"/>
      <c r="F59" s="205"/>
      <c r="G59" s="206"/>
      <c r="H59" s="206"/>
      <c r="I59" s="206"/>
      <c r="J59" s="206"/>
      <c r="K59" s="207"/>
      <c r="L59" s="207"/>
      <c r="M59" s="207"/>
      <c r="N59" s="207"/>
      <c r="O59" s="191">
        <f>V59*'Audit Dimensions'!$O$2</f>
        <v>0</v>
      </c>
      <c r="P59" s="75">
        <f t="shared" si="8"/>
        <v>0</v>
      </c>
      <c r="Q59" s="76">
        <f t="shared" si="9"/>
        <v>0</v>
      </c>
      <c r="R59" s="185">
        <f t="shared" si="10"/>
        <v>0</v>
      </c>
      <c r="S59" s="62" t="e">
        <f>VLOOKUP(A59,[1]Index!$E:$M,8,)</f>
        <v>#N/A</v>
      </c>
      <c r="T59" s="77" t="e">
        <f t="shared" si="11"/>
        <v>#N/A</v>
      </c>
      <c r="U59" s="78" t="e">
        <f t="shared" si="12"/>
        <v>#N/A</v>
      </c>
      <c r="V59" s="79">
        <f t="shared" si="13"/>
        <v>0</v>
      </c>
      <c r="W59" s="80" t="e">
        <f t="shared" si="14"/>
        <v>#DIV/0!</v>
      </c>
      <c r="X59" s="53" t="s">
        <v>45</v>
      </c>
      <c r="Y59" s="53"/>
    </row>
    <row r="60" spans="1:25">
      <c r="A60" s="124" t="s">
        <v>789</v>
      </c>
      <c r="B60" s="208" t="s">
        <v>54</v>
      </c>
      <c r="C60" s="205"/>
      <c r="D60" s="205"/>
      <c r="E60" s="205"/>
      <c r="F60" s="205"/>
      <c r="G60" s="206"/>
      <c r="H60" s="206"/>
      <c r="I60" s="206"/>
      <c r="J60" s="206"/>
      <c r="K60" s="207"/>
      <c r="L60" s="207"/>
      <c r="M60" s="207"/>
      <c r="N60" s="207"/>
      <c r="O60" s="191">
        <f>V60*'Audit Dimensions'!$O$2</f>
        <v>0</v>
      </c>
      <c r="P60" s="75">
        <f t="shared" si="8"/>
        <v>0</v>
      </c>
      <c r="Q60" s="76">
        <f t="shared" si="9"/>
        <v>0</v>
      </c>
      <c r="R60" s="185">
        <f t="shared" si="10"/>
        <v>0</v>
      </c>
      <c r="S60" s="62" t="e">
        <f>VLOOKUP(A60,[1]Index!$E:$M,8,)</f>
        <v>#N/A</v>
      </c>
      <c r="T60" s="77" t="e">
        <f t="shared" si="11"/>
        <v>#N/A</v>
      </c>
      <c r="U60" s="78" t="e">
        <f t="shared" si="12"/>
        <v>#N/A</v>
      </c>
      <c r="V60" s="79">
        <f t="shared" si="13"/>
        <v>0</v>
      </c>
      <c r="W60" s="80" t="e">
        <f t="shared" si="14"/>
        <v>#DIV/0!</v>
      </c>
      <c r="X60" s="53" t="s">
        <v>45</v>
      </c>
      <c r="Y60" s="53"/>
    </row>
    <row r="61" spans="1:25">
      <c r="A61" s="124" t="s">
        <v>783</v>
      </c>
      <c r="B61" s="208" t="s">
        <v>56</v>
      </c>
      <c r="C61" s="205"/>
      <c r="D61" s="205"/>
      <c r="E61" s="205"/>
      <c r="F61" s="205"/>
      <c r="G61" s="206"/>
      <c r="H61" s="206"/>
      <c r="I61" s="206"/>
      <c r="J61" s="206"/>
      <c r="K61" s="207"/>
      <c r="L61" s="207"/>
      <c r="M61" s="207"/>
      <c r="N61" s="207"/>
      <c r="O61" s="191">
        <f>V61*'Audit Dimensions'!$O$2</f>
        <v>0</v>
      </c>
      <c r="P61" s="75">
        <f t="shared" si="8"/>
        <v>0</v>
      </c>
      <c r="Q61" s="76">
        <f t="shared" si="9"/>
        <v>0</v>
      </c>
      <c r="R61" s="185">
        <f t="shared" si="10"/>
        <v>0</v>
      </c>
      <c r="S61" s="62" t="e">
        <f>VLOOKUP(A61,[1]Index!$E:$M,8,)</f>
        <v>#N/A</v>
      </c>
      <c r="T61" s="77" t="e">
        <f t="shared" si="11"/>
        <v>#N/A</v>
      </c>
      <c r="U61" s="78" t="e">
        <f t="shared" si="12"/>
        <v>#N/A</v>
      </c>
      <c r="V61" s="79">
        <f t="shared" si="13"/>
        <v>0</v>
      </c>
      <c r="W61" s="80" t="e">
        <f t="shared" si="14"/>
        <v>#DIV/0!</v>
      </c>
      <c r="X61" s="53" t="s">
        <v>45</v>
      </c>
      <c r="Y61" s="53"/>
    </row>
    <row r="62" spans="1:25">
      <c r="A62" s="124" t="s">
        <v>64</v>
      </c>
      <c r="B62" s="208" t="s">
        <v>56</v>
      </c>
      <c r="C62" s="205"/>
      <c r="D62" s="205"/>
      <c r="E62" s="205"/>
      <c r="F62" s="205"/>
      <c r="G62" s="206"/>
      <c r="H62" s="206"/>
      <c r="I62" s="206"/>
      <c r="J62" s="206"/>
      <c r="K62" s="207"/>
      <c r="L62" s="207"/>
      <c r="M62" s="207"/>
      <c r="N62" s="207"/>
      <c r="O62" s="191">
        <f>V62*'Audit Dimensions'!$O$2</f>
        <v>0</v>
      </c>
      <c r="P62" s="75">
        <f t="shared" si="8"/>
        <v>0</v>
      </c>
      <c r="Q62" s="76">
        <f t="shared" si="9"/>
        <v>0</v>
      </c>
      <c r="R62" s="185">
        <f t="shared" si="10"/>
        <v>0</v>
      </c>
      <c r="S62" s="62">
        <f>VLOOKUP(A62,[1]Index!$E:$M,8,)</f>
        <v>14061.878569192024</v>
      </c>
      <c r="T62" s="77">
        <f t="shared" si="11"/>
        <v>14061.878569192024</v>
      </c>
      <c r="U62" s="78">
        <f t="shared" si="12"/>
        <v>1</v>
      </c>
      <c r="V62" s="79">
        <f t="shared" si="13"/>
        <v>0</v>
      </c>
      <c r="W62" s="80" t="e">
        <f t="shared" si="14"/>
        <v>#DIV/0!</v>
      </c>
      <c r="X62" s="53" t="s">
        <v>45</v>
      </c>
    </row>
    <row r="63" spans="1:25">
      <c r="A63" s="124" t="s">
        <v>67</v>
      </c>
      <c r="B63" s="208" t="s">
        <v>44</v>
      </c>
      <c r="C63" s="205"/>
      <c r="D63" s="205"/>
      <c r="E63" s="205"/>
      <c r="F63" s="205"/>
      <c r="G63" s="206"/>
      <c r="H63" s="206"/>
      <c r="I63" s="206"/>
      <c r="J63" s="206"/>
      <c r="K63" s="207"/>
      <c r="L63" s="207"/>
      <c r="M63" s="207"/>
      <c r="N63" s="207"/>
      <c r="O63" s="191">
        <f>V63*'Audit Dimensions'!$O$2</f>
        <v>0</v>
      </c>
      <c r="P63" s="75">
        <f t="shared" si="8"/>
        <v>0</v>
      </c>
      <c r="Q63" s="76">
        <f t="shared" si="9"/>
        <v>0</v>
      </c>
      <c r="R63" s="185">
        <f t="shared" si="10"/>
        <v>0</v>
      </c>
      <c r="S63" s="62" t="e">
        <f>VLOOKUP(A63,[1]Index!$E:$M,8,)</f>
        <v>#N/A</v>
      </c>
      <c r="T63" s="77" t="e">
        <f t="shared" si="11"/>
        <v>#N/A</v>
      </c>
      <c r="U63" s="78" t="e">
        <f t="shared" si="12"/>
        <v>#N/A</v>
      </c>
      <c r="V63" s="79">
        <f t="shared" si="13"/>
        <v>0</v>
      </c>
      <c r="W63" s="80" t="e">
        <f t="shared" si="14"/>
        <v>#DIV/0!</v>
      </c>
      <c r="X63" s="53" t="s">
        <v>45</v>
      </c>
      <c r="Y63" s="53"/>
    </row>
    <row r="64" spans="1:25">
      <c r="A64" s="124" t="s">
        <v>181</v>
      </c>
      <c r="B64" s="208" t="s">
        <v>56</v>
      </c>
      <c r="C64" s="205"/>
      <c r="D64" s="205"/>
      <c r="E64" s="205"/>
      <c r="F64" s="205"/>
      <c r="G64" s="206"/>
      <c r="H64" s="206"/>
      <c r="I64" s="206"/>
      <c r="J64" s="206"/>
      <c r="K64" s="207"/>
      <c r="L64" s="207"/>
      <c r="M64" s="207"/>
      <c r="N64" s="207"/>
      <c r="O64" s="191">
        <f>V64*'Audit Dimensions'!$O$2</f>
        <v>0</v>
      </c>
      <c r="P64" s="75">
        <f t="shared" si="8"/>
        <v>0</v>
      </c>
      <c r="Q64" s="76">
        <f t="shared" si="9"/>
        <v>0</v>
      </c>
      <c r="R64" s="185">
        <f t="shared" si="10"/>
        <v>0</v>
      </c>
      <c r="S64" s="62">
        <f>VLOOKUP(A64,[1]Index!$E:$M,8,)</f>
        <v>1769.1214419072107</v>
      </c>
      <c r="T64" s="77">
        <f t="shared" si="11"/>
        <v>1769.1214419072107</v>
      </c>
      <c r="U64" s="78">
        <f t="shared" si="12"/>
        <v>1</v>
      </c>
      <c r="V64" s="79">
        <f t="shared" si="13"/>
        <v>0</v>
      </c>
      <c r="W64" s="80" t="e">
        <f t="shared" si="14"/>
        <v>#DIV/0!</v>
      </c>
      <c r="X64" s="53" t="s">
        <v>45</v>
      </c>
      <c r="Y64" s="53"/>
    </row>
    <row r="65" spans="1:25">
      <c r="A65" s="124" t="s">
        <v>456</v>
      </c>
      <c r="B65" s="208" t="s">
        <v>56</v>
      </c>
      <c r="C65" s="205"/>
      <c r="D65" s="205"/>
      <c r="E65" s="205"/>
      <c r="F65" s="205"/>
      <c r="G65" s="206"/>
      <c r="H65" s="206"/>
      <c r="I65" s="206"/>
      <c r="J65" s="206"/>
      <c r="K65" s="207"/>
      <c r="L65" s="207"/>
      <c r="M65" s="207"/>
      <c r="N65" s="207"/>
      <c r="O65" s="191">
        <f>V65*'Audit Dimensions'!$O$2</f>
        <v>0</v>
      </c>
      <c r="P65" s="75">
        <f t="shared" si="8"/>
        <v>0</v>
      </c>
      <c r="Q65" s="76">
        <f t="shared" si="9"/>
        <v>0</v>
      </c>
      <c r="R65" s="185">
        <f t="shared" si="10"/>
        <v>0</v>
      </c>
      <c r="S65" s="62">
        <f>VLOOKUP(A65,[1]Index!$E:$M,8,)</f>
        <v>1623.0921568429865</v>
      </c>
      <c r="T65" s="77">
        <f t="shared" si="11"/>
        <v>1623.0921568429865</v>
      </c>
      <c r="U65" s="78">
        <f t="shared" si="12"/>
        <v>1</v>
      </c>
      <c r="V65" s="79">
        <f t="shared" si="13"/>
        <v>0</v>
      </c>
      <c r="W65" s="80" t="e">
        <f t="shared" si="14"/>
        <v>#DIV/0!</v>
      </c>
      <c r="X65" s="53" t="s">
        <v>45</v>
      </c>
      <c r="Y65" s="53"/>
    </row>
    <row r="66" spans="1:25">
      <c r="A66" s="124" t="s">
        <v>226</v>
      </c>
      <c r="B66" s="208" t="s">
        <v>56</v>
      </c>
      <c r="C66" s="205"/>
      <c r="D66" s="205"/>
      <c r="E66" s="205"/>
      <c r="F66" s="205"/>
      <c r="G66" s="206"/>
      <c r="H66" s="206"/>
      <c r="I66" s="206"/>
      <c r="J66" s="206"/>
      <c r="K66" s="207"/>
      <c r="L66" s="207"/>
      <c r="M66" s="207"/>
      <c r="N66" s="207"/>
      <c r="O66" s="191">
        <f>V66*'Audit Dimensions'!$O$2</f>
        <v>0</v>
      </c>
      <c r="P66" s="75">
        <f t="shared" si="8"/>
        <v>0</v>
      </c>
      <c r="Q66" s="76">
        <f t="shared" si="9"/>
        <v>0</v>
      </c>
      <c r="R66" s="185">
        <f t="shared" si="10"/>
        <v>0</v>
      </c>
      <c r="S66" s="62" t="e">
        <f>VLOOKUP(A66,[1]Index!$E:$M,8,)</f>
        <v>#N/A</v>
      </c>
      <c r="T66" s="77" t="e">
        <f t="shared" si="11"/>
        <v>#N/A</v>
      </c>
      <c r="U66" s="78" t="e">
        <f t="shared" si="12"/>
        <v>#N/A</v>
      </c>
      <c r="V66" s="79">
        <f t="shared" si="13"/>
        <v>0</v>
      </c>
      <c r="W66" s="80" t="e">
        <f t="shared" si="14"/>
        <v>#DIV/0!</v>
      </c>
      <c r="X66" s="53" t="s">
        <v>45</v>
      </c>
      <c r="Y66" s="53"/>
    </row>
    <row r="67" spans="1:25">
      <c r="A67" s="124" t="s">
        <v>241</v>
      </c>
      <c r="B67" s="208" t="s">
        <v>56</v>
      </c>
      <c r="C67" s="205"/>
      <c r="D67" s="205"/>
      <c r="E67" s="205"/>
      <c r="F67" s="205"/>
      <c r="G67" s="206"/>
      <c r="H67" s="206"/>
      <c r="I67" s="206"/>
      <c r="J67" s="206"/>
      <c r="K67" s="207"/>
      <c r="L67" s="207"/>
      <c r="M67" s="207"/>
      <c r="N67" s="207"/>
      <c r="O67" s="191">
        <f>V67*'Audit Dimensions'!$O$2</f>
        <v>0</v>
      </c>
      <c r="P67" s="75">
        <f t="shared" si="8"/>
        <v>0</v>
      </c>
      <c r="Q67" s="76">
        <f t="shared" si="9"/>
        <v>0</v>
      </c>
      <c r="R67" s="185">
        <f t="shared" si="10"/>
        <v>0</v>
      </c>
      <c r="S67" s="62">
        <f>VLOOKUP(A67,[1]Index!$E:$M,8,)</f>
        <v>4987.4665149473858</v>
      </c>
      <c r="T67" s="77">
        <f t="shared" si="11"/>
        <v>4987.4665149473858</v>
      </c>
      <c r="U67" s="78">
        <f t="shared" si="12"/>
        <v>1</v>
      </c>
      <c r="V67" s="79">
        <f t="shared" si="13"/>
        <v>0</v>
      </c>
      <c r="W67" s="80" t="e">
        <f t="shared" si="14"/>
        <v>#DIV/0!</v>
      </c>
      <c r="X67" s="53" t="s">
        <v>45</v>
      </c>
      <c r="Y67" s="53"/>
    </row>
    <row r="68" spans="1:25">
      <c r="A68" s="124" t="s">
        <v>243</v>
      </c>
      <c r="B68" s="208" t="s">
        <v>44</v>
      </c>
      <c r="C68" s="205"/>
      <c r="D68" s="205"/>
      <c r="E68" s="205"/>
      <c r="F68" s="205"/>
      <c r="G68" s="206"/>
      <c r="H68" s="206"/>
      <c r="I68" s="206"/>
      <c r="J68" s="206"/>
      <c r="K68" s="207"/>
      <c r="L68" s="207"/>
      <c r="M68" s="207"/>
      <c r="N68" s="207"/>
      <c r="O68" s="191">
        <f>V68*'Audit Dimensions'!$O$2</f>
        <v>0</v>
      </c>
      <c r="P68" s="75">
        <f t="shared" si="8"/>
        <v>0</v>
      </c>
      <c r="Q68" s="76">
        <f t="shared" si="9"/>
        <v>0</v>
      </c>
      <c r="R68" s="185">
        <f t="shared" si="10"/>
        <v>0</v>
      </c>
      <c r="S68" s="62">
        <f>VLOOKUP(A68,[1]Index!$E:$M,8,)</f>
        <v>46233.298290795996</v>
      </c>
      <c r="T68" s="77">
        <f t="shared" si="11"/>
        <v>46233.298290795996</v>
      </c>
      <c r="U68" s="78">
        <f t="shared" si="12"/>
        <v>1</v>
      </c>
      <c r="V68" s="79">
        <f t="shared" si="13"/>
        <v>0</v>
      </c>
      <c r="W68" s="80" t="e">
        <f t="shared" si="14"/>
        <v>#DIV/0!</v>
      </c>
      <c r="X68" s="53" t="s">
        <v>45</v>
      </c>
      <c r="Y68" s="53"/>
    </row>
    <row r="69" spans="1:25">
      <c r="A69" s="124" t="s">
        <v>262</v>
      </c>
      <c r="B69" s="208" t="s">
        <v>56</v>
      </c>
      <c r="C69" s="205"/>
      <c r="D69" s="205"/>
      <c r="E69" s="205"/>
      <c r="F69" s="205"/>
      <c r="G69" s="206"/>
      <c r="H69" s="206"/>
      <c r="I69" s="206"/>
      <c r="J69" s="206"/>
      <c r="K69" s="207"/>
      <c r="L69" s="207"/>
      <c r="M69" s="207"/>
      <c r="N69" s="207"/>
      <c r="O69" s="191">
        <f>V69*'Audit Dimensions'!$O$2</f>
        <v>0</v>
      </c>
      <c r="P69" s="75">
        <f t="shared" si="8"/>
        <v>0</v>
      </c>
      <c r="Q69" s="76">
        <f t="shared" si="9"/>
        <v>0</v>
      </c>
      <c r="R69" s="185">
        <f t="shared" si="10"/>
        <v>0</v>
      </c>
      <c r="S69" s="62">
        <f>VLOOKUP(A69,[1]Index!$E:$M,8,)</f>
        <v>28834.981354664003</v>
      </c>
      <c r="T69" s="77">
        <f t="shared" si="11"/>
        <v>28834.981354664003</v>
      </c>
      <c r="U69" s="78">
        <f t="shared" si="12"/>
        <v>1</v>
      </c>
      <c r="V69" s="79">
        <f t="shared" si="13"/>
        <v>0</v>
      </c>
      <c r="W69" s="80" t="e">
        <f t="shared" si="14"/>
        <v>#DIV/0!</v>
      </c>
      <c r="X69" s="53" t="s">
        <v>45</v>
      </c>
      <c r="Y69" s="53"/>
    </row>
    <row r="70" spans="1:25">
      <c r="A70" s="124" t="s">
        <v>275</v>
      </c>
      <c r="B70" s="208" t="s">
        <v>54</v>
      </c>
      <c r="C70" s="205"/>
      <c r="D70" s="205"/>
      <c r="E70" s="205"/>
      <c r="F70" s="205"/>
      <c r="G70" s="206"/>
      <c r="H70" s="206"/>
      <c r="I70" s="206"/>
      <c r="J70" s="206"/>
      <c r="K70" s="207"/>
      <c r="L70" s="207"/>
      <c r="M70" s="207"/>
      <c r="N70" s="207"/>
      <c r="O70" s="191">
        <f>V70*'Audit Dimensions'!$O$2</f>
        <v>0</v>
      </c>
      <c r="P70" s="75">
        <f t="shared" si="8"/>
        <v>0</v>
      </c>
      <c r="Q70" s="76">
        <f t="shared" si="9"/>
        <v>0</v>
      </c>
      <c r="R70" s="185">
        <f t="shared" si="10"/>
        <v>0</v>
      </c>
      <c r="S70" s="62">
        <f>VLOOKUP(A70,[1]Index!$E:$M,8,)</f>
        <v>8644.3611512958942</v>
      </c>
      <c r="T70" s="77">
        <f t="shared" si="11"/>
        <v>8644.3611512958942</v>
      </c>
      <c r="U70" s="78">
        <f t="shared" si="12"/>
        <v>1</v>
      </c>
      <c r="V70" s="79">
        <f t="shared" si="13"/>
        <v>0</v>
      </c>
      <c r="W70" s="80" t="e">
        <f t="shared" si="14"/>
        <v>#DIV/0!</v>
      </c>
      <c r="X70" s="53" t="s">
        <v>45</v>
      </c>
      <c r="Y70" s="53"/>
    </row>
    <row r="71" spans="1:25">
      <c r="A71" s="124" t="s">
        <v>234</v>
      </c>
      <c r="B71" s="208" t="s">
        <v>56</v>
      </c>
      <c r="C71" s="205"/>
      <c r="D71" s="205"/>
      <c r="E71" s="205"/>
      <c r="F71" s="205"/>
      <c r="G71" s="206"/>
      <c r="H71" s="206"/>
      <c r="I71" s="206"/>
      <c r="J71" s="206"/>
      <c r="K71" s="207"/>
      <c r="L71" s="207"/>
      <c r="M71" s="207"/>
      <c r="N71" s="207"/>
      <c r="O71" s="191">
        <f>V71*'Audit Dimensions'!$O$2</f>
        <v>0</v>
      </c>
      <c r="P71" s="75">
        <f t="shared" si="8"/>
        <v>0</v>
      </c>
      <c r="Q71" s="76">
        <f t="shared" si="9"/>
        <v>0</v>
      </c>
      <c r="R71" s="185">
        <f t="shared" si="10"/>
        <v>0</v>
      </c>
      <c r="S71" s="62">
        <f>VLOOKUP(A71,[1]Index!$E:$M,8,)</f>
        <v>3482.8327095999994</v>
      </c>
      <c r="T71" s="77">
        <f t="shared" si="11"/>
        <v>3482.8327095999994</v>
      </c>
      <c r="U71" s="78">
        <f t="shared" si="12"/>
        <v>1</v>
      </c>
      <c r="V71" s="79">
        <f t="shared" si="13"/>
        <v>0</v>
      </c>
      <c r="W71" s="80" t="e">
        <f t="shared" si="14"/>
        <v>#DIV/0!</v>
      </c>
      <c r="X71" s="53" t="s">
        <v>45</v>
      </c>
      <c r="Y71" s="53"/>
    </row>
    <row r="72" spans="1:25">
      <c r="A72" s="124" t="s">
        <v>210</v>
      </c>
      <c r="B72" s="208" t="s">
        <v>56</v>
      </c>
      <c r="C72" s="205">
        <v>0</v>
      </c>
      <c r="D72" s="205">
        <v>0</v>
      </c>
      <c r="E72" s="205">
        <v>0</v>
      </c>
      <c r="F72" s="205">
        <v>0</v>
      </c>
      <c r="G72" s="206"/>
      <c r="H72" s="206"/>
      <c r="I72" s="206"/>
      <c r="J72" s="206"/>
      <c r="K72" s="207"/>
      <c r="L72" s="207"/>
      <c r="M72" s="207"/>
      <c r="N72" s="207"/>
      <c r="O72" s="191">
        <f>V72*'Audit Dimensions'!$O$2</f>
        <v>0</v>
      </c>
      <c r="P72" s="75">
        <f t="shared" si="8"/>
        <v>0</v>
      </c>
      <c r="Q72" s="76">
        <f t="shared" si="9"/>
        <v>0</v>
      </c>
      <c r="R72" s="185">
        <f t="shared" si="10"/>
        <v>0</v>
      </c>
      <c r="S72" s="62" t="e">
        <f>VLOOKUP(A72,[1]Index!$E:$M,8,)</f>
        <v>#N/A</v>
      </c>
      <c r="T72" s="77" t="e">
        <f t="shared" si="11"/>
        <v>#N/A</v>
      </c>
      <c r="U72" s="78" t="e">
        <f t="shared" si="12"/>
        <v>#N/A</v>
      </c>
      <c r="V72" s="79">
        <f t="shared" si="13"/>
        <v>0</v>
      </c>
      <c r="W72" s="80" t="e">
        <f t="shared" si="14"/>
        <v>#DIV/0!</v>
      </c>
      <c r="X72" s="53" t="s">
        <v>45</v>
      </c>
      <c r="Y72" s="53"/>
    </row>
    <row r="73" spans="1:25">
      <c r="A73" s="124" t="s">
        <v>200</v>
      </c>
      <c r="B73" s="208" t="s">
        <v>56</v>
      </c>
      <c r="C73" s="205"/>
      <c r="D73" s="205"/>
      <c r="E73" s="205"/>
      <c r="F73" s="205"/>
      <c r="G73" s="206"/>
      <c r="H73" s="206"/>
      <c r="I73" s="206"/>
      <c r="J73" s="206"/>
      <c r="K73" s="207"/>
      <c r="L73" s="207"/>
      <c r="M73" s="207"/>
      <c r="N73" s="207"/>
      <c r="O73" s="191">
        <f>V73*'Audit Dimensions'!$O$2</f>
        <v>0</v>
      </c>
      <c r="P73" s="75">
        <f t="shared" si="8"/>
        <v>0</v>
      </c>
      <c r="Q73" s="76">
        <f t="shared" si="9"/>
        <v>0</v>
      </c>
      <c r="R73" s="185">
        <f t="shared" si="10"/>
        <v>0</v>
      </c>
      <c r="S73" s="62">
        <f>VLOOKUP(A73,[1]Index!$E:$M,8,)</f>
        <v>3875.074100832428</v>
      </c>
      <c r="T73" s="77">
        <f t="shared" si="11"/>
        <v>3875.074100832428</v>
      </c>
      <c r="U73" s="78">
        <f t="shared" si="12"/>
        <v>1</v>
      </c>
      <c r="V73" s="79">
        <f t="shared" si="13"/>
        <v>0</v>
      </c>
      <c r="W73" s="80" t="e">
        <f t="shared" si="14"/>
        <v>#DIV/0!</v>
      </c>
      <c r="X73" s="53" t="s">
        <v>45</v>
      </c>
      <c r="Y73" s="53"/>
    </row>
    <row r="74" spans="1:25">
      <c r="A74" s="124" t="s">
        <v>166</v>
      </c>
      <c r="B74" s="208" t="s">
        <v>56</v>
      </c>
      <c r="C74" s="205"/>
      <c r="D74" s="205"/>
      <c r="E74" s="205"/>
      <c r="F74" s="205"/>
      <c r="G74" s="206"/>
      <c r="H74" s="206"/>
      <c r="I74" s="206"/>
      <c r="J74" s="206"/>
      <c r="K74" s="207"/>
      <c r="L74" s="207"/>
      <c r="M74" s="207"/>
      <c r="N74" s="207"/>
      <c r="O74" s="191">
        <f>V74*'Audit Dimensions'!$O$2</f>
        <v>0</v>
      </c>
      <c r="P74" s="75">
        <f t="shared" si="8"/>
        <v>0</v>
      </c>
      <c r="Q74" s="76">
        <f t="shared" si="9"/>
        <v>0</v>
      </c>
      <c r="R74" s="185">
        <f t="shared" si="10"/>
        <v>0</v>
      </c>
      <c r="S74" s="62" t="e">
        <f>VLOOKUP(A74,[1]Index!$E:$M,8,)</f>
        <v>#N/A</v>
      </c>
      <c r="T74" s="77" t="e">
        <f t="shared" si="11"/>
        <v>#N/A</v>
      </c>
      <c r="U74" s="78" t="e">
        <f t="shared" si="12"/>
        <v>#N/A</v>
      </c>
      <c r="V74" s="79">
        <f t="shared" si="13"/>
        <v>0</v>
      </c>
      <c r="W74" s="80" t="e">
        <f t="shared" si="14"/>
        <v>#DIV/0!</v>
      </c>
      <c r="X74" s="53" t="s">
        <v>45</v>
      </c>
      <c r="Y74" s="53"/>
    </row>
    <row r="75" spans="1:25">
      <c r="A75" s="124" t="s">
        <v>387</v>
      </c>
      <c r="B75" s="208" t="s">
        <v>56</v>
      </c>
      <c r="C75" s="205"/>
      <c r="D75" s="205"/>
      <c r="E75" s="205"/>
      <c r="F75" s="205"/>
      <c r="G75" s="206"/>
      <c r="H75" s="206"/>
      <c r="I75" s="206"/>
      <c r="J75" s="206"/>
      <c r="K75" s="207"/>
      <c r="L75" s="207"/>
      <c r="M75" s="207"/>
      <c r="N75" s="207"/>
      <c r="O75" s="191">
        <f>V75*'Audit Dimensions'!$O$2</f>
        <v>0</v>
      </c>
      <c r="P75" s="75">
        <f t="shared" si="8"/>
        <v>0</v>
      </c>
      <c r="Q75" s="76">
        <f t="shared" si="9"/>
        <v>0</v>
      </c>
      <c r="R75" s="185">
        <f t="shared" si="10"/>
        <v>0</v>
      </c>
      <c r="S75" s="62">
        <f>VLOOKUP(A75,[1]Index!$E:$M,8,)</f>
        <v>4907.6389160776507</v>
      </c>
      <c r="T75" s="77">
        <f t="shared" si="11"/>
        <v>4907.6389160776507</v>
      </c>
      <c r="U75" s="78">
        <f t="shared" si="12"/>
        <v>1</v>
      </c>
      <c r="V75" s="79">
        <f t="shared" si="13"/>
        <v>0</v>
      </c>
      <c r="W75" s="80" t="e">
        <f t="shared" si="14"/>
        <v>#DIV/0!</v>
      </c>
      <c r="X75" s="53" t="s">
        <v>45</v>
      </c>
      <c r="Y75" s="53"/>
    </row>
    <row r="76" spans="1:25">
      <c r="A76" s="124" t="s">
        <v>388</v>
      </c>
      <c r="B76" s="208" t="s">
        <v>56</v>
      </c>
      <c r="C76" s="205"/>
      <c r="D76" s="205"/>
      <c r="E76" s="205"/>
      <c r="F76" s="205"/>
      <c r="G76" s="206"/>
      <c r="H76" s="206"/>
      <c r="I76" s="206"/>
      <c r="J76" s="206"/>
      <c r="K76" s="207"/>
      <c r="L76" s="207"/>
      <c r="M76" s="207"/>
      <c r="N76" s="207"/>
      <c r="O76" s="191">
        <f>V76*'Audit Dimensions'!$O$2</f>
        <v>0</v>
      </c>
      <c r="P76" s="75">
        <f t="shared" si="8"/>
        <v>0</v>
      </c>
      <c r="Q76" s="76">
        <f t="shared" si="9"/>
        <v>0</v>
      </c>
      <c r="R76" s="185">
        <f t="shared" si="10"/>
        <v>0</v>
      </c>
      <c r="S76" s="62" t="e">
        <f>VLOOKUP(A76,[1]Index!$E:$M,8,)</f>
        <v>#N/A</v>
      </c>
      <c r="T76" s="77" t="e">
        <f t="shared" si="11"/>
        <v>#N/A</v>
      </c>
      <c r="U76" s="78" t="e">
        <f t="shared" si="12"/>
        <v>#N/A</v>
      </c>
      <c r="V76" s="79">
        <f t="shared" si="13"/>
        <v>0</v>
      </c>
      <c r="W76" s="80" t="e">
        <f t="shared" si="14"/>
        <v>#DIV/0!</v>
      </c>
      <c r="X76" s="53" t="s">
        <v>45</v>
      </c>
      <c r="Y76" s="53"/>
    </row>
    <row r="77" spans="1:25">
      <c r="A77" s="124" t="s">
        <v>128</v>
      </c>
      <c r="B77" s="208" t="s">
        <v>56</v>
      </c>
      <c r="C77" s="205"/>
      <c r="D77" s="205"/>
      <c r="E77" s="205"/>
      <c r="F77" s="205"/>
      <c r="G77" s="206"/>
      <c r="H77" s="206"/>
      <c r="I77" s="206"/>
      <c r="J77" s="206"/>
      <c r="K77" s="207"/>
      <c r="L77" s="207"/>
      <c r="M77" s="207"/>
      <c r="N77" s="207"/>
      <c r="O77" s="191">
        <f>V77*'Audit Dimensions'!$O$2</f>
        <v>0</v>
      </c>
      <c r="P77" s="75">
        <f t="shared" si="8"/>
        <v>0</v>
      </c>
      <c r="Q77" s="76">
        <f t="shared" si="9"/>
        <v>0</v>
      </c>
      <c r="R77" s="185">
        <f t="shared" si="10"/>
        <v>0</v>
      </c>
      <c r="S77" s="62" t="e">
        <f>VLOOKUP(A77,[1]Index!$E:$M,8,)</f>
        <v>#N/A</v>
      </c>
      <c r="T77" s="77" t="e">
        <f t="shared" si="11"/>
        <v>#N/A</v>
      </c>
      <c r="U77" s="78" t="e">
        <f t="shared" si="12"/>
        <v>#N/A</v>
      </c>
      <c r="V77" s="79">
        <f t="shared" si="13"/>
        <v>0</v>
      </c>
      <c r="W77" s="80" t="e">
        <f t="shared" si="14"/>
        <v>#DIV/0!</v>
      </c>
      <c r="X77" s="53" t="s">
        <v>45</v>
      </c>
      <c r="Y77" s="53"/>
    </row>
    <row r="78" spans="1:25">
      <c r="A78" s="124" t="s">
        <v>129</v>
      </c>
      <c r="B78" s="208" t="s">
        <v>56</v>
      </c>
      <c r="C78" s="205"/>
      <c r="D78" s="205"/>
      <c r="E78" s="205"/>
      <c r="F78" s="205"/>
      <c r="G78" s="206"/>
      <c r="H78" s="206"/>
      <c r="I78" s="206"/>
      <c r="J78" s="206"/>
      <c r="K78" s="207"/>
      <c r="L78" s="207"/>
      <c r="M78" s="207"/>
      <c r="N78" s="207"/>
      <c r="O78" s="191">
        <f>V78*'Audit Dimensions'!$O$2</f>
        <v>0</v>
      </c>
      <c r="P78" s="75">
        <f t="shared" si="8"/>
        <v>0</v>
      </c>
      <c r="Q78" s="76">
        <f t="shared" si="9"/>
        <v>0</v>
      </c>
      <c r="R78" s="185">
        <f t="shared" si="10"/>
        <v>0</v>
      </c>
      <c r="S78" s="62" t="e">
        <f>VLOOKUP(A78,[1]Index!$E:$M,8,)</f>
        <v>#N/A</v>
      </c>
      <c r="T78" s="77" t="e">
        <f t="shared" si="11"/>
        <v>#N/A</v>
      </c>
      <c r="U78" s="78" t="e">
        <f t="shared" si="12"/>
        <v>#N/A</v>
      </c>
      <c r="V78" s="79">
        <f t="shared" si="13"/>
        <v>0</v>
      </c>
      <c r="W78" s="80" t="e">
        <f t="shared" si="14"/>
        <v>#DIV/0!</v>
      </c>
      <c r="X78" s="53" t="s">
        <v>45</v>
      </c>
      <c r="Y78" s="53"/>
    </row>
    <row r="79" spans="1:25">
      <c r="A79" s="124" t="s">
        <v>386</v>
      </c>
      <c r="B79" s="208" t="s">
        <v>56</v>
      </c>
      <c r="C79" s="205"/>
      <c r="D79" s="205"/>
      <c r="E79" s="205"/>
      <c r="F79" s="205"/>
      <c r="G79" s="206"/>
      <c r="H79" s="206"/>
      <c r="I79" s="206"/>
      <c r="J79" s="206"/>
      <c r="K79" s="207"/>
      <c r="L79" s="207"/>
      <c r="M79" s="207"/>
      <c r="N79" s="207"/>
      <c r="O79" s="191">
        <f>V79*'Audit Dimensions'!$O$2</f>
        <v>0</v>
      </c>
      <c r="P79" s="75">
        <f t="shared" si="8"/>
        <v>0</v>
      </c>
      <c r="Q79" s="76">
        <f t="shared" si="9"/>
        <v>0</v>
      </c>
      <c r="R79" s="185">
        <f t="shared" si="10"/>
        <v>0</v>
      </c>
      <c r="S79" s="62" t="e">
        <f>VLOOKUP(A79,[1]Index!$E:$M,8,)</f>
        <v>#N/A</v>
      </c>
      <c r="T79" s="77" t="e">
        <f t="shared" si="11"/>
        <v>#N/A</v>
      </c>
      <c r="U79" s="78" t="e">
        <f t="shared" si="12"/>
        <v>#N/A</v>
      </c>
      <c r="V79" s="79">
        <f t="shared" si="13"/>
        <v>0</v>
      </c>
      <c r="W79" s="80" t="e">
        <f t="shared" si="14"/>
        <v>#DIV/0!</v>
      </c>
      <c r="X79" s="53" t="s">
        <v>45</v>
      </c>
      <c r="Y79" s="53"/>
    </row>
    <row r="80" spans="1:25">
      <c r="A80" s="124" t="s">
        <v>791</v>
      </c>
      <c r="B80" s="208" t="s">
        <v>56</v>
      </c>
      <c r="C80" s="205"/>
      <c r="D80" s="205"/>
      <c r="E80" s="205"/>
      <c r="F80" s="205"/>
      <c r="G80" s="206"/>
      <c r="H80" s="206"/>
      <c r="I80" s="206"/>
      <c r="J80" s="206"/>
      <c r="K80" s="207"/>
      <c r="L80" s="207"/>
      <c r="M80" s="207"/>
      <c r="N80" s="207"/>
      <c r="O80" s="191">
        <f>V80*'Audit Dimensions'!$O$2</f>
        <v>0</v>
      </c>
      <c r="P80" s="75">
        <f t="shared" si="8"/>
        <v>0</v>
      </c>
      <c r="Q80" s="76">
        <f t="shared" si="9"/>
        <v>0</v>
      </c>
      <c r="R80" s="185">
        <f t="shared" si="10"/>
        <v>0</v>
      </c>
      <c r="S80" s="62" t="e">
        <f>VLOOKUP(A80,[1]Index!$E:$M,8,)</f>
        <v>#N/A</v>
      </c>
      <c r="T80" s="77" t="e">
        <f t="shared" si="11"/>
        <v>#N/A</v>
      </c>
      <c r="U80" s="78" t="e">
        <f t="shared" si="12"/>
        <v>#N/A</v>
      </c>
      <c r="V80" s="79">
        <f t="shared" si="13"/>
        <v>0</v>
      </c>
      <c r="W80" s="80" t="e">
        <f t="shared" si="14"/>
        <v>#DIV/0!</v>
      </c>
      <c r="X80" s="53" t="s">
        <v>45</v>
      </c>
      <c r="Y80" s="53"/>
    </row>
  </sheetData>
  <mergeCells count="6">
    <mergeCell ref="Z1:AC1"/>
    <mergeCell ref="C1:H1"/>
    <mergeCell ref="I1:L1"/>
    <mergeCell ref="N1:Q1"/>
    <mergeCell ref="S1:T1"/>
    <mergeCell ref="U1:W1"/>
  </mergeCells>
  <conditionalFormatting sqref="A1:A3">
    <cfRule type="duplicateValues" dxfId="88" priority="105"/>
  </conditionalFormatting>
  <conditionalFormatting sqref="A4:A5">
    <cfRule type="duplicateValues" dxfId="87" priority="104"/>
  </conditionalFormatting>
  <conditionalFormatting sqref="A6:A7">
    <cfRule type="duplicateValues" dxfId="86" priority="103"/>
  </conditionalFormatting>
  <conditionalFormatting sqref="A8:A9">
    <cfRule type="duplicateValues" dxfId="85" priority="102"/>
  </conditionalFormatting>
  <conditionalFormatting sqref="A10">
    <cfRule type="duplicateValues" dxfId="84" priority="100"/>
  </conditionalFormatting>
  <conditionalFormatting sqref="A11:A12">
    <cfRule type="duplicateValues" dxfId="83" priority="98"/>
  </conditionalFormatting>
  <conditionalFormatting sqref="A13">
    <cfRule type="duplicateValues" dxfId="82" priority="96"/>
  </conditionalFormatting>
  <conditionalFormatting sqref="A14:A15">
    <cfRule type="duplicateValues" dxfId="81" priority="94"/>
  </conditionalFormatting>
  <conditionalFormatting sqref="A16">
    <cfRule type="duplicateValues" dxfId="80" priority="92"/>
  </conditionalFormatting>
  <conditionalFormatting sqref="A17">
    <cfRule type="duplicateValues" dxfId="79" priority="90"/>
    <cfRule type="duplicateValues" dxfId="78" priority="89"/>
  </conditionalFormatting>
  <conditionalFormatting sqref="A18">
    <cfRule type="duplicateValues" dxfId="77" priority="87"/>
  </conditionalFormatting>
  <conditionalFormatting sqref="A19">
    <cfRule type="duplicateValues" dxfId="76" priority="85"/>
    <cfRule type="duplicateValues" dxfId="75" priority="84"/>
  </conditionalFormatting>
  <conditionalFormatting sqref="A20">
    <cfRule type="duplicateValues" dxfId="74" priority="82"/>
    <cfRule type="duplicateValues" dxfId="73" priority="81"/>
  </conditionalFormatting>
  <conditionalFormatting sqref="A20:A25">
    <cfRule type="duplicateValues" dxfId="72" priority="80"/>
  </conditionalFormatting>
  <conditionalFormatting sqref="A28">
    <cfRule type="duplicateValues" dxfId="71" priority="77"/>
  </conditionalFormatting>
  <conditionalFormatting sqref="A29">
    <cfRule type="duplicateValues" dxfId="70" priority="75"/>
  </conditionalFormatting>
  <conditionalFormatting sqref="A30">
    <cfRule type="duplicateValues" dxfId="69" priority="73"/>
  </conditionalFormatting>
  <conditionalFormatting sqref="A31">
    <cfRule type="duplicateValues" dxfId="68" priority="71"/>
  </conditionalFormatting>
  <conditionalFormatting sqref="A32">
    <cfRule type="duplicateValues" dxfId="67" priority="69"/>
  </conditionalFormatting>
  <conditionalFormatting sqref="A33">
    <cfRule type="duplicateValues" dxfId="66" priority="67"/>
  </conditionalFormatting>
  <conditionalFormatting sqref="A34">
    <cfRule type="duplicateValues" dxfId="65" priority="65"/>
  </conditionalFormatting>
  <conditionalFormatting sqref="A35:A36">
    <cfRule type="duplicateValues" dxfId="64" priority="63"/>
  </conditionalFormatting>
  <conditionalFormatting sqref="A37:A38">
    <cfRule type="duplicateValues" dxfId="63" priority="61"/>
  </conditionalFormatting>
  <conditionalFormatting sqref="A39:A43">
    <cfRule type="duplicateValues" dxfId="62" priority="59"/>
  </conditionalFormatting>
  <conditionalFormatting sqref="A44:A45">
    <cfRule type="duplicateValues" dxfId="61" priority="57"/>
  </conditionalFormatting>
  <conditionalFormatting sqref="A46:A47">
    <cfRule type="duplicateValues" dxfId="60" priority="55"/>
  </conditionalFormatting>
  <conditionalFormatting sqref="A48">
    <cfRule type="duplicateValues" dxfId="59" priority="53"/>
  </conditionalFormatting>
  <conditionalFormatting sqref="A49">
    <cfRule type="duplicateValues" dxfId="58" priority="51"/>
  </conditionalFormatting>
  <conditionalFormatting sqref="A50">
    <cfRule type="duplicateValues" dxfId="57" priority="49"/>
  </conditionalFormatting>
  <conditionalFormatting sqref="A51">
    <cfRule type="duplicateValues" dxfId="56" priority="47"/>
  </conditionalFormatting>
  <conditionalFormatting sqref="A52">
    <cfRule type="duplicateValues" dxfId="55" priority="45"/>
  </conditionalFormatting>
  <conditionalFormatting sqref="A53:A60">
    <cfRule type="duplicateValues" dxfId="54" priority="43"/>
  </conditionalFormatting>
  <conditionalFormatting sqref="A61">
    <cfRule type="duplicateValues" dxfId="53" priority="41"/>
  </conditionalFormatting>
  <conditionalFormatting sqref="A62">
    <cfRule type="duplicateValues" dxfId="52" priority="39"/>
  </conditionalFormatting>
  <conditionalFormatting sqref="A63">
    <cfRule type="duplicateValues" dxfId="51" priority="37"/>
  </conditionalFormatting>
  <conditionalFormatting sqref="A64">
    <cfRule type="duplicateValues" dxfId="50" priority="35"/>
  </conditionalFormatting>
  <conditionalFormatting sqref="A65">
    <cfRule type="duplicateValues" dxfId="49" priority="33"/>
  </conditionalFormatting>
  <conditionalFormatting sqref="A66">
    <cfRule type="duplicateValues" dxfId="48" priority="31"/>
  </conditionalFormatting>
  <conditionalFormatting sqref="A67">
    <cfRule type="duplicateValues" dxfId="47" priority="29"/>
  </conditionalFormatting>
  <conditionalFormatting sqref="A68">
    <cfRule type="duplicateValues" dxfId="46" priority="27"/>
  </conditionalFormatting>
  <conditionalFormatting sqref="A69">
    <cfRule type="duplicateValues" dxfId="45" priority="21"/>
  </conditionalFormatting>
  <conditionalFormatting sqref="A70">
    <cfRule type="duplicateValues" dxfId="44" priority="18"/>
  </conditionalFormatting>
  <conditionalFormatting sqref="A71">
    <cfRule type="duplicateValues" dxfId="43" priority="16"/>
  </conditionalFormatting>
  <conditionalFormatting sqref="A72">
    <cfRule type="duplicateValues" dxfId="42" priority="14"/>
  </conditionalFormatting>
  <conditionalFormatting sqref="A73">
    <cfRule type="duplicateValues" dxfId="41" priority="12"/>
  </conditionalFormatting>
  <conditionalFormatting sqref="A74">
    <cfRule type="duplicateValues" dxfId="40" priority="10"/>
  </conditionalFormatting>
  <conditionalFormatting sqref="A75:A76">
    <cfRule type="duplicateValues" dxfId="39" priority="8"/>
  </conditionalFormatting>
  <conditionalFormatting sqref="A77:A78">
    <cfRule type="duplicateValues" dxfId="38" priority="6"/>
  </conditionalFormatting>
  <conditionalFormatting sqref="A79">
    <cfRule type="duplicateValues" dxfId="37" priority="4"/>
  </conditionalFormatting>
  <conditionalFormatting sqref="A80">
    <cfRule type="duplicateValues" dxfId="36" priority="2"/>
  </conditionalFormatting>
  <conditionalFormatting sqref="W35:W80">
    <cfRule type="cellIs" dxfId="35" priority="1" operator="lessThan">
      <formula>6</formula>
    </cfRule>
  </conditionalFormatting>
  <conditionalFormatting sqref="X8:X34">
    <cfRule type="cellIs" dxfId="34" priority="64" operator="lessThan">
      <formula>6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BD17-D1D7-4F5F-B0C2-977309F2A48A}">
  <dimension ref="A1:W301"/>
  <sheetViews>
    <sheetView workbookViewId="0">
      <pane ySplit="3" topLeftCell="A7" activePane="bottomLeft" state="frozen"/>
      <selection pane="bottomLeft"/>
    </sheetView>
  </sheetViews>
  <sheetFormatPr defaultColWidth="8.85546875" defaultRowHeight="12.75"/>
  <cols>
    <col min="1" max="1" width="13.85546875" style="125" customWidth="1"/>
    <col min="2" max="2" width="6.42578125" style="59" customWidth="1"/>
    <col min="3" max="5" width="7" style="61" customWidth="1"/>
    <col min="6" max="6" width="10.5703125" style="127" customWidth="1"/>
    <col min="7" max="9" width="8" style="86" customWidth="1"/>
    <col min="10" max="10" width="9.5703125" style="87" bestFit="1" customWidth="1"/>
    <col min="11" max="11" width="7.85546875" style="88" bestFit="1" customWidth="1"/>
    <col min="12" max="13" width="6.85546875" style="88" customWidth="1"/>
    <col min="14" max="14" width="10.28515625" style="88" bestFit="1" customWidth="1"/>
    <col min="15" max="15" width="9" style="89" customWidth="1"/>
    <col min="16" max="16" width="10.140625" style="89" customWidth="1"/>
    <col min="17" max="18" width="9" style="89" customWidth="1"/>
    <col min="19" max="19" width="8.5703125" style="90" bestFit="1" customWidth="1"/>
    <col min="20" max="20" width="9.28515625" style="91" bestFit="1" customWidth="1"/>
    <col min="21" max="21" width="8.140625" style="91" bestFit="1" customWidth="1"/>
    <col min="22" max="22" width="6.7109375" style="92" customWidth="1"/>
    <col min="23" max="23" width="8.5703125" style="93" customWidth="1"/>
    <col min="24" max="27" width="9.140625" style="53"/>
    <col min="28" max="16384" width="8.85546875" style="53"/>
  </cols>
  <sheetData>
    <row r="1" spans="1:23" ht="12.75" customHeight="1">
      <c r="A1" s="184" t="s">
        <v>0</v>
      </c>
      <c r="B1" s="133"/>
      <c r="C1" s="350" t="s">
        <v>1</v>
      </c>
      <c r="D1" s="350"/>
      <c r="E1" s="350"/>
      <c r="F1" s="350"/>
      <c r="G1" s="351" t="s">
        <v>2</v>
      </c>
      <c r="H1" s="351"/>
      <c r="I1" s="351"/>
      <c r="J1" s="351"/>
      <c r="K1" s="352" t="s">
        <v>3</v>
      </c>
      <c r="L1" s="352"/>
      <c r="M1" s="352"/>
      <c r="N1" s="352"/>
      <c r="O1" s="188" t="s">
        <v>4</v>
      </c>
      <c r="P1" s="363" t="s">
        <v>5</v>
      </c>
      <c r="Q1" s="363"/>
      <c r="R1" s="134" t="s">
        <v>6</v>
      </c>
      <c r="S1" s="344" t="s">
        <v>7</v>
      </c>
      <c r="T1" s="344"/>
      <c r="U1" s="344"/>
      <c r="V1" s="63"/>
      <c r="W1" s="64"/>
    </row>
    <row r="2" spans="1:23">
      <c r="A2" s="132"/>
      <c r="B2" s="133"/>
      <c r="C2" s="136" t="s">
        <v>8</v>
      </c>
      <c r="D2" s="136" t="s">
        <v>9</v>
      </c>
      <c r="E2" s="136" t="s">
        <v>10</v>
      </c>
      <c r="F2" s="137" t="s">
        <v>11</v>
      </c>
      <c r="G2" s="138" t="s">
        <v>8</v>
      </c>
      <c r="H2" s="138" t="s">
        <v>9</v>
      </c>
      <c r="I2" s="138" t="s">
        <v>10</v>
      </c>
      <c r="J2" s="139" t="s">
        <v>11</v>
      </c>
      <c r="K2" s="140" t="s">
        <v>8</v>
      </c>
      <c r="L2" s="140" t="s">
        <v>9</v>
      </c>
      <c r="M2" s="140" t="s">
        <v>10</v>
      </c>
      <c r="N2" s="140" t="s">
        <v>11</v>
      </c>
      <c r="O2" s="189">
        <v>5.4</v>
      </c>
      <c r="P2" s="134" t="s">
        <v>11</v>
      </c>
      <c r="Q2" s="134" t="s">
        <v>14</v>
      </c>
      <c r="R2" s="134"/>
      <c r="S2" s="135"/>
      <c r="T2" s="141" t="s">
        <v>15</v>
      </c>
      <c r="U2" s="141" t="s">
        <v>16</v>
      </c>
      <c r="V2" s="142" t="s">
        <v>12</v>
      </c>
      <c r="W2" s="71" t="s">
        <v>17</v>
      </c>
    </row>
    <row r="3" spans="1:23">
      <c r="A3" s="132" t="s">
        <v>19</v>
      </c>
      <c r="B3" s="133" t="s">
        <v>20</v>
      </c>
      <c r="C3" s="136" t="s">
        <v>21</v>
      </c>
      <c r="D3" s="136" t="s">
        <v>22</v>
      </c>
      <c r="E3" s="136" t="s">
        <v>23</v>
      </c>
      <c r="F3" s="137" t="s">
        <v>24</v>
      </c>
      <c r="G3" s="143" t="s">
        <v>21</v>
      </c>
      <c r="H3" s="143" t="s">
        <v>22</v>
      </c>
      <c r="I3" s="143" t="s">
        <v>23</v>
      </c>
      <c r="J3" s="139" t="s">
        <v>24</v>
      </c>
      <c r="K3" s="144" t="s">
        <v>21</v>
      </c>
      <c r="L3" s="144" t="s">
        <v>22</v>
      </c>
      <c r="M3" s="144" t="s">
        <v>23</v>
      </c>
      <c r="N3" s="140" t="s">
        <v>24</v>
      </c>
      <c r="O3" s="182" t="s">
        <v>34</v>
      </c>
      <c r="P3" s="134" t="s">
        <v>35</v>
      </c>
      <c r="Q3" s="134" t="s">
        <v>34</v>
      </c>
      <c r="R3" s="134"/>
      <c r="S3" s="135"/>
      <c r="T3" s="141"/>
      <c r="U3" s="141"/>
      <c r="V3" s="142"/>
      <c r="W3" s="71"/>
    </row>
    <row r="4" spans="1:23" ht="12.4" customHeight="1">
      <c r="A4" s="132" t="s">
        <v>43</v>
      </c>
      <c r="B4" s="133" t="s">
        <v>44</v>
      </c>
      <c r="C4" s="136"/>
      <c r="D4" s="136"/>
      <c r="E4" s="136"/>
      <c r="F4" s="137">
        <v>95000</v>
      </c>
      <c r="G4" s="138"/>
      <c r="H4" s="138"/>
      <c r="I4" s="138"/>
      <c r="J4" s="139"/>
      <c r="K4" s="140"/>
      <c r="L4" s="140"/>
      <c r="M4" s="140"/>
      <c r="N4" s="140"/>
      <c r="O4" s="185">
        <f>V4*$O$2</f>
        <v>0</v>
      </c>
      <c r="P4" s="147">
        <f t="shared" ref="P4:P67" si="0">F4+J4+N4</f>
        <v>95000</v>
      </c>
      <c r="Q4" s="148">
        <f>ROUNDDOWN(P4/1000,1)</f>
        <v>95</v>
      </c>
      <c r="R4" s="148">
        <f>MAX(O4,Q4)</f>
        <v>95</v>
      </c>
      <c r="S4" s="135">
        <f>VLOOKUP(A4,[1]Index!$E:$M,7,)</f>
        <v>4758.4177678157312</v>
      </c>
      <c r="T4" s="149">
        <f t="shared" ref="T4:T67" si="1">S4-P4</f>
        <v>-90241.582232184272</v>
      </c>
      <c r="U4" s="150">
        <f t="shared" ref="U4:U67" si="2">T4/S4</f>
        <v>-18.964619467115032</v>
      </c>
      <c r="V4" s="151">
        <f t="shared" ref="V4:V67" si="3">(((C4*D4*E4)+(G4*H4*I4)+(K4*L4*M4))/1000000)*35.32</f>
        <v>0</v>
      </c>
      <c r="W4" s="80" t="e">
        <f t="shared" ref="W4:W67" si="4">Q4/V4</f>
        <v>#DIV/0!</v>
      </c>
    </row>
    <row r="5" spans="1:23" ht="12.4" customHeight="1">
      <c r="A5" s="132" t="s">
        <v>46</v>
      </c>
      <c r="B5" s="133" t="s">
        <v>44</v>
      </c>
      <c r="C5" s="136"/>
      <c r="D5" s="136"/>
      <c r="E5" s="136"/>
      <c r="F5" s="137">
        <v>85000</v>
      </c>
      <c r="G5" s="138"/>
      <c r="H5" s="138"/>
      <c r="I5" s="138"/>
      <c r="J5" s="139"/>
      <c r="K5" s="140"/>
      <c r="L5" s="140"/>
      <c r="M5" s="140"/>
      <c r="N5" s="140"/>
      <c r="O5" s="185">
        <f t="shared" ref="O5:O68" si="5">V5*$O$2</f>
        <v>0</v>
      </c>
      <c r="P5" s="147">
        <f t="shared" si="0"/>
        <v>85000</v>
      </c>
      <c r="Q5" s="148">
        <f t="shared" ref="Q5:Q68" si="6">ROUNDDOWN(P5/1000,1)</f>
        <v>85</v>
      </c>
      <c r="R5" s="148">
        <f t="shared" ref="R5:R68" si="7">MAX(O5,Q5)</f>
        <v>85</v>
      </c>
      <c r="S5" s="135">
        <f>VLOOKUP(A5,[1]Index!$E:$M,7,)</f>
        <v>4391.2897156944418</v>
      </c>
      <c r="T5" s="149">
        <f t="shared" si="1"/>
        <v>-80608.710284305562</v>
      </c>
      <c r="U5" s="150">
        <f t="shared" si="2"/>
        <v>-18.3565001407697</v>
      </c>
      <c r="V5" s="151">
        <f t="shared" si="3"/>
        <v>0</v>
      </c>
      <c r="W5" s="80" t="e">
        <f t="shared" si="4"/>
        <v>#DIV/0!</v>
      </c>
    </row>
    <row r="6" spans="1:23">
      <c r="A6" s="132" t="s">
        <v>48</v>
      </c>
      <c r="B6" s="133" t="s">
        <v>44</v>
      </c>
      <c r="C6" s="136">
        <v>205</v>
      </c>
      <c r="D6" s="136">
        <v>51</v>
      </c>
      <c r="E6" s="136">
        <v>11</v>
      </c>
      <c r="F6" s="137">
        <v>51400</v>
      </c>
      <c r="G6" s="153">
        <v>103</v>
      </c>
      <c r="H6" s="153">
        <v>93</v>
      </c>
      <c r="I6" s="153">
        <v>6</v>
      </c>
      <c r="J6" s="154">
        <v>30400</v>
      </c>
      <c r="K6" s="156"/>
      <c r="L6" s="156"/>
      <c r="M6" s="156"/>
      <c r="N6" s="156"/>
      <c r="O6" s="185">
        <f t="shared" si="5"/>
        <v>32.896574712000003</v>
      </c>
      <c r="P6" s="147">
        <f t="shared" si="0"/>
        <v>81800</v>
      </c>
      <c r="Q6" s="148">
        <f t="shared" si="6"/>
        <v>81.8</v>
      </c>
      <c r="R6" s="148">
        <f t="shared" si="7"/>
        <v>81.8</v>
      </c>
      <c r="S6" s="135">
        <f>VLOOKUP(A6,[1]Index!$E:$M,7,)</f>
        <v>3873.6592962764271</v>
      </c>
      <c r="T6" s="149">
        <f t="shared" si="1"/>
        <v>-77926.340703723574</v>
      </c>
      <c r="U6" s="150">
        <f t="shared" si="2"/>
        <v>-20.116983643510061</v>
      </c>
      <c r="V6" s="151">
        <f t="shared" si="3"/>
        <v>6.0919582800000001</v>
      </c>
      <c r="W6" s="80">
        <f t="shared" si="4"/>
        <v>13.427537786749255</v>
      </c>
    </row>
    <row r="7" spans="1:23">
      <c r="A7" s="132" t="s">
        <v>49</v>
      </c>
      <c r="B7" s="133" t="s">
        <v>44</v>
      </c>
      <c r="C7" s="136">
        <v>195.5</v>
      </c>
      <c r="D7" s="136">
        <v>51</v>
      </c>
      <c r="E7" s="136">
        <v>8</v>
      </c>
      <c r="F7" s="137">
        <v>43800</v>
      </c>
      <c r="G7" s="153">
        <v>205</v>
      </c>
      <c r="H7" s="153">
        <v>47</v>
      </c>
      <c r="I7" s="153">
        <v>7</v>
      </c>
      <c r="J7" s="154">
        <v>32500</v>
      </c>
      <c r="K7" s="156">
        <v>107</v>
      </c>
      <c r="L7" s="156">
        <v>96</v>
      </c>
      <c r="M7" s="156">
        <v>8</v>
      </c>
      <c r="N7" s="156">
        <v>51000</v>
      </c>
      <c r="O7" s="185">
        <f t="shared" si="5"/>
        <v>43.750142279999999</v>
      </c>
      <c r="P7" s="147">
        <f t="shared" si="0"/>
        <v>127300</v>
      </c>
      <c r="Q7" s="148">
        <f t="shared" si="6"/>
        <v>127.3</v>
      </c>
      <c r="R7" s="148">
        <f t="shared" si="7"/>
        <v>127.3</v>
      </c>
      <c r="S7" s="135">
        <f>VLOOKUP(A7,[1]Index!$E:$M,7,)</f>
        <v>4924.1981756689984</v>
      </c>
      <c r="T7" s="149">
        <f t="shared" si="1"/>
        <v>-122375.80182433101</v>
      </c>
      <c r="U7" s="150">
        <f t="shared" si="2"/>
        <v>-24.851924609574656</v>
      </c>
      <c r="V7" s="151">
        <f t="shared" si="3"/>
        <v>8.1018781999999998</v>
      </c>
      <c r="W7" s="80">
        <f t="shared" si="4"/>
        <v>15.712406044316984</v>
      </c>
    </row>
    <row r="8" spans="1:23">
      <c r="A8" s="132" t="s">
        <v>50</v>
      </c>
      <c r="B8" s="133" t="s">
        <v>44</v>
      </c>
      <c r="C8" s="136">
        <v>205</v>
      </c>
      <c r="D8" s="136">
        <v>51</v>
      </c>
      <c r="E8" s="136">
        <v>10</v>
      </c>
      <c r="F8" s="137">
        <v>47106</v>
      </c>
      <c r="G8" s="153">
        <v>102</v>
      </c>
      <c r="H8" s="153">
        <v>79</v>
      </c>
      <c r="I8" s="153">
        <v>5</v>
      </c>
      <c r="J8" s="154">
        <v>24800</v>
      </c>
      <c r="K8" s="156"/>
      <c r="L8" s="156"/>
      <c r="M8" s="156"/>
      <c r="N8" s="156"/>
      <c r="O8" s="185">
        <f t="shared" si="5"/>
        <v>27.625043519999998</v>
      </c>
      <c r="P8" s="147">
        <f t="shared" si="0"/>
        <v>71906</v>
      </c>
      <c r="Q8" s="148">
        <f t="shared" si="6"/>
        <v>71.900000000000006</v>
      </c>
      <c r="R8" s="148">
        <f t="shared" si="7"/>
        <v>71.900000000000006</v>
      </c>
      <c r="S8" s="135">
        <f>VLOOKUP(A8,[1]Index!$E:$M,7,)</f>
        <v>3421.5825709711703</v>
      </c>
      <c r="T8" s="149">
        <f t="shared" si="1"/>
        <v>-68484.417429028836</v>
      </c>
      <c r="U8" s="150">
        <f t="shared" si="2"/>
        <v>-20.015421521623676</v>
      </c>
      <c r="V8" s="151">
        <f t="shared" si="3"/>
        <v>5.1157487999999995</v>
      </c>
      <c r="W8" s="80">
        <f t="shared" si="4"/>
        <v>14.05463849202291</v>
      </c>
    </row>
    <row r="9" spans="1:23">
      <c r="A9" s="132" t="s">
        <v>51</v>
      </c>
      <c r="B9" s="133" t="s">
        <v>44</v>
      </c>
      <c r="C9" s="136">
        <v>167</v>
      </c>
      <c r="D9" s="136">
        <v>50</v>
      </c>
      <c r="E9" s="136">
        <v>9</v>
      </c>
      <c r="F9" s="137">
        <v>39350</v>
      </c>
      <c r="G9" s="153">
        <v>207.5</v>
      </c>
      <c r="H9" s="153">
        <v>47</v>
      </c>
      <c r="I9" s="153">
        <v>7</v>
      </c>
      <c r="J9" s="154">
        <v>32300</v>
      </c>
      <c r="K9" s="156">
        <v>105</v>
      </c>
      <c r="L9" s="156">
        <v>83</v>
      </c>
      <c r="M9" s="156">
        <v>8</v>
      </c>
      <c r="N9" s="156">
        <v>42000</v>
      </c>
      <c r="O9" s="185">
        <f t="shared" si="5"/>
        <v>40.651289100000007</v>
      </c>
      <c r="P9" s="147">
        <f t="shared" si="0"/>
        <v>113650</v>
      </c>
      <c r="Q9" s="148">
        <f t="shared" si="6"/>
        <v>113.6</v>
      </c>
      <c r="R9" s="148">
        <f t="shared" si="7"/>
        <v>113.6</v>
      </c>
      <c r="S9" s="135">
        <f>VLOOKUP(A9,[1]Index!$E:$M,7,)</f>
        <v>4315.5491886382915</v>
      </c>
      <c r="T9" s="149">
        <f t="shared" si="1"/>
        <v>-109334.4508113617</v>
      </c>
      <c r="U9" s="150">
        <f t="shared" si="2"/>
        <v>-25.335002807802681</v>
      </c>
      <c r="V9" s="151">
        <f t="shared" si="3"/>
        <v>7.5280165000000006</v>
      </c>
      <c r="W9" s="80">
        <f t="shared" si="4"/>
        <v>15.090296361598037</v>
      </c>
    </row>
    <row r="10" spans="1:23">
      <c r="A10" s="157" t="s">
        <v>52</v>
      </c>
      <c r="B10" s="133" t="s">
        <v>44</v>
      </c>
      <c r="C10" s="136"/>
      <c r="D10" s="136"/>
      <c r="E10" s="136"/>
      <c r="F10" s="137">
        <v>42700</v>
      </c>
      <c r="G10" s="138"/>
      <c r="H10" s="138"/>
      <c r="I10" s="138"/>
      <c r="J10" s="139"/>
      <c r="K10" s="140"/>
      <c r="L10" s="140"/>
      <c r="M10" s="140"/>
      <c r="N10" s="140"/>
      <c r="O10" s="185">
        <f t="shared" si="5"/>
        <v>0</v>
      </c>
      <c r="P10" s="158">
        <f t="shared" si="0"/>
        <v>42700</v>
      </c>
      <c r="Q10" s="148">
        <f t="shared" si="6"/>
        <v>42.7</v>
      </c>
      <c r="R10" s="148">
        <f t="shared" si="7"/>
        <v>42.7</v>
      </c>
      <c r="S10" s="135">
        <f>VLOOKUP(A10,[1]Index!$E:$M,7,)</f>
        <v>2476.6621960531202</v>
      </c>
      <c r="T10" s="149">
        <f t="shared" si="1"/>
        <v>-40223.337803946881</v>
      </c>
      <c r="U10" s="150">
        <f t="shared" si="2"/>
        <v>-16.240946330124448</v>
      </c>
      <c r="V10" s="151">
        <f t="shared" si="3"/>
        <v>0</v>
      </c>
      <c r="W10" s="80" t="e">
        <f t="shared" si="4"/>
        <v>#DIV/0!</v>
      </c>
    </row>
    <row r="11" spans="1:23" ht="12.4" customHeight="1">
      <c r="A11" s="132" t="s">
        <v>57</v>
      </c>
      <c r="B11" s="133" t="s">
        <v>44</v>
      </c>
      <c r="C11" s="136">
        <v>206</v>
      </c>
      <c r="D11" s="136">
        <v>50</v>
      </c>
      <c r="E11" s="136">
        <v>8</v>
      </c>
      <c r="F11" s="137">
        <v>43000</v>
      </c>
      <c r="G11" s="153">
        <v>107</v>
      </c>
      <c r="H11" s="153">
        <v>99</v>
      </c>
      <c r="I11" s="153">
        <v>5</v>
      </c>
      <c r="J11" s="154">
        <v>27000</v>
      </c>
      <c r="K11" s="156"/>
      <c r="L11" s="156"/>
      <c r="M11" s="156"/>
      <c r="N11" s="156"/>
      <c r="O11" s="185">
        <f t="shared" si="5"/>
        <v>25.817895720000003</v>
      </c>
      <c r="P11" s="147">
        <f t="shared" si="0"/>
        <v>70000</v>
      </c>
      <c r="Q11" s="148">
        <f t="shared" si="6"/>
        <v>70</v>
      </c>
      <c r="R11" s="148">
        <f t="shared" si="7"/>
        <v>70</v>
      </c>
      <c r="S11" s="135">
        <f>VLOOKUP(A11,[1]Index!$E:$M,7,)</f>
        <v>3838.9728717094399</v>
      </c>
      <c r="T11" s="149">
        <f t="shared" si="1"/>
        <v>-66161.02712829056</v>
      </c>
      <c r="U11" s="150">
        <f t="shared" si="2"/>
        <v>-17.234043932910105</v>
      </c>
      <c r="V11" s="151">
        <f t="shared" si="3"/>
        <v>4.7810918000000004</v>
      </c>
      <c r="W11" s="80">
        <f t="shared" si="4"/>
        <v>14.641007311342566</v>
      </c>
    </row>
    <row r="12" spans="1:23" ht="12.4" customHeight="1">
      <c r="A12" s="132" t="s">
        <v>58</v>
      </c>
      <c r="B12" s="133" t="s">
        <v>44</v>
      </c>
      <c r="C12" s="136">
        <v>206</v>
      </c>
      <c r="D12" s="136">
        <v>51</v>
      </c>
      <c r="E12" s="136">
        <v>8</v>
      </c>
      <c r="F12" s="137">
        <v>38000</v>
      </c>
      <c r="G12" s="153">
        <v>107</v>
      </c>
      <c r="H12" s="153">
        <v>81</v>
      </c>
      <c r="I12" s="153">
        <v>4.5</v>
      </c>
      <c r="J12" s="154">
        <v>23000</v>
      </c>
      <c r="K12" s="156"/>
      <c r="L12" s="156"/>
      <c r="M12" s="156"/>
      <c r="N12" s="156"/>
      <c r="O12" s="185">
        <f t="shared" si="5"/>
        <v>23.468985036000007</v>
      </c>
      <c r="P12" s="147">
        <f t="shared" si="0"/>
        <v>61000</v>
      </c>
      <c r="Q12" s="148">
        <f t="shared" si="6"/>
        <v>61</v>
      </c>
      <c r="R12" s="148">
        <f t="shared" si="7"/>
        <v>61</v>
      </c>
      <c r="S12" s="135">
        <f>VLOOKUP(A12,[1]Index!$E:$M,7,)</f>
        <v>3426.3105106036101</v>
      </c>
      <c r="T12" s="149">
        <f t="shared" si="1"/>
        <v>-57573.689489396391</v>
      </c>
      <c r="U12" s="150">
        <f t="shared" si="2"/>
        <v>-16.803406845707539</v>
      </c>
      <c r="V12" s="151">
        <f t="shared" si="3"/>
        <v>4.3461083400000007</v>
      </c>
      <c r="W12" s="80">
        <f t="shared" si="4"/>
        <v>14.035545188457034</v>
      </c>
    </row>
    <row r="13" spans="1:23">
      <c r="A13" s="132" t="s">
        <v>59</v>
      </c>
      <c r="B13" s="133" t="s">
        <v>44</v>
      </c>
      <c r="C13" s="136"/>
      <c r="D13" s="136"/>
      <c r="E13" s="136"/>
      <c r="F13" s="137">
        <v>41000</v>
      </c>
      <c r="G13" s="138"/>
      <c r="H13" s="138"/>
      <c r="I13" s="138"/>
      <c r="J13" s="139"/>
      <c r="K13" s="140"/>
      <c r="L13" s="140"/>
      <c r="M13" s="140"/>
      <c r="N13" s="140"/>
      <c r="O13" s="185">
        <f t="shared" si="5"/>
        <v>0</v>
      </c>
      <c r="P13" s="147">
        <f t="shared" si="0"/>
        <v>41000</v>
      </c>
      <c r="Q13" s="148">
        <f t="shared" si="6"/>
        <v>41</v>
      </c>
      <c r="R13" s="148">
        <f t="shared" si="7"/>
        <v>41</v>
      </c>
      <c r="S13" s="135">
        <f>VLOOKUP(A13,[1]Index!$E:$M,7,)</f>
        <v>2518.5150251056002</v>
      </c>
      <c r="T13" s="149">
        <f t="shared" si="1"/>
        <v>-38481.484974894396</v>
      </c>
      <c r="U13" s="150">
        <f t="shared" si="2"/>
        <v>-15.27943434575336</v>
      </c>
      <c r="V13" s="151">
        <f t="shared" si="3"/>
        <v>0</v>
      </c>
      <c r="W13" s="80" t="e">
        <f t="shared" si="4"/>
        <v>#DIV/0!</v>
      </c>
    </row>
    <row r="14" spans="1:23">
      <c r="A14" s="159" t="s">
        <v>55</v>
      </c>
      <c r="B14" s="133"/>
      <c r="C14" s="136">
        <v>193</v>
      </c>
      <c r="D14" s="136">
        <v>42</v>
      </c>
      <c r="E14" s="136">
        <v>9</v>
      </c>
      <c r="F14" s="137">
        <v>37500</v>
      </c>
      <c r="G14" s="138"/>
      <c r="H14" s="138"/>
      <c r="I14" s="138"/>
      <c r="J14" s="139"/>
      <c r="K14" s="140"/>
      <c r="L14" s="140"/>
      <c r="M14" s="140"/>
      <c r="N14" s="140"/>
      <c r="O14" s="185">
        <f t="shared" si="5"/>
        <v>13.914370512000003</v>
      </c>
      <c r="P14" s="147">
        <f t="shared" si="0"/>
        <v>37500</v>
      </c>
      <c r="Q14" s="148">
        <f t="shared" si="6"/>
        <v>37.5</v>
      </c>
      <c r="R14" s="148">
        <f t="shared" si="7"/>
        <v>37.5</v>
      </c>
      <c r="S14" s="135">
        <f>VLOOKUP(A14,[1]Index!$E:$M,7,)</f>
        <v>2366.41036638165</v>
      </c>
      <c r="T14" s="149">
        <f t="shared" si="1"/>
        <v>-35133.58963361835</v>
      </c>
      <c r="U14" s="150">
        <f t="shared" si="2"/>
        <v>-14.846786564470312</v>
      </c>
      <c r="V14" s="151">
        <f t="shared" si="3"/>
        <v>2.5767352800000003</v>
      </c>
      <c r="W14" s="80">
        <f t="shared" si="4"/>
        <v>14.553299398299075</v>
      </c>
    </row>
    <row r="15" spans="1:23">
      <c r="A15" s="132" t="s">
        <v>60</v>
      </c>
      <c r="B15" s="133"/>
      <c r="C15" s="136">
        <v>60</v>
      </c>
      <c r="D15" s="136">
        <v>33</v>
      </c>
      <c r="E15" s="136">
        <v>4.8</v>
      </c>
      <c r="F15" s="137">
        <v>6020</v>
      </c>
      <c r="G15" s="138"/>
      <c r="H15" s="138"/>
      <c r="I15" s="138"/>
      <c r="J15" s="139"/>
      <c r="K15" s="140"/>
      <c r="L15" s="140"/>
      <c r="M15" s="140"/>
      <c r="N15" s="140"/>
      <c r="O15" s="185">
        <f t="shared" si="5"/>
        <v>1.8126789120000002</v>
      </c>
      <c r="P15" s="147">
        <f t="shared" si="0"/>
        <v>6020</v>
      </c>
      <c r="Q15" s="148">
        <f t="shared" si="6"/>
        <v>6</v>
      </c>
      <c r="R15" s="148">
        <f t="shared" si="7"/>
        <v>6</v>
      </c>
      <c r="S15" s="135">
        <f>VLOOKUP(A15,[1]Index!$E:$M,7,)</f>
        <v>381.914185164</v>
      </c>
      <c r="T15" s="149">
        <f t="shared" si="1"/>
        <v>-5638.0858148360003</v>
      </c>
      <c r="U15" s="150">
        <f t="shared" si="2"/>
        <v>-14.76270333455909</v>
      </c>
      <c r="V15" s="151">
        <f t="shared" si="3"/>
        <v>0.33568128000000003</v>
      </c>
      <c r="W15" s="80">
        <f t="shared" si="4"/>
        <v>17.874097715547318</v>
      </c>
    </row>
    <row r="16" spans="1:23">
      <c r="A16" s="132" t="s">
        <v>61</v>
      </c>
      <c r="B16" s="133"/>
      <c r="C16" s="160">
        <v>43</v>
      </c>
      <c r="D16" s="160">
        <v>41</v>
      </c>
      <c r="E16" s="160">
        <v>6</v>
      </c>
      <c r="F16" s="161">
        <v>4680</v>
      </c>
      <c r="G16" s="153"/>
      <c r="H16" s="153"/>
      <c r="I16" s="153"/>
      <c r="J16" s="154"/>
      <c r="K16" s="156"/>
      <c r="L16" s="156"/>
      <c r="M16" s="156"/>
      <c r="N16" s="156"/>
      <c r="O16" s="185">
        <f t="shared" si="5"/>
        <v>2.0175207840000002</v>
      </c>
      <c r="P16" s="147">
        <f t="shared" si="0"/>
        <v>4680</v>
      </c>
      <c r="Q16" s="148">
        <f t="shared" si="6"/>
        <v>4.5999999999999996</v>
      </c>
      <c r="R16" s="148">
        <f t="shared" si="7"/>
        <v>4.5999999999999996</v>
      </c>
      <c r="S16" s="135">
        <f>VLOOKUP(A16,[1]Index!$E:$M,7,)</f>
        <v>707.98623895876926</v>
      </c>
      <c r="T16" s="149">
        <f t="shared" si="1"/>
        <v>-3972.0137610412307</v>
      </c>
      <c r="U16" s="150">
        <f t="shared" si="2"/>
        <v>-5.6102979725747852</v>
      </c>
      <c r="V16" s="151">
        <f t="shared" si="3"/>
        <v>0.37361496000000005</v>
      </c>
      <c r="W16" s="80">
        <f t="shared" si="4"/>
        <v>12.312140820057095</v>
      </c>
    </row>
    <row r="17" spans="1:23">
      <c r="A17" s="132" t="s">
        <v>62</v>
      </c>
      <c r="B17" s="133"/>
      <c r="C17" s="136">
        <v>60</v>
      </c>
      <c r="D17" s="136">
        <v>46</v>
      </c>
      <c r="E17" s="136">
        <v>7.5</v>
      </c>
      <c r="F17" s="137">
        <v>8760</v>
      </c>
      <c r="G17" s="153"/>
      <c r="H17" s="153"/>
      <c r="I17" s="153"/>
      <c r="J17" s="154"/>
      <c r="K17" s="156"/>
      <c r="L17" s="156"/>
      <c r="M17" s="156"/>
      <c r="N17" s="156"/>
      <c r="O17" s="185">
        <f t="shared" si="5"/>
        <v>3.9480696000000002</v>
      </c>
      <c r="P17" s="147">
        <f t="shared" si="0"/>
        <v>8760</v>
      </c>
      <c r="Q17" s="148">
        <f t="shared" si="6"/>
        <v>8.6999999999999993</v>
      </c>
      <c r="R17" s="148">
        <f t="shared" si="7"/>
        <v>8.6999999999999993</v>
      </c>
      <c r="S17" s="135">
        <f>VLOOKUP(A17,[1]Index!$E:$M,7,)</f>
        <v>662.02976953299992</v>
      </c>
      <c r="T17" s="149">
        <f t="shared" si="1"/>
        <v>-8097.970230467</v>
      </c>
      <c r="U17" s="150">
        <f t="shared" si="2"/>
        <v>-12.232033366383751</v>
      </c>
      <c r="V17" s="151">
        <f t="shared" si="3"/>
        <v>0.731124</v>
      </c>
      <c r="W17" s="80">
        <f t="shared" si="4"/>
        <v>11.899486270454805</v>
      </c>
    </row>
    <row r="18" spans="1:23">
      <c r="A18" s="132" t="s">
        <v>64</v>
      </c>
      <c r="B18" s="133"/>
      <c r="C18" s="136">
        <v>58</v>
      </c>
      <c r="D18" s="136">
        <v>44</v>
      </c>
      <c r="E18" s="136">
        <v>11</v>
      </c>
      <c r="F18" s="137">
        <v>9100</v>
      </c>
      <c r="G18" s="153"/>
      <c r="H18" s="153"/>
      <c r="I18" s="153"/>
      <c r="J18" s="154"/>
      <c r="K18" s="156"/>
      <c r="L18" s="156"/>
      <c r="M18" s="156"/>
      <c r="N18" s="156"/>
      <c r="O18" s="185">
        <f t="shared" si="5"/>
        <v>5.3541164160000001</v>
      </c>
      <c r="P18" s="147">
        <f t="shared" si="0"/>
        <v>9100</v>
      </c>
      <c r="Q18" s="148">
        <f t="shared" si="6"/>
        <v>9.1</v>
      </c>
      <c r="R18" s="148">
        <f t="shared" si="7"/>
        <v>9.1</v>
      </c>
      <c r="S18" s="135">
        <f>VLOOKUP(A18,[1]Index!$E:$M,7,)</f>
        <v>859.11370420599974</v>
      </c>
      <c r="T18" s="149">
        <f t="shared" si="1"/>
        <v>-8240.886295794</v>
      </c>
      <c r="U18" s="150">
        <f t="shared" si="2"/>
        <v>-9.5923115362364033</v>
      </c>
      <c r="V18" s="151">
        <f t="shared" si="3"/>
        <v>0.99150304</v>
      </c>
      <c r="W18" s="80">
        <f t="shared" si="4"/>
        <v>9.1779849711807238</v>
      </c>
    </row>
    <row r="19" spans="1:23">
      <c r="A19" s="132" t="s">
        <v>65</v>
      </c>
      <c r="B19" s="133"/>
      <c r="C19" s="136">
        <v>46</v>
      </c>
      <c r="D19" s="136">
        <v>48.6</v>
      </c>
      <c r="E19" s="136">
        <v>7.3</v>
      </c>
      <c r="F19" s="137">
        <v>7680</v>
      </c>
      <c r="G19" s="153"/>
      <c r="H19" s="153"/>
      <c r="I19" s="153"/>
      <c r="J19" s="154"/>
      <c r="K19" s="156"/>
      <c r="L19" s="156"/>
      <c r="M19" s="156"/>
      <c r="N19" s="156"/>
      <c r="O19" s="185">
        <f t="shared" si="5"/>
        <v>3.1126580726399999</v>
      </c>
      <c r="P19" s="147">
        <f t="shared" si="0"/>
        <v>7680</v>
      </c>
      <c r="Q19" s="148">
        <f t="shared" si="6"/>
        <v>7.6</v>
      </c>
      <c r="R19" s="148">
        <f t="shared" si="7"/>
        <v>7.6</v>
      </c>
      <c r="S19" s="135">
        <f>VLOOKUP(A19,[1]Index!$E:$M,7,)</f>
        <v>478.92209700000006</v>
      </c>
      <c r="T19" s="149">
        <f t="shared" si="1"/>
        <v>-7201.0779030000003</v>
      </c>
      <c r="U19" s="150">
        <f t="shared" si="2"/>
        <v>-15.036010967353631</v>
      </c>
      <c r="V19" s="151">
        <f t="shared" si="3"/>
        <v>0.57641816159999992</v>
      </c>
      <c r="W19" s="80">
        <f t="shared" si="4"/>
        <v>13.184872556590175</v>
      </c>
    </row>
    <row r="20" spans="1:23">
      <c r="A20" s="162" t="s">
        <v>66</v>
      </c>
      <c r="B20" s="133"/>
      <c r="C20" s="136"/>
      <c r="D20" s="136"/>
      <c r="E20" s="136"/>
      <c r="F20" s="137">
        <v>10270</v>
      </c>
      <c r="G20" s="138"/>
      <c r="H20" s="138"/>
      <c r="I20" s="138"/>
      <c r="J20" s="139"/>
      <c r="K20" s="140"/>
      <c r="L20" s="140"/>
      <c r="M20" s="140"/>
      <c r="N20" s="140"/>
      <c r="O20" s="185">
        <f t="shared" si="5"/>
        <v>0</v>
      </c>
      <c r="P20" s="158">
        <f t="shared" si="0"/>
        <v>10270</v>
      </c>
      <c r="Q20" s="148">
        <f t="shared" si="6"/>
        <v>10.199999999999999</v>
      </c>
      <c r="R20" s="148">
        <f t="shared" si="7"/>
        <v>10.199999999999999</v>
      </c>
      <c r="S20" s="135">
        <f>VLOOKUP(A20,[1]Index!$E:$M,7,)</f>
        <v>589.1015037454498</v>
      </c>
      <c r="T20" s="149">
        <f t="shared" si="1"/>
        <v>-9680.898496254551</v>
      </c>
      <c r="U20" s="150">
        <f t="shared" si="2"/>
        <v>-16.433328441201294</v>
      </c>
      <c r="V20" s="151">
        <f t="shared" si="3"/>
        <v>0</v>
      </c>
      <c r="W20" s="80" t="e">
        <f t="shared" si="4"/>
        <v>#DIV/0!</v>
      </c>
    </row>
    <row r="21" spans="1:23">
      <c r="A21" s="132" t="s">
        <v>67</v>
      </c>
      <c r="B21" s="133"/>
      <c r="C21" s="136">
        <v>131</v>
      </c>
      <c r="D21" s="136">
        <v>36</v>
      </c>
      <c r="E21" s="136">
        <v>10</v>
      </c>
      <c r="F21" s="137">
        <v>18800</v>
      </c>
      <c r="G21" s="153"/>
      <c r="H21" s="153"/>
      <c r="I21" s="153"/>
      <c r="J21" s="154"/>
      <c r="K21" s="156"/>
      <c r="L21" s="156"/>
      <c r="M21" s="156"/>
      <c r="N21" s="156"/>
      <c r="O21" s="185">
        <f t="shared" si="5"/>
        <v>8.9947324799999997</v>
      </c>
      <c r="P21" s="147">
        <f t="shared" si="0"/>
        <v>18800</v>
      </c>
      <c r="Q21" s="148">
        <f t="shared" si="6"/>
        <v>18.8</v>
      </c>
      <c r="R21" s="148">
        <f t="shared" si="7"/>
        <v>18.8</v>
      </c>
      <c r="S21" s="135" t="e">
        <f>VLOOKUP(A21,[1]Index!$E:$M,7,)</f>
        <v>#N/A</v>
      </c>
      <c r="T21" s="149" t="e">
        <f t="shared" si="1"/>
        <v>#N/A</v>
      </c>
      <c r="U21" s="150" t="e">
        <f t="shared" si="2"/>
        <v>#N/A</v>
      </c>
      <c r="V21" s="151">
        <f t="shared" si="3"/>
        <v>1.6656911999999999</v>
      </c>
      <c r="W21" s="80">
        <f t="shared" si="4"/>
        <v>11.286605824657057</v>
      </c>
    </row>
    <row r="22" spans="1:23">
      <c r="A22" s="132" t="s">
        <v>68</v>
      </c>
      <c r="B22" s="133"/>
      <c r="C22" s="136">
        <v>121</v>
      </c>
      <c r="D22" s="136">
        <v>58</v>
      </c>
      <c r="E22" s="136">
        <v>8</v>
      </c>
      <c r="F22" s="137">
        <v>24400</v>
      </c>
      <c r="G22" s="138"/>
      <c r="H22" s="138"/>
      <c r="I22" s="138"/>
      <c r="J22" s="139"/>
      <c r="K22" s="140"/>
      <c r="L22" s="140"/>
      <c r="M22" s="140"/>
      <c r="N22" s="140"/>
      <c r="O22" s="185">
        <f t="shared" si="5"/>
        <v>10.708232832</v>
      </c>
      <c r="P22" s="147">
        <f t="shared" si="0"/>
        <v>24400</v>
      </c>
      <c r="Q22" s="148">
        <f t="shared" si="6"/>
        <v>24.4</v>
      </c>
      <c r="R22" s="148">
        <f t="shared" si="7"/>
        <v>24.4</v>
      </c>
      <c r="S22" s="135">
        <f>VLOOKUP(A22,[1]Index!$E:$M,7,)</f>
        <v>1219.4165024935382</v>
      </c>
      <c r="T22" s="149">
        <f t="shared" si="1"/>
        <v>-23180.583497506461</v>
      </c>
      <c r="U22" s="150">
        <f t="shared" si="2"/>
        <v>-19.009570110052941</v>
      </c>
      <c r="V22" s="151">
        <f t="shared" si="3"/>
        <v>1.98300608</v>
      </c>
      <c r="W22" s="80">
        <f t="shared" si="4"/>
        <v>12.304551280044485</v>
      </c>
    </row>
    <row r="23" spans="1:23" ht="12.4" customHeight="1">
      <c r="A23" s="163" t="s">
        <v>70</v>
      </c>
      <c r="B23" s="133"/>
      <c r="C23" s="164">
        <v>114</v>
      </c>
      <c r="D23" s="164">
        <v>53</v>
      </c>
      <c r="E23" s="164">
        <v>6</v>
      </c>
      <c r="F23" s="137">
        <v>15500</v>
      </c>
      <c r="G23" s="138"/>
      <c r="H23" s="138"/>
      <c r="I23" s="138"/>
      <c r="J23" s="139"/>
      <c r="K23" s="140"/>
      <c r="L23" s="140"/>
      <c r="M23" s="140"/>
      <c r="N23" s="140"/>
      <c r="O23" s="185">
        <f t="shared" si="5"/>
        <v>6.9142714560000007</v>
      </c>
      <c r="P23" s="158">
        <f t="shared" si="0"/>
        <v>15500</v>
      </c>
      <c r="Q23" s="148">
        <f t="shared" si="6"/>
        <v>15.5</v>
      </c>
      <c r="R23" s="148">
        <f t="shared" si="7"/>
        <v>15.5</v>
      </c>
      <c r="S23" s="135">
        <f>VLOOKUP(A23,[1]Index!$E:$M,7,)</f>
        <v>977.50028197415384</v>
      </c>
      <c r="T23" s="149">
        <f t="shared" si="1"/>
        <v>-14522.499718025847</v>
      </c>
      <c r="U23" s="150">
        <f t="shared" si="2"/>
        <v>-14.856772919488362</v>
      </c>
      <c r="V23" s="151">
        <f t="shared" si="3"/>
        <v>1.28042064</v>
      </c>
      <c r="W23" s="80">
        <f t="shared" si="4"/>
        <v>12.105396863955583</v>
      </c>
    </row>
    <row r="24" spans="1:23">
      <c r="A24" s="132" t="s">
        <v>71</v>
      </c>
      <c r="B24" s="133"/>
      <c r="C24" s="136">
        <v>101</v>
      </c>
      <c r="D24" s="136">
        <v>52</v>
      </c>
      <c r="E24" s="136">
        <v>9.5</v>
      </c>
      <c r="F24" s="164">
        <v>22600</v>
      </c>
      <c r="G24" s="138"/>
      <c r="H24" s="138"/>
      <c r="I24" s="138"/>
      <c r="J24" s="139"/>
      <c r="K24" s="140"/>
      <c r="L24" s="140"/>
      <c r="M24" s="140"/>
      <c r="N24" s="140"/>
      <c r="O24" s="185">
        <f t="shared" si="5"/>
        <v>9.5161828320000001</v>
      </c>
      <c r="P24" s="158">
        <f t="shared" si="0"/>
        <v>22600</v>
      </c>
      <c r="Q24" s="148">
        <f t="shared" si="6"/>
        <v>22.6</v>
      </c>
      <c r="R24" s="148">
        <f t="shared" si="7"/>
        <v>22.6</v>
      </c>
      <c r="S24" s="135">
        <f>VLOOKUP(A24,[1]Index!$E:$M,7,)</f>
        <v>1335.8922803999999</v>
      </c>
      <c r="T24" s="149">
        <f t="shared" si="1"/>
        <v>-21264.107719600001</v>
      </c>
      <c r="U24" s="150">
        <f t="shared" si="2"/>
        <v>-15.917531698912871</v>
      </c>
      <c r="V24" s="151">
        <f t="shared" si="3"/>
        <v>1.76225608</v>
      </c>
      <c r="W24" s="80">
        <f t="shared" si="4"/>
        <v>12.82446986932796</v>
      </c>
    </row>
    <row r="25" spans="1:23" ht="12.4" customHeight="1">
      <c r="A25" s="132" t="s">
        <v>73</v>
      </c>
      <c r="B25" s="133"/>
      <c r="C25" s="136">
        <v>100</v>
      </c>
      <c r="D25" s="136">
        <v>50.5</v>
      </c>
      <c r="E25" s="136">
        <v>11.5</v>
      </c>
      <c r="F25" s="137">
        <v>7100</v>
      </c>
      <c r="G25" s="153"/>
      <c r="H25" s="153"/>
      <c r="I25" s="153"/>
      <c r="J25" s="154"/>
      <c r="K25" s="156"/>
      <c r="L25" s="156"/>
      <c r="M25" s="156"/>
      <c r="N25" s="156"/>
      <c r="O25" s="185">
        <f t="shared" si="5"/>
        <v>11.076528600000001</v>
      </c>
      <c r="P25" s="147">
        <f t="shared" si="0"/>
        <v>7100</v>
      </c>
      <c r="Q25" s="148">
        <f t="shared" si="6"/>
        <v>7.1</v>
      </c>
      <c r="R25" s="148">
        <f t="shared" si="7"/>
        <v>11.076528600000001</v>
      </c>
      <c r="S25" s="135">
        <f>VLOOKUP(A25,[1]Index!$E:$M,7,)</f>
        <v>462.20462065349227</v>
      </c>
      <c r="T25" s="149">
        <f t="shared" si="1"/>
        <v>-6637.7953793465076</v>
      </c>
      <c r="U25" s="150">
        <f t="shared" si="2"/>
        <v>-14.361161880990284</v>
      </c>
      <c r="V25" s="151">
        <f t="shared" si="3"/>
        <v>2.0512090000000001</v>
      </c>
      <c r="W25" s="80">
        <f t="shared" si="4"/>
        <v>3.4613732681555121</v>
      </c>
    </row>
    <row r="26" spans="1:23">
      <c r="A26" s="132" t="s">
        <v>74</v>
      </c>
      <c r="B26" s="133"/>
      <c r="C26" s="136"/>
      <c r="D26" s="136"/>
      <c r="E26" s="136"/>
      <c r="F26" s="164">
        <v>12500</v>
      </c>
      <c r="G26" s="138"/>
      <c r="H26" s="138"/>
      <c r="I26" s="138"/>
      <c r="J26" s="139"/>
      <c r="K26" s="140"/>
      <c r="L26" s="140"/>
      <c r="M26" s="140"/>
      <c r="N26" s="140"/>
      <c r="O26" s="185">
        <f t="shared" si="5"/>
        <v>0</v>
      </c>
      <c r="P26" s="158">
        <f t="shared" si="0"/>
        <v>12500</v>
      </c>
      <c r="Q26" s="148">
        <f t="shared" si="6"/>
        <v>12.5</v>
      </c>
      <c r="R26" s="148">
        <f t="shared" si="7"/>
        <v>12.5</v>
      </c>
      <c r="S26" s="135">
        <f>VLOOKUP(A26,[1]Index!$E:$M,7,)</f>
        <v>713.73496897331984</v>
      </c>
      <c r="T26" s="149">
        <f t="shared" si="1"/>
        <v>-11786.26503102668</v>
      </c>
      <c r="U26" s="150">
        <f t="shared" si="2"/>
        <v>-16.513503672071394</v>
      </c>
      <c r="V26" s="151">
        <f t="shared" si="3"/>
        <v>0</v>
      </c>
      <c r="W26" s="80" t="e">
        <f t="shared" si="4"/>
        <v>#DIV/0!</v>
      </c>
    </row>
    <row r="27" spans="1:23" ht="12.4" customHeight="1">
      <c r="A27" s="132" t="s">
        <v>75</v>
      </c>
      <c r="B27" s="133"/>
      <c r="C27" s="136">
        <v>77</v>
      </c>
      <c r="D27" s="136">
        <v>75.5</v>
      </c>
      <c r="E27" s="136">
        <v>10</v>
      </c>
      <c r="F27" s="137">
        <v>8000.29</v>
      </c>
      <c r="G27" s="153"/>
      <c r="H27" s="153"/>
      <c r="I27" s="153"/>
      <c r="J27" s="154"/>
      <c r="K27" s="156"/>
      <c r="L27" s="156"/>
      <c r="M27" s="156"/>
      <c r="N27" s="156"/>
      <c r="O27" s="185">
        <f t="shared" si="5"/>
        <v>11.087972280000002</v>
      </c>
      <c r="P27" s="147">
        <f t="shared" si="0"/>
        <v>8000.29</v>
      </c>
      <c r="Q27" s="148">
        <f t="shared" si="6"/>
        <v>8</v>
      </c>
      <c r="R27" s="148">
        <f t="shared" si="7"/>
        <v>11.087972280000002</v>
      </c>
      <c r="S27" s="135">
        <f>VLOOKUP(A27,[1]Index!$E:$M,7,)</f>
        <v>501.01425503076916</v>
      </c>
      <c r="T27" s="149">
        <f t="shared" si="1"/>
        <v>-7499.2757449692308</v>
      </c>
      <c r="U27" s="150">
        <f t="shared" si="2"/>
        <v>-14.96818836922848</v>
      </c>
      <c r="V27" s="151">
        <f t="shared" si="3"/>
        <v>2.0533282000000002</v>
      </c>
      <c r="W27" s="80">
        <f t="shared" si="4"/>
        <v>3.8961136363879869</v>
      </c>
    </row>
    <row r="28" spans="1:23">
      <c r="A28" s="132" t="s">
        <v>76</v>
      </c>
      <c r="B28" s="133"/>
      <c r="C28" s="136"/>
      <c r="D28" s="136"/>
      <c r="E28" s="136"/>
      <c r="F28" s="164">
        <v>11500</v>
      </c>
      <c r="G28" s="138"/>
      <c r="H28" s="138"/>
      <c r="I28" s="138"/>
      <c r="J28" s="139"/>
      <c r="K28" s="140"/>
      <c r="L28" s="140"/>
      <c r="M28" s="140"/>
      <c r="N28" s="140"/>
      <c r="O28" s="185">
        <f t="shared" si="5"/>
        <v>0</v>
      </c>
      <c r="P28" s="158">
        <f t="shared" si="0"/>
        <v>11500</v>
      </c>
      <c r="Q28" s="148">
        <f t="shared" si="6"/>
        <v>11.5</v>
      </c>
      <c r="R28" s="148">
        <f t="shared" si="7"/>
        <v>11.5</v>
      </c>
      <c r="S28" s="135">
        <f>VLOOKUP(A28,[1]Index!$E:$M,7,)</f>
        <v>751.70866399999989</v>
      </c>
      <c r="T28" s="149">
        <f t="shared" si="1"/>
        <v>-10748.291336</v>
      </c>
      <c r="U28" s="150">
        <f t="shared" si="2"/>
        <v>-14.298480050510635</v>
      </c>
      <c r="V28" s="151">
        <f t="shared" si="3"/>
        <v>0</v>
      </c>
      <c r="W28" s="80" t="e">
        <f t="shared" si="4"/>
        <v>#DIV/0!</v>
      </c>
    </row>
    <row r="29" spans="1:23" ht="12.4" customHeight="1">
      <c r="A29" s="132" t="s">
        <v>77</v>
      </c>
      <c r="B29" s="133"/>
      <c r="C29" s="136">
        <v>93</v>
      </c>
      <c r="D29" s="136">
        <v>45</v>
      </c>
      <c r="E29" s="136">
        <v>6</v>
      </c>
      <c r="F29" s="137">
        <v>16750</v>
      </c>
      <c r="G29" s="138"/>
      <c r="H29" s="138"/>
      <c r="I29" s="138"/>
      <c r="J29" s="139"/>
      <c r="K29" s="140"/>
      <c r="L29" s="140"/>
      <c r="M29" s="140"/>
      <c r="N29" s="140"/>
      <c r="O29" s="185">
        <f t="shared" si="5"/>
        <v>4.7891800800000004</v>
      </c>
      <c r="P29" s="147">
        <f t="shared" si="0"/>
        <v>16750</v>
      </c>
      <c r="Q29" s="148">
        <f t="shared" si="6"/>
        <v>16.7</v>
      </c>
      <c r="R29" s="148">
        <f t="shared" si="7"/>
        <v>16.7</v>
      </c>
      <c r="S29" s="135">
        <f>VLOOKUP(A29,[1]Index!$E:$M,7,)</f>
        <v>994.16146432237497</v>
      </c>
      <c r="T29" s="149">
        <f t="shared" si="1"/>
        <v>-15755.838535677625</v>
      </c>
      <c r="U29" s="150">
        <f t="shared" si="2"/>
        <v>-15.848369808235201</v>
      </c>
      <c r="V29" s="151">
        <f t="shared" si="3"/>
        <v>0.88688520000000004</v>
      </c>
      <c r="W29" s="80">
        <f t="shared" si="4"/>
        <v>18.829945521697734</v>
      </c>
    </row>
    <row r="30" spans="1:23">
      <c r="A30" s="132" t="s">
        <v>78</v>
      </c>
      <c r="B30" s="133"/>
      <c r="C30" s="136">
        <v>75</v>
      </c>
      <c r="D30" s="136">
        <v>75</v>
      </c>
      <c r="E30" s="136">
        <v>6</v>
      </c>
      <c r="F30" s="137">
        <v>19700</v>
      </c>
      <c r="G30" s="138"/>
      <c r="H30" s="138"/>
      <c r="I30" s="138"/>
      <c r="J30" s="139"/>
      <c r="K30" s="140"/>
      <c r="L30" s="140"/>
      <c r="M30" s="140"/>
      <c r="N30" s="140"/>
      <c r="O30" s="185">
        <f t="shared" si="5"/>
        <v>6.4370700000000003</v>
      </c>
      <c r="P30" s="147">
        <f t="shared" si="0"/>
        <v>19700</v>
      </c>
      <c r="Q30" s="148">
        <f t="shared" si="6"/>
        <v>19.7</v>
      </c>
      <c r="R30" s="148">
        <f t="shared" si="7"/>
        <v>19.7</v>
      </c>
      <c r="S30" s="135">
        <f>VLOOKUP(A30,[1]Index!$E:$M,7,)</f>
        <v>1320.5240890088751</v>
      </c>
      <c r="T30" s="149">
        <f t="shared" si="1"/>
        <v>-18379.475910991125</v>
      </c>
      <c r="U30" s="150">
        <f t="shared" si="2"/>
        <v>-13.918319297594881</v>
      </c>
      <c r="V30" s="151">
        <f t="shared" si="3"/>
        <v>1.1920500000000001</v>
      </c>
      <c r="W30" s="80">
        <f t="shared" si="4"/>
        <v>16.526152426492175</v>
      </c>
    </row>
    <row r="31" spans="1:23" ht="12.4" customHeight="1">
      <c r="A31" s="132" t="s">
        <v>79</v>
      </c>
      <c r="B31" s="133"/>
      <c r="C31" s="136">
        <v>120</v>
      </c>
      <c r="D31" s="136">
        <v>57.5</v>
      </c>
      <c r="E31" s="136">
        <v>6.5</v>
      </c>
      <c r="F31" s="137">
        <v>17785</v>
      </c>
      <c r="G31" s="153"/>
      <c r="H31" s="153"/>
      <c r="I31" s="153"/>
      <c r="J31" s="154"/>
      <c r="K31" s="156"/>
      <c r="L31" s="156"/>
      <c r="M31" s="156"/>
      <c r="N31" s="156"/>
      <c r="O31" s="185">
        <f t="shared" si="5"/>
        <v>8.5541508000000004</v>
      </c>
      <c r="P31" s="147">
        <f t="shared" si="0"/>
        <v>17785</v>
      </c>
      <c r="Q31" s="148">
        <f t="shared" si="6"/>
        <v>17.7</v>
      </c>
      <c r="R31" s="148">
        <f t="shared" si="7"/>
        <v>17.7</v>
      </c>
      <c r="S31" s="135">
        <f>VLOOKUP(A31,[1]Index!$E:$M,7,)</f>
        <v>669.8313182249999</v>
      </c>
      <c r="T31" s="149">
        <f t="shared" si="1"/>
        <v>-17115.168681775001</v>
      </c>
      <c r="U31" s="150">
        <f t="shared" si="2"/>
        <v>-25.551460817223127</v>
      </c>
      <c r="V31" s="151">
        <f t="shared" si="3"/>
        <v>1.5841020000000001</v>
      </c>
      <c r="W31" s="80">
        <f t="shared" si="4"/>
        <v>11.173522917084883</v>
      </c>
    </row>
    <row r="32" spans="1:23">
      <c r="A32" s="132" t="s">
        <v>80</v>
      </c>
      <c r="B32" s="133"/>
      <c r="C32" s="136">
        <v>104.7</v>
      </c>
      <c r="D32" s="136">
        <v>59.7</v>
      </c>
      <c r="E32" s="136">
        <v>8</v>
      </c>
      <c r="F32" s="137">
        <v>18750</v>
      </c>
      <c r="G32" s="138"/>
      <c r="H32" s="138"/>
      <c r="I32" s="138"/>
      <c r="J32" s="139"/>
      <c r="K32" s="140"/>
      <c r="L32" s="140"/>
      <c r="M32" s="140"/>
      <c r="N32" s="140"/>
      <c r="O32" s="185">
        <f t="shared" si="5"/>
        <v>9.5373002361600001</v>
      </c>
      <c r="P32" s="147">
        <f t="shared" si="0"/>
        <v>18750</v>
      </c>
      <c r="Q32" s="148">
        <f t="shared" si="6"/>
        <v>18.7</v>
      </c>
      <c r="R32" s="148">
        <f t="shared" si="7"/>
        <v>18.7</v>
      </c>
      <c r="S32" s="135">
        <f>VLOOKUP(A32,[1]Index!$E:$M,7,)</f>
        <v>971.63898694399995</v>
      </c>
      <c r="T32" s="149">
        <f t="shared" si="1"/>
        <v>-17778.361013056001</v>
      </c>
      <c r="U32" s="150">
        <f t="shared" si="2"/>
        <v>-18.297290713881832</v>
      </c>
      <c r="V32" s="151">
        <f t="shared" si="3"/>
        <v>1.7661667104000001</v>
      </c>
      <c r="W32" s="80">
        <f t="shared" si="4"/>
        <v>10.587901974307306</v>
      </c>
    </row>
    <row r="33" spans="1:23" ht="12.4" customHeight="1">
      <c r="A33" s="132" t="s">
        <v>81</v>
      </c>
      <c r="B33" s="133"/>
      <c r="C33" s="136">
        <v>83.7</v>
      </c>
      <c r="D33" s="136">
        <v>83.7</v>
      </c>
      <c r="E33" s="136">
        <v>8</v>
      </c>
      <c r="F33" s="137">
        <v>18500</v>
      </c>
      <c r="G33" s="138"/>
      <c r="H33" s="138"/>
      <c r="I33" s="138"/>
      <c r="J33" s="139"/>
      <c r="K33" s="140"/>
      <c r="L33" s="140"/>
      <c r="M33" s="140"/>
      <c r="N33" s="140"/>
      <c r="O33" s="185">
        <f t="shared" si="5"/>
        <v>10.689449938560001</v>
      </c>
      <c r="P33" s="147">
        <f t="shared" si="0"/>
        <v>18500</v>
      </c>
      <c r="Q33" s="148">
        <f t="shared" si="6"/>
        <v>18.5</v>
      </c>
      <c r="R33" s="148">
        <f t="shared" si="7"/>
        <v>18.5</v>
      </c>
      <c r="S33" s="135">
        <f>VLOOKUP(A33,[1]Index!$E:$M,7,)</f>
        <v>987.54274816999998</v>
      </c>
      <c r="T33" s="149">
        <f t="shared" si="1"/>
        <v>-17512.457251830001</v>
      </c>
      <c r="U33" s="150">
        <f t="shared" si="2"/>
        <v>-17.733366261138631</v>
      </c>
      <c r="V33" s="151">
        <f t="shared" si="3"/>
        <v>1.9795277664000002</v>
      </c>
      <c r="W33" s="80">
        <f t="shared" si="4"/>
        <v>9.3456633011237766</v>
      </c>
    </row>
    <row r="34" spans="1:23">
      <c r="A34" s="163" t="s">
        <v>82</v>
      </c>
      <c r="B34" s="133"/>
      <c r="C34" s="136">
        <v>88</v>
      </c>
      <c r="D34" s="136">
        <v>88</v>
      </c>
      <c r="E34" s="136">
        <v>4.5</v>
      </c>
      <c r="F34" s="137">
        <v>6125</v>
      </c>
      <c r="G34" s="165">
        <v>53</v>
      </c>
      <c r="H34" s="165">
        <v>12</v>
      </c>
      <c r="I34" s="165">
        <v>11</v>
      </c>
      <c r="J34" s="166">
        <v>1300</v>
      </c>
      <c r="K34" s="140"/>
      <c r="L34" s="140"/>
      <c r="M34" s="140"/>
      <c r="N34" s="140"/>
      <c r="O34" s="185">
        <f t="shared" si="5"/>
        <v>7.9808224320000001</v>
      </c>
      <c r="P34" s="158">
        <f t="shared" si="0"/>
        <v>7425</v>
      </c>
      <c r="Q34" s="148">
        <f t="shared" si="6"/>
        <v>7.4</v>
      </c>
      <c r="R34" s="148">
        <f t="shared" si="7"/>
        <v>7.9808224320000001</v>
      </c>
      <c r="S34" s="135">
        <f>VLOOKUP(A34,[1]Index!$E:$M,7,)</f>
        <v>542.3670555246</v>
      </c>
      <c r="T34" s="149">
        <f t="shared" si="1"/>
        <v>-6882.6329444754001</v>
      </c>
      <c r="U34" s="150">
        <f t="shared" si="2"/>
        <v>-12.689990799345715</v>
      </c>
      <c r="V34" s="151">
        <f t="shared" si="3"/>
        <v>1.4779300799999999</v>
      </c>
      <c r="W34" s="80">
        <f t="shared" si="4"/>
        <v>5.0070027670050541</v>
      </c>
    </row>
    <row r="35" spans="1:23">
      <c r="A35" s="163" t="s">
        <v>83</v>
      </c>
      <c r="B35" s="133"/>
      <c r="C35" s="167">
        <v>100</v>
      </c>
      <c r="D35" s="167">
        <v>51</v>
      </c>
      <c r="E35" s="167">
        <v>4</v>
      </c>
      <c r="F35" s="137">
        <v>5695</v>
      </c>
      <c r="G35" s="165">
        <v>50</v>
      </c>
      <c r="H35" s="165">
        <v>17</v>
      </c>
      <c r="I35" s="165">
        <v>12</v>
      </c>
      <c r="J35" s="139">
        <v>1900</v>
      </c>
      <c r="K35" s="140"/>
      <c r="L35" s="140"/>
      <c r="M35" s="140"/>
      <c r="N35" s="140"/>
      <c r="O35" s="185">
        <f t="shared" si="5"/>
        <v>5.8362768000000003</v>
      </c>
      <c r="P35" s="158">
        <f t="shared" si="0"/>
        <v>7595</v>
      </c>
      <c r="Q35" s="148">
        <f t="shared" si="6"/>
        <v>7.5</v>
      </c>
      <c r="R35" s="148">
        <f t="shared" si="7"/>
        <v>7.5</v>
      </c>
      <c r="S35" s="135">
        <f>VLOOKUP(A35,[1]Index!$E:$M,7,)</f>
        <v>495.33345945120004</v>
      </c>
      <c r="T35" s="149">
        <f t="shared" si="1"/>
        <v>-7099.6665405488002</v>
      </c>
      <c r="U35" s="150">
        <f t="shared" si="2"/>
        <v>-14.333105113502342</v>
      </c>
      <c r="V35" s="151">
        <f t="shared" si="3"/>
        <v>1.080792</v>
      </c>
      <c r="W35" s="80">
        <f t="shared" si="4"/>
        <v>6.9393555836830769</v>
      </c>
    </row>
    <row r="36" spans="1:23">
      <c r="A36" s="163" t="s">
        <v>84</v>
      </c>
      <c r="B36" s="133"/>
      <c r="C36" s="136"/>
      <c r="D36" s="136"/>
      <c r="E36" s="136"/>
      <c r="F36" s="137">
        <v>6427</v>
      </c>
      <c r="G36" s="138"/>
      <c r="H36" s="138"/>
      <c r="I36" s="138"/>
      <c r="J36" s="139"/>
      <c r="K36" s="140"/>
      <c r="L36" s="140"/>
      <c r="M36" s="140"/>
      <c r="N36" s="140"/>
      <c r="O36" s="185">
        <f t="shared" si="5"/>
        <v>0</v>
      </c>
      <c r="P36" s="158">
        <f t="shared" si="0"/>
        <v>6427</v>
      </c>
      <c r="Q36" s="148">
        <f t="shared" si="6"/>
        <v>6.4</v>
      </c>
      <c r="R36" s="148">
        <f t="shared" si="7"/>
        <v>6.4</v>
      </c>
      <c r="S36" s="135">
        <f>VLOOKUP(A36,[1]Index!$E:$M,7,)</f>
        <v>596.8139176912</v>
      </c>
      <c r="T36" s="149">
        <f t="shared" si="1"/>
        <v>-5830.1860823088</v>
      </c>
      <c r="U36" s="150">
        <f t="shared" si="2"/>
        <v>-9.7688507413887447</v>
      </c>
      <c r="V36" s="151">
        <f t="shared" si="3"/>
        <v>0</v>
      </c>
      <c r="W36" s="80" t="e">
        <f t="shared" si="4"/>
        <v>#DIV/0!</v>
      </c>
    </row>
    <row r="37" spans="1:23">
      <c r="A37" s="132" t="s">
        <v>85</v>
      </c>
      <c r="B37" s="133"/>
      <c r="C37" s="136">
        <v>99</v>
      </c>
      <c r="D37" s="136">
        <v>50.5</v>
      </c>
      <c r="E37" s="136">
        <v>5.5</v>
      </c>
      <c r="F37" s="137">
        <v>13350</v>
      </c>
      <c r="G37" s="153"/>
      <c r="H37" s="153"/>
      <c r="I37" s="153"/>
      <c r="J37" s="154"/>
      <c r="K37" s="156"/>
      <c r="L37" s="156"/>
      <c r="M37" s="156"/>
      <c r="N37" s="156"/>
      <c r="O37" s="185">
        <f t="shared" si="5"/>
        <v>5.2444954980000009</v>
      </c>
      <c r="P37" s="147">
        <f t="shared" si="0"/>
        <v>13350</v>
      </c>
      <c r="Q37" s="148">
        <f t="shared" si="6"/>
        <v>13.3</v>
      </c>
      <c r="R37" s="148">
        <f t="shared" si="7"/>
        <v>13.3</v>
      </c>
      <c r="S37" s="135">
        <f>VLOOKUP(A37,[1]Index!$E:$M,7,)</f>
        <v>619.45343703992307</v>
      </c>
      <c r="T37" s="149">
        <f t="shared" si="1"/>
        <v>-12730.546562960077</v>
      </c>
      <c r="U37" s="150">
        <f t="shared" si="2"/>
        <v>-20.551256642942167</v>
      </c>
      <c r="V37" s="151">
        <f t="shared" si="3"/>
        <v>0.97120287000000005</v>
      </c>
      <c r="W37" s="80">
        <f t="shared" si="4"/>
        <v>13.694358213747865</v>
      </c>
    </row>
    <row r="38" spans="1:23">
      <c r="A38" s="132" t="s">
        <v>86</v>
      </c>
      <c r="B38" s="133"/>
      <c r="C38" s="136">
        <v>76</v>
      </c>
      <c r="D38" s="136">
        <v>76</v>
      </c>
      <c r="E38" s="136">
        <v>5</v>
      </c>
      <c r="F38" s="137">
        <v>14725</v>
      </c>
      <c r="G38" s="153"/>
      <c r="H38" s="153"/>
      <c r="I38" s="153"/>
      <c r="J38" s="154"/>
      <c r="K38" s="156"/>
      <c r="L38" s="156"/>
      <c r="M38" s="156"/>
      <c r="N38" s="156"/>
      <c r="O38" s="185">
        <f t="shared" si="5"/>
        <v>5.5082246399999999</v>
      </c>
      <c r="P38" s="147">
        <f t="shared" si="0"/>
        <v>14725</v>
      </c>
      <c r="Q38" s="148">
        <f t="shared" si="6"/>
        <v>14.7</v>
      </c>
      <c r="R38" s="148">
        <f t="shared" si="7"/>
        <v>14.7</v>
      </c>
      <c r="S38" s="135">
        <f>VLOOKUP(A38,[1]Index!$E:$M,7,)</f>
        <v>787.80537006552311</v>
      </c>
      <c r="T38" s="149">
        <f t="shared" si="1"/>
        <v>-13937.194629934476</v>
      </c>
      <c r="U38" s="150">
        <f t="shared" si="2"/>
        <v>-17.691164797182452</v>
      </c>
      <c r="V38" s="151">
        <f t="shared" si="3"/>
        <v>1.0200415999999999</v>
      </c>
      <c r="W38" s="80">
        <f t="shared" si="4"/>
        <v>14.411176955920229</v>
      </c>
    </row>
    <row r="39" spans="1:23">
      <c r="A39" s="132" t="s">
        <v>87</v>
      </c>
      <c r="B39" s="133"/>
      <c r="C39" s="136">
        <v>103</v>
      </c>
      <c r="D39" s="136">
        <v>48.02</v>
      </c>
      <c r="E39" s="136">
        <v>5.4</v>
      </c>
      <c r="F39" s="137">
        <v>12995</v>
      </c>
      <c r="G39" s="153"/>
      <c r="H39" s="153"/>
      <c r="I39" s="153"/>
      <c r="J39" s="154"/>
      <c r="K39" s="156"/>
      <c r="L39" s="156"/>
      <c r="M39" s="156"/>
      <c r="N39" s="156"/>
      <c r="O39" s="185">
        <f t="shared" si="5"/>
        <v>5.0941015110720018</v>
      </c>
      <c r="P39" s="147">
        <f t="shared" si="0"/>
        <v>12995</v>
      </c>
      <c r="Q39" s="148">
        <f t="shared" si="6"/>
        <v>12.9</v>
      </c>
      <c r="R39" s="148">
        <f t="shared" si="7"/>
        <v>12.9</v>
      </c>
      <c r="S39" s="135">
        <f>VLOOKUP(A39,[1]Index!$E:$M,7,)</f>
        <v>590.21813495600009</v>
      </c>
      <c r="T39" s="149">
        <f t="shared" si="1"/>
        <v>-12404.781865044</v>
      </c>
      <c r="U39" s="150">
        <f t="shared" si="2"/>
        <v>-21.017283492939029</v>
      </c>
      <c r="V39" s="151">
        <f t="shared" si="3"/>
        <v>0.94335213168000021</v>
      </c>
      <c r="W39" s="80">
        <f t="shared" si="4"/>
        <v>13.674639158366668</v>
      </c>
    </row>
    <row r="40" spans="1:23">
      <c r="A40" s="132" t="s">
        <v>88</v>
      </c>
      <c r="B40" s="133"/>
      <c r="C40" s="136">
        <v>106</v>
      </c>
      <c r="D40" s="136">
        <v>63</v>
      </c>
      <c r="E40" s="136">
        <v>5</v>
      </c>
      <c r="F40" s="137">
        <v>8560</v>
      </c>
      <c r="G40" s="153"/>
      <c r="H40" s="153"/>
      <c r="I40" s="153"/>
      <c r="J40" s="154"/>
      <c r="K40" s="156"/>
      <c r="L40" s="156"/>
      <c r="M40" s="156"/>
      <c r="N40" s="156"/>
      <c r="O40" s="185">
        <f t="shared" si="5"/>
        <v>6.368407920000001</v>
      </c>
      <c r="P40" s="147">
        <f t="shared" si="0"/>
        <v>8560</v>
      </c>
      <c r="Q40" s="148">
        <f t="shared" si="6"/>
        <v>8.5</v>
      </c>
      <c r="R40" s="148">
        <f t="shared" si="7"/>
        <v>8.5</v>
      </c>
      <c r="S40" s="135">
        <f>VLOOKUP(A40,[1]Index!$E:$M,7,)</f>
        <v>475.74860248549999</v>
      </c>
      <c r="T40" s="149">
        <f t="shared" si="1"/>
        <v>-8084.2513975145002</v>
      </c>
      <c r="U40" s="150">
        <f t="shared" si="2"/>
        <v>-16.992696048457429</v>
      </c>
      <c r="V40" s="151">
        <f t="shared" si="3"/>
        <v>1.1793348000000001</v>
      </c>
      <c r="W40" s="80">
        <f t="shared" si="4"/>
        <v>7.2074528793689447</v>
      </c>
    </row>
    <row r="41" spans="1:23" ht="12.4" customHeight="1">
      <c r="A41" s="132" t="s">
        <v>89</v>
      </c>
      <c r="B41" s="133"/>
      <c r="C41" s="136">
        <v>105</v>
      </c>
      <c r="D41" s="136">
        <v>60</v>
      </c>
      <c r="E41" s="136">
        <v>4</v>
      </c>
      <c r="F41" s="137">
        <v>9970</v>
      </c>
      <c r="G41" s="153"/>
      <c r="H41" s="153"/>
      <c r="I41" s="153"/>
      <c r="J41" s="154"/>
      <c r="K41" s="156"/>
      <c r="L41" s="156"/>
      <c r="M41" s="156"/>
      <c r="N41" s="156"/>
      <c r="O41" s="185">
        <f t="shared" si="5"/>
        <v>4.8063456000000002</v>
      </c>
      <c r="P41" s="147">
        <f t="shared" si="0"/>
        <v>9970</v>
      </c>
      <c r="Q41" s="148">
        <f t="shared" si="6"/>
        <v>9.9</v>
      </c>
      <c r="R41" s="148">
        <f t="shared" si="7"/>
        <v>9.9</v>
      </c>
      <c r="S41" s="135">
        <f>VLOOKUP(A41,[1]Index!$E:$M,7,)</f>
        <v>480.4707874854999</v>
      </c>
      <c r="T41" s="149">
        <f t="shared" si="1"/>
        <v>-9489.5292125145006</v>
      </c>
      <c r="U41" s="150">
        <f t="shared" si="2"/>
        <v>-19.750481110781131</v>
      </c>
      <c r="V41" s="151">
        <f t="shared" si="3"/>
        <v>0.89006399999999997</v>
      </c>
      <c r="W41" s="80">
        <f t="shared" si="4"/>
        <v>11.122795664132019</v>
      </c>
    </row>
    <row r="42" spans="1:23">
      <c r="A42" s="132" t="s">
        <v>91</v>
      </c>
      <c r="B42" s="133"/>
      <c r="C42" s="136">
        <v>80</v>
      </c>
      <c r="D42" s="136">
        <v>80</v>
      </c>
      <c r="E42" s="136">
        <v>12</v>
      </c>
      <c r="F42" s="137">
        <v>17220</v>
      </c>
      <c r="G42" s="153"/>
      <c r="H42" s="153"/>
      <c r="I42" s="153"/>
      <c r="J42" s="154"/>
      <c r="K42" s="156"/>
      <c r="L42" s="156"/>
      <c r="M42" s="156"/>
      <c r="N42" s="156"/>
      <c r="O42" s="185">
        <f t="shared" si="5"/>
        <v>14.647910400000001</v>
      </c>
      <c r="P42" s="147">
        <f t="shared" si="0"/>
        <v>17220</v>
      </c>
      <c r="Q42" s="148">
        <f t="shared" si="6"/>
        <v>17.2</v>
      </c>
      <c r="R42" s="148">
        <f t="shared" si="7"/>
        <v>17.2</v>
      </c>
      <c r="S42" s="135">
        <f>VLOOKUP(A42,[1]Index!$E:$M,7,)</f>
        <v>684.5236506852691</v>
      </c>
      <c r="T42" s="149">
        <f t="shared" si="1"/>
        <v>-16535.476349314729</v>
      </c>
      <c r="U42" s="150">
        <f t="shared" si="2"/>
        <v>-24.156179750343536</v>
      </c>
      <c r="V42" s="151">
        <f t="shared" si="3"/>
        <v>2.7125759999999999</v>
      </c>
      <c r="W42" s="80">
        <f t="shared" si="4"/>
        <v>6.3408361645904119</v>
      </c>
    </row>
    <row r="43" spans="1:23" ht="12.4" customHeight="1">
      <c r="A43" s="132" t="s">
        <v>384</v>
      </c>
      <c r="B43" s="133"/>
      <c r="C43" s="136">
        <v>111.7</v>
      </c>
      <c r="D43" s="136">
        <v>58</v>
      </c>
      <c r="E43" s="136">
        <v>6</v>
      </c>
      <c r="F43" s="137">
        <v>16500</v>
      </c>
      <c r="G43" s="138"/>
      <c r="H43" s="138"/>
      <c r="I43" s="138"/>
      <c r="J43" s="139"/>
      <c r="K43" s="140"/>
      <c r="L43" s="140"/>
      <c r="M43" s="140"/>
      <c r="N43" s="140"/>
      <c r="O43" s="185">
        <f t="shared" si="5"/>
        <v>7.413902524800001</v>
      </c>
      <c r="P43" s="147">
        <f t="shared" si="0"/>
        <v>16500</v>
      </c>
      <c r="Q43" s="148">
        <f t="shared" si="6"/>
        <v>16.5</v>
      </c>
      <c r="R43" s="148">
        <f t="shared" si="7"/>
        <v>16.5</v>
      </c>
      <c r="S43" s="135">
        <f>VLOOKUP(A43,[1]Index!$E:$M,7,)</f>
        <v>899.13369055599992</v>
      </c>
      <c r="T43" s="149">
        <f t="shared" si="1"/>
        <v>-15600.866309444</v>
      </c>
      <c r="U43" s="150">
        <f t="shared" si="2"/>
        <v>-17.350997380374931</v>
      </c>
      <c r="V43" s="151">
        <f t="shared" si="3"/>
        <v>1.3729449120000001</v>
      </c>
      <c r="W43" s="80">
        <f t="shared" si="4"/>
        <v>12.017962159868508</v>
      </c>
    </row>
    <row r="44" spans="1:23">
      <c r="A44" s="132" t="s">
        <v>94</v>
      </c>
      <c r="B44" s="133"/>
      <c r="C44" s="136">
        <v>98.7</v>
      </c>
      <c r="D44" s="136">
        <v>50.7</v>
      </c>
      <c r="E44" s="136">
        <v>6</v>
      </c>
      <c r="F44" s="137">
        <v>13200</v>
      </c>
      <c r="G44" s="138"/>
      <c r="H44" s="138"/>
      <c r="I44" s="138"/>
      <c r="J44" s="139"/>
      <c r="K44" s="140"/>
      <c r="L44" s="140"/>
      <c r="M44" s="140"/>
      <c r="N44" s="140"/>
      <c r="O44" s="185">
        <f t="shared" si="5"/>
        <v>5.7265204651200001</v>
      </c>
      <c r="P44" s="147">
        <f t="shared" si="0"/>
        <v>13200</v>
      </c>
      <c r="Q44" s="148">
        <f t="shared" si="6"/>
        <v>13.2</v>
      </c>
      <c r="R44" s="148">
        <f t="shared" si="7"/>
        <v>13.2</v>
      </c>
      <c r="S44" s="135">
        <f>VLOOKUP(A44,[1]Index!$E:$M,7,)</f>
        <v>734.10442039499992</v>
      </c>
      <c r="T44" s="149">
        <f t="shared" si="1"/>
        <v>-12465.895579605</v>
      </c>
      <c r="U44" s="150">
        <f t="shared" si="2"/>
        <v>-16.981093197746269</v>
      </c>
      <c r="V44" s="151">
        <f t="shared" si="3"/>
        <v>1.0604667528</v>
      </c>
      <c r="W44" s="80">
        <f t="shared" si="4"/>
        <v>12.447349212172302</v>
      </c>
    </row>
    <row r="45" spans="1:23">
      <c r="A45" s="132" t="s">
        <v>96</v>
      </c>
      <c r="B45" s="133"/>
      <c r="C45" s="136">
        <v>107</v>
      </c>
      <c r="D45" s="136">
        <v>49</v>
      </c>
      <c r="E45" s="136">
        <v>8.3000000000000007</v>
      </c>
      <c r="F45" s="137">
        <v>19085</v>
      </c>
      <c r="G45" s="153"/>
      <c r="H45" s="153"/>
      <c r="I45" s="153"/>
      <c r="J45" s="154"/>
      <c r="K45" s="156"/>
      <c r="L45" s="156"/>
      <c r="M45" s="156"/>
      <c r="N45" s="156"/>
      <c r="O45" s="185">
        <f t="shared" si="5"/>
        <v>8.2998913032000026</v>
      </c>
      <c r="P45" s="147">
        <f t="shared" si="0"/>
        <v>19085</v>
      </c>
      <c r="Q45" s="148">
        <f t="shared" si="6"/>
        <v>19</v>
      </c>
      <c r="R45" s="148">
        <f t="shared" si="7"/>
        <v>19</v>
      </c>
      <c r="S45" s="135">
        <f>VLOOKUP(A45,[1]Index!$E:$M,7,)</f>
        <v>842.76650461538452</v>
      </c>
      <c r="T45" s="149">
        <f t="shared" si="1"/>
        <v>-18242.233495384615</v>
      </c>
      <c r="U45" s="150">
        <f t="shared" si="2"/>
        <v>-21.645655582514955</v>
      </c>
      <c r="V45" s="151">
        <f t="shared" si="3"/>
        <v>1.5370169080000002</v>
      </c>
      <c r="W45" s="80">
        <f t="shared" si="4"/>
        <v>12.361607670746585</v>
      </c>
    </row>
    <row r="46" spans="1:23">
      <c r="A46" s="132" t="s">
        <v>100</v>
      </c>
      <c r="B46" s="133"/>
      <c r="C46" s="136">
        <v>112</v>
      </c>
      <c r="D46" s="136">
        <v>41</v>
      </c>
      <c r="E46" s="136">
        <v>6.5</v>
      </c>
      <c r="F46" s="137">
        <v>7000</v>
      </c>
      <c r="G46" s="153"/>
      <c r="H46" s="153"/>
      <c r="I46" s="153"/>
      <c r="J46" s="154"/>
      <c r="K46" s="156"/>
      <c r="L46" s="156"/>
      <c r="M46" s="156"/>
      <c r="N46" s="156"/>
      <c r="O46" s="185">
        <f t="shared" si="5"/>
        <v>5.6928493439999999</v>
      </c>
      <c r="P46" s="147">
        <f t="shared" si="0"/>
        <v>7000</v>
      </c>
      <c r="Q46" s="148">
        <f t="shared" si="6"/>
        <v>7</v>
      </c>
      <c r="R46" s="148">
        <f t="shared" si="7"/>
        <v>7</v>
      </c>
      <c r="S46" s="135">
        <f>VLOOKUP(A46,[1]Index!$E:$M,7,)</f>
        <v>399.47396333307688</v>
      </c>
      <c r="T46" s="149">
        <f t="shared" si="1"/>
        <v>-6600.5260366669227</v>
      </c>
      <c r="U46" s="150">
        <f t="shared" si="2"/>
        <v>-16.523044409689046</v>
      </c>
      <c r="V46" s="151">
        <f t="shared" si="3"/>
        <v>1.05423136</v>
      </c>
      <c r="W46" s="80">
        <f t="shared" si="4"/>
        <v>6.6399087198468472</v>
      </c>
    </row>
    <row r="47" spans="1:23">
      <c r="A47" s="132" t="s">
        <v>101</v>
      </c>
      <c r="B47" s="133"/>
      <c r="C47" s="136">
        <v>85</v>
      </c>
      <c r="D47" s="136">
        <v>85</v>
      </c>
      <c r="E47" s="136">
        <v>4.5</v>
      </c>
      <c r="F47" s="137">
        <v>10790</v>
      </c>
      <c r="G47" s="153"/>
      <c r="H47" s="153"/>
      <c r="I47" s="153"/>
      <c r="J47" s="154"/>
      <c r="K47" s="156"/>
      <c r="L47" s="156"/>
      <c r="M47" s="156"/>
      <c r="N47" s="156"/>
      <c r="O47" s="185">
        <f t="shared" si="5"/>
        <v>6.2010440999999998</v>
      </c>
      <c r="P47" s="147">
        <f t="shared" si="0"/>
        <v>10790</v>
      </c>
      <c r="Q47" s="148">
        <f t="shared" si="6"/>
        <v>10.7</v>
      </c>
      <c r="R47" s="148">
        <f t="shared" si="7"/>
        <v>10.7</v>
      </c>
      <c r="S47" s="135">
        <f>VLOOKUP(A47,[1]Index!$E:$M,7,)</f>
        <v>1277.990889083077</v>
      </c>
      <c r="T47" s="149">
        <f t="shared" si="1"/>
        <v>-9512.0091109169225</v>
      </c>
      <c r="U47" s="150">
        <f t="shared" si="2"/>
        <v>-7.4429396892974138</v>
      </c>
      <c r="V47" s="151">
        <f t="shared" si="3"/>
        <v>1.1483414999999999</v>
      </c>
      <c r="W47" s="80">
        <f t="shared" si="4"/>
        <v>9.3177856935415129</v>
      </c>
    </row>
    <row r="48" spans="1:23">
      <c r="A48" s="132" t="s">
        <v>102</v>
      </c>
      <c r="B48" s="133"/>
      <c r="C48" s="136">
        <v>158.5</v>
      </c>
      <c r="D48" s="136">
        <v>84</v>
      </c>
      <c r="E48" s="136">
        <v>4.5</v>
      </c>
      <c r="F48" s="137">
        <v>18000</v>
      </c>
      <c r="G48" s="153"/>
      <c r="H48" s="153"/>
      <c r="I48" s="153"/>
      <c r="J48" s="154"/>
      <c r="K48" s="156"/>
      <c r="L48" s="156"/>
      <c r="M48" s="156"/>
      <c r="N48" s="156"/>
      <c r="O48" s="185">
        <f t="shared" si="5"/>
        <v>11.427086664000001</v>
      </c>
      <c r="P48" s="147">
        <f t="shared" si="0"/>
        <v>18000</v>
      </c>
      <c r="Q48" s="148">
        <f t="shared" si="6"/>
        <v>18</v>
      </c>
      <c r="R48" s="148">
        <f t="shared" si="7"/>
        <v>18</v>
      </c>
      <c r="S48" s="135">
        <f>VLOOKUP(A48,[1]Index!$E:$M,7,)</f>
        <v>1611.7534381292</v>
      </c>
      <c r="T48" s="149">
        <f t="shared" si="1"/>
        <v>-16388.246561870801</v>
      </c>
      <c r="U48" s="150">
        <f t="shared" si="2"/>
        <v>-10.167961286245509</v>
      </c>
      <c r="V48" s="151">
        <f t="shared" si="3"/>
        <v>2.11612716</v>
      </c>
      <c r="W48" s="80">
        <f t="shared" si="4"/>
        <v>8.5061050868039523</v>
      </c>
    </row>
    <row r="49" spans="1:23">
      <c r="A49" s="132" t="s">
        <v>103</v>
      </c>
      <c r="B49" s="133"/>
      <c r="C49" s="136">
        <v>107</v>
      </c>
      <c r="D49" s="136">
        <v>41</v>
      </c>
      <c r="E49" s="136">
        <v>6.5</v>
      </c>
      <c r="F49" s="137">
        <v>5940</v>
      </c>
      <c r="G49" s="153"/>
      <c r="H49" s="153"/>
      <c r="I49" s="153"/>
      <c r="J49" s="154"/>
      <c r="K49" s="156"/>
      <c r="L49" s="156"/>
      <c r="M49" s="156"/>
      <c r="N49" s="156"/>
      <c r="O49" s="185">
        <f t="shared" si="5"/>
        <v>5.4387042840000008</v>
      </c>
      <c r="P49" s="147">
        <f t="shared" si="0"/>
        <v>5940</v>
      </c>
      <c r="Q49" s="148">
        <f t="shared" si="6"/>
        <v>5.9</v>
      </c>
      <c r="R49" s="148">
        <f t="shared" si="7"/>
        <v>5.9</v>
      </c>
      <c r="S49" s="135">
        <f>VLOOKUP(A49,[1]Index!$E:$M,7,)</f>
        <v>572.80687039615384</v>
      </c>
      <c r="T49" s="149">
        <f t="shared" si="1"/>
        <v>-5367.1931296038465</v>
      </c>
      <c r="U49" s="150">
        <f t="shared" si="2"/>
        <v>-9.3699873499978974</v>
      </c>
      <c r="V49" s="151">
        <f t="shared" si="3"/>
        <v>1.00716746</v>
      </c>
      <c r="W49" s="80">
        <f t="shared" si="4"/>
        <v>5.8580129266686196</v>
      </c>
    </row>
    <row r="50" spans="1:23">
      <c r="A50" s="132" t="s">
        <v>105</v>
      </c>
      <c r="B50" s="133"/>
      <c r="C50" s="136">
        <v>85</v>
      </c>
      <c r="D50" s="136">
        <v>34</v>
      </c>
      <c r="E50" s="136">
        <v>4.5</v>
      </c>
      <c r="F50" s="137">
        <v>3180</v>
      </c>
      <c r="G50" s="153"/>
      <c r="H50" s="153"/>
      <c r="I50" s="153"/>
      <c r="J50" s="154"/>
      <c r="K50" s="156"/>
      <c r="L50" s="156"/>
      <c r="M50" s="156"/>
      <c r="N50" s="156"/>
      <c r="O50" s="185">
        <f t="shared" si="5"/>
        <v>2.4804176400000002</v>
      </c>
      <c r="P50" s="147">
        <f t="shared" si="0"/>
        <v>3180</v>
      </c>
      <c r="Q50" s="148">
        <f t="shared" si="6"/>
        <v>3.1</v>
      </c>
      <c r="R50" s="148">
        <f t="shared" si="7"/>
        <v>3.1</v>
      </c>
      <c r="S50" s="135">
        <f>VLOOKUP(A50,[1]Index!$E:$M,7,)</f>
        <v>425.14212356307695</v>
      </c>
      <c r="T50" s="149">
        <f t="shared" si="1"/>
        <v>-2754.8578764369231</v>
      </c>
      <c r="U50" s="150">
        <f t="shared" si="2"/>
        <v>-6.4798516160871404</v>
      </c>
      <c r="V50" s="151">
        <f t="shared" si="3"/>
        <v>0.45933659999999998</v>
      </c>
      <c r="W50" s="80">
        <f t="shared" si="4"/>
        <v>6.7488634696211891</v>
      </c>
    </row>
    <row r="51" spans="1:23">
      <c r="A51" s="132" t="s">
        <v>106</v>
      </c>
      <c r="B51" s="133"/>
      <c r="C51" s="136">
        <v>30</v>
      </c>
      <c r="D51" s="136">
        <v>25</v>
      </c>
      <c r="E51" s="136">
        <v>4</v>
      </c>
      <c r="F51" s="137">
        <v>1425</v>
      </c>
      <c r="G51" s="153"/>
      <c r="H51" s="153"/>
      <c r="I51" s="153"/>
      <c r="J51" s="154"/>
      <c r="K51" s="156"/>
      <c r="L51" s="156"/>
      <c r="M51" s="156"/>
      <c r="N51" s="156"/>
      <c r="O51" s="185">
        <f t="shared" si="5"/>
        <v>0.57218400000000003</v>
      </c>
      <c r="P51" s="147">
        <f t="shared" si="0"/>
        <v>1425</v>
      </c>
      <c r="Q51" s="148">
        <f t="shared" si="6"/>
        <v>1.4</v>
      </c>
      <c r="R51" s="148">
        <f t="shared" si="7"/>
        <v>1.4</v>
      </c>
      <c r="S51" s="135">
        <f>VLOOKUP(A51,[1]Index!$E:$M,7,)</f>
        <v>112.11461897453846</v>
      </c>
      <c r="T51" s="149">
        <f t="shared" si="1"/>
        <v>-1312.8853810254616</v>
      </c>
      <c r="U51" s="150">
        <f t="shared" si="2"/>
        <v>-11.710206867167086</v>
      </c>
      <c r="V51" s="151">
        <f t="shared" si="3"/>
        <v>0.10596</v>
      </c>
      <c r="W51" s="80">
        <f t="shared" si="4"/>
        <v>13.212533031332578</v>
      </c>
    </row>
    <row r="52" spans="1:23">
      <c r="A52" s="132" t="s">
        <v>385</v>
      </c>
      <c r="B52" s="133"/>
      <c r="C52" s="136">
        <v>25</v>
      </c>
      <c r="D52" s="136">
        <v>20</v>
      </c>
      <c r="E52" s="136">
        <v>6</v>
      </c>
      <c r="F52" s="137">
        <v>580</v>
      </c>
      <c r="G52" s="153"/>
      <c r="H52" s="153"/>
      <c r="I52" s="153"/>
      <c r="J52" s="154"/>
      <c r="K52" s="156"/>
      <c r="L52" s="156"/>
      <c r="M52" s="156"/>
      <c r="N52" s="156"/>
      <c r="O52" s="185">
        <f t="shared" si="5"/>
        <v>0.57218400000000003</v>
      </c>
      <c r="P52" s="147">
        <f t="shared" si="0"/>
        <v>580</v>
      </c>
      <c r="Q52" s="148">
        <f t="shared" si="6"/>
        <v>0.5</v>
      </c>
      <c r="R52" s="148">
        <f t="shared" si="7"/>
        <v>0.57218400000000003</v>
      </c>
      <c r="S52" s="135" t="e">
        <f>VLOOKUP(A52,[1]Index!$E:$M,7,)</f>
        <v>#N/A</v>
      </c>
      <c r="T52" s="149" t="e">
        <f t="shared" si="1"/>
        <v>#N/A</v>
      </c>
      <c r="U52" s="150" t="e">
        <f t="shared" si="2"/>
        <v>#N/A</v>
      </c>
      <c r="V52" s="151">
        <f t="shared" si="3"/>
        <v>0.10596</v>
      </c>
      <c r="W52" s="80">
        <f t="shared" si="4"/>
        <v>4.7187617969044924</v>
      </c>
    </row>
    <row r="53" spans="1:23">
      <c r="A53" s="132" t="s">
        <v>110</v>
      </c>
      <c r="B53" s="133"/>
      <c r="C53" s="136">
        <v>34</v>
      </c>
      <c r="D53" s="136">
        <v>32</v>
      </c>
      <c r="E53" s="136">
        <v>6.5</v>
      </c>
      <c r="F53" s="137">
        <v>900</v>
      </c>
      <c r="G53" s="153"/>
      <c r="H53" s="153"/>
      <c r="I53" s="153"/>
      <c r="J53" s="154"/>
      <c r="K53" s="156"/>
      <c r="L53" s="156"/>
      <c r="M53" s="156"/>
      <c r="N53" s="156"/>
      <c r="O53" s="185">
        <f t="shared" si="5"/>
        <v>1.3488284160000001</v>
      </c>
      <c r="P53" s="147">
        <f t="shared" si="0"/>
        <v>900</v>
      </c>
      <c r="Q53" s="148">
        <f t="shared" si="6"/>
        <v>0.9</v>
      </c>
      <c r="R53" s="148">
        <f t="shared" si="7"/>
        <v>1.3488284160000001</v>
      </c>
      <c r="S53" s="135">
        <f>VLOOKUP(A53,[1]Index!$E:$M,7,)</f>
        <v>141.35171865907691</v>
      </c>
      <c r="T53" s="149">
        <f t="shared" si="1"/>
        <v>-758.64828134092306</v>
      </c>
      <c r="U53" s="150">
        <f t="shared" si="2"/>
        <v>-5.3670962655267749</v>
      </c>
      <c r="V53" s="151">
        <f t="shared" si="3"/>
        <v>0.24978304000000001</v>
      </c>
      <c r="W53" s="80">
        <f t="shared" si="4"/>
        <v>3.6031269376815973</v>
      </c>
    </row>
    <row r="54" spans="1:23">
      <c r="A54" s="132" t="s">
        <v>111</v>
      </c>
      <c r="B54" s="133"/>
      <c r="C54" s="136">
        <v>28</v>
      </c>
      <c r="D54" s="136">
        <v>19.5</v>
      </c>
      <c r="E54" s="136">
        <v>5.8</v>
      </c>
      <c r="F54" s="137">
        <v>800</v>
      </c>
      <c r="G54" s="153"/>
      <c r="H54" s="153"/>
      <c r="I54" s="153"/>
      <c r="J54" s="154"/>
      <c r="K54" s="156"/>
      <c r="L54" s="156"/>
      <c r="M54" s="156"/>
      <c r="N54" s="156"/>
      <c r="O54" s="185">
        <f t="shared" si="5"/>
        <v>0.60399743039999998</v>
      </c>
      <c r="P54" s="147">
        <f t="shared" si="0"/>
        <v>800</v>
      </c>
      <c r="Q54" s="148">
        <f t="shared" si="6"/>
        <v>0.8</v>
      </c>
      <c r="R54" s="148">
        <f t="shared" si="7"/>
        <v>0.8</v>
      </c>
      <c r="S54" s="135">
        <f>VLOOKUP(A54,[1]Index!$E:$M,7,)</f>
        <v>191.77894688147265</v>
      </c>
      <c r="T54" s="149">
        <f t="shared" si="1"/>
        <v>-608.22105311852738</v>
      </c>
      <c r="U54" s="150">
        <f t="shared" si="2"/>
        <v>-3.1714693557809204</v>
      </c>
      <c r="V54" s="151">
        <f t="shared" si="3"/>
        <v>0.11185137599999999</v>
      </c>
      <c r="W54" s="80">
        <f t="shared" si="4"/>
        <v>7.1523483090632709</v>
      </c>
    </row>
    <row r="55" spans="1:23">
      <c r="A55" s="132" t="s">
        <v>112</v>
      </c>
      <c r="B55" s="133"/>
      <c r="C55" s="136">
        <v>25.2</v>
      </c>
      <c r="D55" s="136">
        <v>24.5</v>
      </c>
      <c r="E55" s="136">
        <v>5.5</v>
      </c>
      <c r="F55" s="137">
        <v>655</v>
      </c>
      <c r="G55" s="153"/>
      <c r="H55" s="153"/>
      <c r="I55" s="153"/>
      <c r="J55" s="154"/>
      <c r="K55" s="156"/>
      <c r="L55" s="156"/>
      <c r="M55" s="156"/>
      <c r="N55" s="156"/>
      <c r="O55" s="185">
        <f t="shared" si="5"/>
        <v>0.64765506959999997</v>
      </c>
      <c r="P55" s="147">
        <f t="shared" si="0"/>
        <v>655</v>
      </c>
      <c r="Q55" s="148">
        <f t="shared" si="6"/>
        <v>0.6</v>
      </c>
      <c r="R55" s="148">
        <f t="shared" si="7"/>
        <v>0.64765506959999997</v>
      </c>
      <c r="S55" s="135" t="e">
        <f>VLOOKUP(A55,[1]Index!$E:$M,7,)</f>
        <v>#N/A</v>
      </c>
      <c r="T55" s="149" t="e">
        <f t="shared" si="1"/>
        <v>#N/A</v>
      </c>
      <c r="U55" s="150" t="e">
        <f t="shared" si="2"/>
        <v>#N/A</v>
      </c>
      <c r="V55" s="151">
        <f t="shared" si="3"/>
        <v>0.11993612399999999</v>
      </c>
      <c r="W55" s="80">
        <f t="shared" si="4"/>
        <v>5.0026629174709702</v>
      </c>
    </row>
    <row r="56" spans="1:23">
      <c r="A56" s="132" t="s">
        <v>113</v>
      </c>
      <c r="B56" s="133"/>
      <c r="C56" s="136">
        <v>34.5</v>
      </c>
      <c r="D56" s="136">
        <v>32</v>
      </c>
      <c r="E56" s="136">
        <v>6.3</v>
      </c>
      <c r="F56" s="137">
        <v>1275</v>
      </c>
      <c r="G56" s="153"/>
      <c r="H56" s="153"/>
      <c r="I56" s="153"/>
      <c r="J56" s="154"/>
      <c r="K56" s="156"/>
      <c r="L56" s="156"/>
      <c r="M56" s="156"/>
      <c r="N56" s="156"/>
      <c r="O56" s="185">
        <f t="shared" si="5"/>
        <v>1.3265513856</v>
      </c>
      <c r="P56" s="147">
        <f t="shared" si="0"/>
        <v>1275</v>
      </c>
      <c r="Q56" s="148">
        <f t="shared" si="6"/>
        <v>1.2</v>
      </c>
      <c r="R56" s="148">
        <f t="shared" si="7"/>
        <v>1.3265513856</v>
      </c>
      <c r="S56" s="135" t="e">
        <f>VLOOKUP(A56,[1]Index!$E:$M,7,)</f>
        <v>#N/A</v>
      </c>
      <c r="T56" s="149" t="e">
        <f t="shared" si="1"/>
        <v>#N/A</v>
      </c>
      <c r="U56" s="150" t="e">
        <f t="shared" si="2"/>
        <v>#N/A</v>
      </c>
      <c r="V56" s="151">
        <f t="shared" si="3"/>
        <v>0.245657664</v>
      </c>
      <c r="W56" s="80">
        <f t="shared" si="4"/>
        <v>4.8848465806464718</v>
      </c>
    </row>
    <row r="57" spans="1:23">
      <c r="A57" s="132" t="s">
        <v>114</v>
      </c>
      <c r="B57" s="133"/>
      <c r="C57" s="136">
        <v>37.5</v>
      </c>
      <c r="D57" s="136">
        <v>10.5</v>
      </c>
      <c r="E57" s="136">
        <v>6</v>
      </c>
      <c r="F57" s="137">
        <v>335</v>
      </c>
      <c r="G57" s="153"/>
      <c r="H57" s="153"/>
      <c r="I57" s="153"/>
      <c r="J57" s="154"/>
      <c r="K57" s="156"/>
      <c r="L57" s="156"/>
      <c r="M57" s="156"/>
      <c r="N57" s="156"/>
      <c r="O57" s="185">
        <f t="shared" si="5"/>
        <v>0.45059490000000008</v>
      </c>
      <c r="P57" s="147">
        <f t="shared" si="0"/>
        <v>335</v>
      </c>
      <c r="Q57" s="148">
        <f t="shared" si="6"/>
        <v>0.3</v>
      </c>
      <c r="R57" s="148">
        <f t="shared" si="7"/>
        <v>0.45059490000000008</v>
      </c>
      <c r="S57" s="135" t="e">
        <f>VLOOKUP(A57,[1]Index!$E:$M,7,)</f>
        <v>#N/A</v>
      </c>
      <c r="T57" s="149" t="e">
        <f t="shared" si="1"/>
        <v>#N/A</v>
      </c>
      <c r="U57" s="150" t="e">
        <f t="shared" si="2"/>
        <v>#N/A</v>
      </c>
      <c r="V57" s="151">
        <f t="shared" si="3"/>
        <v>8.3443500000000004E-2</v>
      </c>
      <c r="W57" s="80">
        <f t="shared" si="4"/>
        <v>3.5952470833558032</v>
      </c>
    </row>
    <row r="58" spans="1:23">
      <c r="A58" s="132" t="s">
        <v>115</v>
      </c>
      <c r="B58" s="133"/>
      <c r="C58" s="136">
        <v>38.5</v>
      </c>
      <c r="D58" s="136">
        <v>30.5</v>
      </c>
      <c r="E58" s="136">
        <v>8.5</v>
      </c>
      <c r="F58" s="137">
        <v>3000</v>
      </c>
      <c r="G58" s="153"/>
      <c r="H58" s="153"/>
      <c r="I58" s="153"/>
      <c r="J58" s="154"/>
      <c r="K58" s="156"/>
      <c r="L58" s="156"/>
      <c r="M58" s="156"/>
      <c r="N58" s="156"/>
      <c r="O58" s="185">
        <f t="shared" si="5"/>
        <v>1.9036800090000001</v>
      </c>
      <c r="P58" s="147">
        <f t="shared" si="0"/>
        <v>3000</v>
      </c>
      <c r="Q58" s="148">
        <f t="shared" si="6"/>
        <v>3</v>
      </c>
      <c r="R58" s="148">
        <f t="shared" si="7"/>
        <v>3</v>
      </c>
      <c r="S58" s="135">
        <f>VLOOKUP(A58,[1]Index!$E:$M,7,)</f>
        <v>248.43862754236557</v>
      </c>
      <c r="T58" s="149">
        <f t="shared" si="1"/>
        <v>-2751.5613724576342</v>
      </c>
      <c r="U58" s="150">
        <f t="shared" si="2"/>
        <v>-11.075416893407278</v>
      </c>
      <c r="V58" s="151">
        <f t="shared" si="3"/>
        <v>0.352533335</v>
      </c>
      <c r="W58" s="80">
        <f t="shared" si="4"/>
        <v>8.5098335452447351</v>
      </c>
    </row>
    <row r="59" spans="1:23" ht="12.4" customHeight="1">
      <c r="A59" s="132" t="s">
        <v>116</v>
      </c>
      <c r="B59" s="133"/>
      <c r="C59" s="136">
        <v>56.5</v>
      </c>
      <c r="D59" s="136">
        <v>36.5</v>
      </c>
      <c r="E59" s="136">
        <v>8.5</v>
      </c>
      <c r="F59" s="137">
        <v>4800</v>
      </c>
      <c r="G59" s="153"/>
      <c r="H59" s="153"/>
      <c r="I59" s="153"/>
      <c r="J59" s="154"/>
      <c r="K59" s="156"/>
      <c r="L59" s="156"/>
      <c r="M59" s="156"/>
      <c r="N59" s="156"/>
      <c r="O59" s="185">
        <f t="shared" si="5"/>
        <v>3.3432949530000005</v>
      </c>
      <c r="P59" s="147">
        <f t="shared" si="0"/>
        <v>4800</v>
      </c>
      <c r="Q59" s="148">
        <f t="shared" si="6"/>
        <v>4.8</v>
      </c>
      <c r="R59" s="148">
        <f t="shared" si="7"/>
        <v>4.8</v>
      </c>
      <c r="S59" s="135">
        <f>VLOOKUP(A59,[1]Index!$E:$M,7,)</f>
        <v>387.60838291914996</v>
      </c>
      <c r="T59" s="149">
        <f t="shared" si="1"/>
        <v>-4412.3916170808498</v>
      </c>
      <c r="U59" s="150">
        <f t="shared" si="2"/>
        <v>-11.383633098567987</v>
      </c>
      <c r="V59" s="151">
        <f t="shared" si="3"/>
        <v>0.61912869500000001</v>
      </c>
      <c r="W59" s="80">
        <f t="shared" si="4"/>
        <v>7.7528307745451857</v>
      </c>
    </row>
    <row r="60" spans="1:23">
      <c r="A60" s="132" t="s">
        <v>117</v>
      </c>
      <c r="B60" s="133"/>
      <c r="C60" s="136">
        <v>24.5</v>
      </c>
      <c r="D60" s="136">
        <v>18.5</v>
      </c>
      <c r="E60" s="136">
        <v>5</v>
      </c>
      <c r="F60" s="137">
        <v>290</v>
      </c>
      <c r="G60" s="153"/>
      <c r="H60" s="153"/>
      <c r="I60" s="153"/>
      <c r="J60" s="154"/>
      <c r="K60" s="156"/>
      <c r="L60" s="156"/>
      <c r="M60" s="156"/>
      <c r="N60" s="156"/>
      <c r="O60" s="185">
        <f t="shared" si="5"/>
        <v>0.43223733000000003</v>
      </c>
      <c r="P60" s="147">
        <f t="shared" si="0"/>
        <v>290</v>
      </c>
      <c r="Q60" s="148">
        <f t="shared" si="6"/>
        <v>0.2</v>
      </c>
      <c r="R60" s="148">
        <f t="shared" si="7"/>
        <v>0.43223733000000003</v>
      </c>
      <c r="S60" s="135" t="e">
        <f>VLOOKUP(A60,[1]Index!$E:$M,7,)</f>
        <v>#N/A</v>
      </c>
      <c r="T60" s="149" t="e">
        <f t="shared" si="1"/>
        <v>#N/A</v>
      </c>
      <c r="U60" s="150" t="e">
        <f t="shared" si="2"/>
        <v>#N/A</v>
      </c>
      <c r="V60" s="151">
        <f t="shared" si="3"/>
        <v>8.0043950000000003E-2</v>
      </c>
      <c r="W60" s="80">
        <f t="shared" si="4"/>
        <v>2.4986273166179331</v>
      </c>
    </row>
    <row r="61" spans="1:23">
      <c r="A61" s="132" t="s">
        <v>119</v>
      </c>
      <c r="B61" s="133"/>
      <c r="C61" s="136">
        <v>83.5</v>
      </c>
      <c r="D61" s="136">
        <v>21</v>
      </c>
      <c r="E61" s="136">
        <v>10</v>
      </c>
      <c r="F61" s="137">
        <v>7470</v>
      </c>
      <c r="G61" s="153"/>
      <c r="H61" s="153"/>
      <c r="I61" s="153"/>
      <c r="J61" s="154"/>
      <c r="K61" s="156"/>
      <c r="L61" s="156"/>
      <c r="M61" s="156"/>
      <c r="N61" s="156"/>
      <c r="O61" s="185">
        <f t="shared" si="5"/>
        <v>3.3444154800000003</v>
      </c>
      <c r="P61" s="147">
        <f t="shared" si="0"/>
        <v>7470</v>
      </c>
      <c r="Q61" s="148">
        <f t="shared" si="6"/>
        <v>7.4</v>
      </c>
      <c r="R61" s="148">
        <f t="shared" si="7"/>
        <v>7.4</v>
      </c>
      <c r="S61" s="135">
        <f>VLOOKUP(A61,[1]Index!$E:$M,7,)</f>
        <v>389.2139255392724</v>
      </c>
      <c r="T61" s="149">
        <f t="shared" si="1"/>
        <v>-7080.7860744607278</v>
      </c>
      <c r="U61" s="150">
        <f t="shared" si="2"/>
        <v>-18.192530148169798</v>
      </c>
      <c r="V61" s="151">
        <f t="shared" si="3"/>
        <v>0.6193362</v>
      </c>
      <c r="W61" s="80">
        <f t="shared" si="4"/>
        <v>11.948276235104617</v>
      </c>
    </row>
    <row r="62" spans="1:23">
      <c r="A62" s="132" t="s">
        <v>792</v>
      </c>
      <c r="B62" s="133"/>
      <c r="C62" s="136">
        <v>60</v>
      </c>
      <c r="D62" s="136">
        <v>35</v>
      </c>
      <c r="E62" s="136">
        <v>2.6</v>
      </c>
      <c r="F62" s="137">
        <v>3570</v>
      </c>
      <c r="G62" s="138"/>
      <c r="H62" s="138"/>
      <c r="I62" s="138"/>
      <c r="J62" s="139"/>
      <c r="K62" s="140"/>
      <c r="L62" s="140"/>
      <c r="M62" s="140"/>
      <c r="N62" s="140"/>
      <c r="O62" s="185">
        <f t="shared" si="5"/>
        <v>1.04137488</v>
      </c>
      <c r="P62" s="147">
        <f t="shared" si="0"/>
        <v>3570</v>
      </c>
      <c r="Q62" s="148">
        <f t="shared" si="6"/>
        <v>3.5</v>
      </c>
      <c r="R62" s="148">
        <f t="shared" si="7"/>
        <v>3.5</v>
      </c>
      <c r="S62" s="135" t="e">
        <f>VLOOKUP(A62,[1]Index!$E:$M,7,)</f>
        <v>#N/A</v>
      </c>
      <c r="T62" s="149" t="e">
        <f t="shared" si="1"/>
        <v>#N/A</v>
      </c>
      <c r="U62" s="150" t="e">
        <f t="shared" si="2"/>
        <v>#N/A</v>
      </c>
      <c r="V62" s="151">
        <f t="shared" si="3"/>
        <v>0.1928472</v>
      </c>
      <c r="W62" s="80">
        <f t="shared" si="4"/>
        <v>18.149083834248046</v>
      </c>
    </row>
    <row r="63" spans="1:23">
      <c r="A63" s="132" t="s">
        <v>387</v>
      </c>
      <c r="B63" s="133"/>
      <c r="C63" s="136">
        <v>67</v>
      </c>
      <c r="D63" s="136">
        <v>42</v>
      </c>
      <c r="E63" s="136">
        <v>7</v>
      </c>
      <c r="F63" s="137">
        <v>5000</v>
      </c>
      <c r="G63" s="153"/>
      <c r="H63" s="153"/>
      <c r="I63" s="153"/>
      <c r="J63" s="154"/>
      <c r="K63" s="156"/>
      <c r="L63" s="156"/>
      <c r="M63" s="156"/>
      <c r="N63" s="156"/>
      <c r="O63" s="185">
        <f t="shared" si="5"/>
        <v>3.7569601440000002</v>
      </c>
      <c r="P63" s="147">
        <f t="shared" si="0"/>
        <v>5000</v>
      </c>
      <c r="Q63" s="148">
        <f t="shared" si="6"/>
        <v>5</v>
      </c>
      <c r="R63" s="148">
        <f t="shared" si="7"/>
        <v>5</v>
      </c>
      <c r="S63" s="135">
        <f>VLOOKUP(A63,[1]Index!$E:$M,7,)</f>
        <v>275.73483763499996</v>
      </c>
      <c r="T63" s="149">
        <f t="shared" si="1"/>
        <v>-4724.2651623649999</v>
      </c>
      <c r="U63" s="150">
        <f t="shared" si="2"/>
        <v>-17.133363353304954</v>
      </c>
      <c r="V63" s="151">
        <f t="shared" si="3"/>
        <v>0.69573335999999997</v>
      </c>
      <c r="W63" s="80">
        <f t="shared" si="4"/>
        <v>7.1866612806952368</v>
      </c>
    </row>
    <row r="64" spans="1:23">
      <c r="A64" s="132" t="s">
        <v>388</v>
      </c>
      <c r="B64" s="133"/>
      <c r="C64" s="136">
        <v>168</v>
      </c>
      <c r="D64" s="136">
        <v>62</v>
      </c>
      <c r="E64" s="136">
        <v>4</v>
      </c>
      <c r="F64" s="137">
        <v>19500</v>
      </c>
      <c r="G64" s="153"/>
      <c r="H64" s="153"/>
      <c r="I64" s="153"/>
      <c r="J64" s="154"/>
      <c r="K64" s="156"/>
      <c r="L64" s="156"/>
      <c r="M64" s="156"/>
      <c r="N64" s="156"/>
      <c r="O64" s="185">
        <f t="shared" si="5"/>
        <v>7.9464913920000013</v>
      </c>
      <c r="P64" s="147">
        <f t="shared" si="0"/>
        <v>19500</v>
      </c>
      <c r="Q64" s="148">
        <f t="shared" si="6"/>
        <v>19.5</v>
      </c>
      <c r="R64" s="148">
        <f t="shared" si="7"/>
        <v>19.5</v>
      </c>
      <c r="S64" s="135" t="e">
        <f>VLOOKUP(A64,[1]Index!$E:$M,7,)</f>
        <v>#N/A</v>
      </c>
      <c r="T64" s="149" t="e">
        <f t="shared" si="1"/>
        <v>#N/A</v>
      </c>
      <c r="U64" s="150" t="e">
        <f t="shared" si="2"/>
        <v>#N/A</v>
      </c>
      <c r="V64" s="151">
        <f t="shared" si="3"/>
        <v>1.4715724800000001</v>
      </c>
      <c r="W64" s="80">
        <f t="shared" si="4"/>
        <v>13.251131198104492</v>
      </c>
    </row>
    <row r="65" spans="1:23">
      <c r="A65" s="132" t="s">
        <v>389</v>
      </c>
      <c r="B65" s="133"/>
      <c r="C65" s="160">
        <v>19.5</v>
      </c>
      <c r="D65" s="160">
        <v>19.5</v>
      </c>
      <c r="E65" s="160">
        <v>4.5</v>
      </c>
      <c r="F65" s="161">
        <v>270</v>
      </c>
      <c r="G65" s="153"/>
      <c r="H65" s="153"/>
      <c r="I65" s="153"/>
      <c r="J65" s="154"/>
      <c r="K65" s="156"/>
      <c r="L65" s="156"/>
      <c r="M65" s="156"/>
      <c r="N65" s="156"/>
      <c r="O65" s="185">
        <f t="shared" si="5"/>
        <v>0.32635944900000002</v>
      </c>
      <c r="P65" s="147">
        <f t="shared" si="0"/>
        <v>270</v>
      </c>
      <c r="Q65" s="148">
        <f t="shared" si="6"/>
        <v>0.2</v>
      </c>
      <c r="R65" s="148">
        <f t="shared" si="7"/>
        <v>0.32635944900000002</v>
      </c>
      <c r="S65" s="135">
        <f>VLOOKUP(A65,[1]Index!$E:$M,7,)</f>
        <v>62.324471577288456</v>
      </c>
      <c r="T65" s="149">
        <f t="shared" si="1"/>
        <v>-207.67552842271155</v>
      </c>
      <c r="U65" s="150">
        <f t="shared" si="2"/>
        <v>-3.3321666941880692</v>
      </c>
      <c r="V65" s="151">
        <f t="shared" si="3"/>
        <v>6.0436934999999997E-2</v>
      </c>
      <c r="W65" s="80">
        <f t="shared" si="4"/>
        <v>3.3092346592361115</v>
      </c>
    </row>
    <row r="66" spans="1:23">
      <c r="A66" s="132" t="s">
        <v>390</v>
      </c>
      <c r="B66" s="133"/>
      <c r="C66" s="160">
        <v>13</v>
      </c>
      <c r="D66" s="160">
        <v>13</v>
      </c>
      <c r="E66" s="160">
        <v>9</v>
      </c>
      <c r="F66" s="161">
        <v>180</v>
      </c>
      <c r="G66" s="153"/>
      <c r="H66" s="153"/>
      <c r="I66" s="153"/>
      <c r="J66" s="154"/>
      <c r="K66" s="156"/>
      <c r="L66" s="156"/>
      <c r="M66" s="156"/>
      <c r="N66" s="156"/>
      <c r="O66" s="185">
        <f t="shared" si="5"/>
        <v>0.29009728800000001</v>
      </c>
      <c r="P66" s="147">
        <f t="shared" si="0"/>
        <v>180</v>
      </c>
      <c r="Q66" s="148">
        <f t="shared" si="6"/>
        <v>0.1</v>
      </c>
      <c r="R66" s="148">
        <f t="shared" si="7"/>
        <v>0.29009728800000001</v>
      </c>
      <c r="S66" s="135">
        <f>VLOOKUP(A66,[1]Index!$E:$M,7,)</f>
        <v>57.006972916230765</v>
      </c>
      <c r="T66" s="149">
        <f t="shared" si="1"/>
        <v>-122.99302708376923</v>
      </c>
      <c r="U66" s="150">
        <f t="shared" si="2"/>
        <v>-2.1575084729459686</v>
      </c>
      <c r="V66" s="151">
        <f t="shared" si="3"/>
        <v>5.3721720000000001E-2</v>
      </c>
      <c r="W66" s="80">
        <f t="shared" si="4"/>
        <v>1.8614444958203127</v>
      </c>
    </row>
    <row r="67" spans="1:23">
      <c r="A67" s="132" t="s">
        <v>126</v>
      </c>
      <c r="B67" s="133"/>
      <c r="C67" s="136">
        <v>25</v>
      </c>
      <c r="D67" s="136">
        <v>22</v>
      </c>
      <c r="E67" s="136">
        <v>11</v>
      </c>
      <c r="F67" s="137">
        <v>962</v>
      </c>
      <c r="G67" s="153"/>
      <c r="H67" s="153"/>
      <c r="I67" s="153"/>
      <c r="J67" s="154"/>
      <c r="K67" s="156"/>
      <c r="L67" s="156"/>
      <c r="M67" s="156"/>
      <c r="N67" s="156"/>
      <c r="O67" s="185">
        <f t="shared" si="5"/>
        <v>1.1539044000000001</v>
      </c>
      <c r="P67" s="147">
        <f t="shared" si="0"/>
        <v>962</v>
      </c>
      <c r="Q67" s="148">
        <f t="shared" si="6"/>
        <v>0.9</v>
      </c>
      <c r="R67" s="148">
        <f t="shared" si="7"/>
        <v>1.1539044000000001</v>
      </c>
      <c r="S67" s="135">
        <f>VLOOKUP(A67,[1]Index!$E:$M,7,)</f>
        <v>136.39577163934217</v>
      </c>
      <c r="T67" s="149">
        <f t="shared" si="1"/>
        <v>-825.60422836065777</v>
      </c>
      <c r="U67" s="150">
        <f t="shared" si="2"/>
        <v>-6.0530045648608617</v>
      </c>
      <c r="V67" s="151">
        <f t="shared" si="3"/>
        <v>0.21368599999999999</v>
      </c>
      <c r="W67" s="80">
        <f t="shared" si="4"/>
        <v>4.2117873889726054</v>
      </c>
    </row>
    <row r="68" spans="1:23">
      <c r="A68" s="132" t="s">
        <v>127</v>
      </c>
      <c r="B68" s="133"/>
      <c r="C68" s="136">
        <v>21.5</v>
      </c>
      <c r="D68" s="136">
        <v>19</v>
      </c>
      <c r="E68" s="136">
        <v>13.5</v>
      </c>
      <c r="F68" s="137">
        <v>710</v>
      </c>
      <c r="G68" s="153"/>
      <c r="H68" s="153"/>
      <c r="I68" s="153"/>
      <c r="J68" s="154"/>
      <c r="K68" s="156"/>
      <c r="L68" s="156"/>
      <c r="M68" s="156"/>
      <c r="N68" s="156"/>
      <c r="O68" s="185">
        <f t="shared" si="5"/>
        <v>1.0518172380000002</v>
      </c>
      <c r="P68" s="147">
        <f t="shared" ref="P68:P131" si="8">F68+J68+N68</f>
        <v>710</v>
      </c>
      <c r="Q68" s="148">
        <f t="shared" si="6"/>
        <v>0.7</v>
      </c>
      <c r="R68" s="148">
        <f t="shared" si="7"/>
        <v>1.0518172380000002</v>
      </c>
      <c r="S68" s="135">
        <f>VLOOKUP(A68,[1]Index!$E:$M,7,)</f>
        <v>110.33574398818249</v>
      </c>
      <c r="T68" s="149">
        <f t="shared" ref="T68:T131" si="9">S68-P68</f>
        <v>-599.66425601181754</v>
      </c>
      <c r="U68" s="150">
        <f t="shared" ref="U68:U131" si="10">T68/S68</f>
        <v>-5.4349047220458733</v>
      </c>
      <c r="V68" s="151">
        <f t="shared" ref="V68:V131" si="11">(((C68*D68*E68)+(G68*H68*I68)+(K68*L68*M68))/1000000)*35.32</f>
        <v>0.19478097</v>
      </c>
      <c r="W68" s="80">
        <f t="shared" ref="W68:W131" si="12">Q68/V68</f>
        <v>3.5937802342805867</v>
      </c>
    </row>
    <row r="69" spans="1:23">
      <c r="A69" s="132" t="s">
        <v>128</v>
      </c>
      <c r="B69" s="133"/>
      <c r="C69" s="136">
        <v>38</v>
      </c>
      <c r="D69" s="136">
        <v>13</v>
      </c>
      <c r="E69" s="136">
        <v>7</v>
      </c>
      <c r="F69" s="137">
        <v>440</v>
      </c>
      <c r="G69" s="153"/>
      <c r="H69" s="153"/>
      <c r="I69" s="153"/>
      <c r="J69" s="154"/>
      <c r="K69" s="156"/>
      <c r="L69" s="156"/>
      <c r="M69" s="156"/>
      <c r="N69" s="156"/>
      <c r="O69" s="185">
        <f t="shared" ref="O69:O132" si="13">V69*$O$2</f>
        <v>0.65953742400000004</v>
      </c>
      <c r="P69" s="147">
        <f t="shared" si="8"/>
        <v>440</v>
      </c>
      <c r="Q69" s="148">
        <f t="shared" ref="Q69:Q132" si="14">ROUNDDOWN(P69/1000,1)</f>
        <v>0.4</v>
      </c>
      <c r="R69" s="148">
        <f t="shared" ref="R69:R132" si="15">MAX(O69,Q69)</f>
        <v>0.65953742400000004</v>
      </c>
      <c r="S69" s="135" t="e">
        <f>VLOOKUP(A69,[1]Index!$E:$M,7,)</f>
        <v>#N/A</v>
      </c>
      <c r="T69" s="149" t="e">
        <f t="shared" si="9"/>
        <v>#N/A</v>
      </c>
      <c r="U69" s="150" t="e">
        <f t="shared" si="10"/>
        <v>#N/A</v>
      </c>
      <c r="V69" s="151">
        <f t="shared" si="11"/>
        <v>0.12213656000000001</v>
      </c>
      <c r="W69" s="80">
        <f t="shared" si="12"/>
        <v>3.2750226467816024</v>
      </c>
    </row>
    <row r="70" spans="1:23">
      <c r="A70" s="132" t="s">
        <v>129</v>
      </c>
      <c r="B70" s="133"/>
      <c r="C70" s="136">
        <v>38</v>
      </c>
      <c r="D70" s="136">
        <v>13</v>
      </c>
      <c r="E70" s="136">
        <v>7</v>
      </c>
      <c r="F70" s="137">
        <v>430</v>
      </c>
      <c r="G70" s="153"/>
      <c r="H70" s="153"/>
      <c r="I70" s="153"/>
      <c r="J70" s="154"/>
      <c r="K70" s="156"/>
      <c r="L70" s="156"/>
      <c r="M70" s="156"/>
      <c r="N70" s="156"/>
      <c r="O70" s="185">
        <f t="shared" si="13"/>
        <v>0.65953742400000004</v>
      </c>
      <c r="P70" s="147">
        <f t="shared" si="8"/>
        <v>430</v>
      </c>
      <c r="Q70" s="148">
        <f t="shared" si="14"/>
        <v>0.4</v>
      </c>
      <c r="R70" s="148">
        <f t="shared" si="15"/>
        <v>0.65953742400000004</v>
      </c>
      <c r="S70" s="135" t="e">
        <f>VLOOKUP(A70,[1]Index!$E:$M,7,)</f>
        <v>#N/A</v>
      </c>
      <c r="T70" s="149" t="e">
        <f t="shared" si="9"/>
        <v>#N/A</v>
      </c>
      <c r="U70" s="150" t="e">
        <f t="shared" si="10"/>
        <v>#N/A</v>
      </c>
      <c r="V70" s="151">
        <f t="shared" si="11"/>
        <v>0.12213656000000001</v>
      </c>
      <c r="W70" s="80">
        <f t="shared" si="12"/>
        <v>3.2750226467816024</v>
      </c>
    </row>
    <row r="71" spans="1:23">
      <c r="A71" s="132" t="s">
        <v>130</v>
      </c>
      <c r="B71" s="133"/>
      <c r="C71" s="136">
        <v>191</v>
      </c>
      <c r="D71" s="136">
        <v>53</v>
      </c>
      <c r="E71" s="136">
        <v>5</v>
      </c>
      <c r="F71" s="137">
        <v>26300</v>
      </c>
      <c r="G71" s="153"/>
      <c r="H71" s="153"/>
      <c r="I71" s="153"/>
      <c r="J71" s="154"/>
      <c r="K71" s="156"/>
      <c r="L71" s="156"/>
      <c r="M71" s="156"/>
      <c r="N71" s="156"/>
      <c r="O71" s="185">
        <f t="shared" si="13"/>
        <v>9.6536977200000003</v>
      </c>
      <c r="P71" s="147">
        <f t="shared" si="8"/>
        <v>26300</v>
      </c>
      <c r="Q71" s="148">
        <f t="shared" si="14"/>
        <v>26.3</v>
      </c>
      <c r="R71" s="148">
        <f t="shared" si="15"/>
        <v>26.3</v>
      </c>
      <c r="S71" s="135">
        <f>VLOOKUP(A71,[1]Index!$E:$M,7,)</f>
        <v>1877.2091755680526</v>
      </c>
      <c r="T71" s="149">
        <f t="shared" si="9"/>
        <v>-24422.790824431948</v>
      </c>
      <c r="U71" s="150">
        <f t="shared" si="10"/>
        <v>-13.01015951887274</v>
      </c>
      <c r="V71" s="151">
        <f t="shared" si="11"/>
        <v>1.7877217999999999</v>
      </c>
      <c r="W71" s="80">
        <f t="shared" si="12"/>
        <v>14.71146125756256</v>
      </c>
    </row>
    <row r="72" spans="1:23">
      <c r="A72" s="132" t="s">
        <v>131</v>
      </c>
      <c r="B72" s="133"/>
      <c r="C72" s="136">
        <v>190</v>
      </c>
      <c r="D72" s="136">
        <v>40</v>
      </c>
      <c r="E72" s="136">
        <v>5</v>
      </c>
      <c r="F72" s="137">
        <v>17100</v>
      </c>
      <c r="G72" s="153"/>
      <c r="H72" s="153"/>
      <c r="I72" s="153"/>
      <c r="J72" s="154"/>
      <c r="K72" s="156"/>
      <c r="L72" s="156"/>
      <c r="M72" s="156"/>
      <c r="N72" s="156"/>
      <c r="O72" s="185">
        <f t="shared" si="13"/>
        <v>7.2476640000000003</v>
      </c>
      <c r="P72" s="147">
        <f t="shared" si="8"/>
        <v>17100</v>
      </c>
      <c r="Q72" s="148">
        <f t="shared" si="14"/>
        <v>17.100000000000001</v>
      </c>
      <c r="R72" s="148">
        <f t="shared" si="15"/>
        <v>17.100000000000001</v>
      </c>
      <c r="S72" s="135">
        <f>VLOOKUP(A72,[1]Index!$E:$M,7,)</f>
        <v>1175.2555389698498</v>
      </c>
      <c r="T72" s="149">
        <f t="shared" si="9"/>
        <v>-15924.74446103015</v>
      </c>
      <c r="U72" s="150">
        <f t="shared" si="10"/>
        <v>-13.550027149830507</v>
      </c>
      <c r="V72" s="151">
        <f t="shared" si="11"/>
        <v>1.34216</v>
      </c>
      <c r="W72" s="80">
        <f t="shared" si="12"/>
        <v>12.740656851642131</v>
      </c>
    </row>
    <row r="73" spans="1:23" ht="12.4" customHeight="1">
      <c r="A73" s="132" t="s">
        <v>132</v>
      </c>
      <c r="B73" s="133"/>
      <c r="C73" s="136">
        <v>195</v>
      </c>
      <c r="D73" s="136">
        <v>69.5</v>
      </c>
      <c r="E73" s="136">
        <v>7.5</v>
      </c>
      <c r="F73" s="137">
        <v>39800</v>
      </c>
      <c r="G73" s="153"/>
      <c r="H73" s="153"/>
      <c r="I73" s="153"/>
      <c r="J73" s="154"/>
      <c r="K73" s="156"/>
      <c r="L73" s="156"/>
      <c r="M73" s="156"/>
      <c r="N73" s="156"/>
      <c r="O73" s="185">
        <f t="shared" si="13"/>
        <v>19.386309150000002</v>
      </c>
      <c r="P73" s="147">
        <f t="shared" si="8"/>
        <v>39800</v>
      </c>
      <c r="Q73" s="148">
        <f t="shared" si="14"/>
        <v>39.799999999999997</v>
      </c>
      <c r="R73" s="148">
        <f t="shared" si="15"/>
        <v>39.799999999999997</v>
      </c>
      <c r="S73" s="135">
        <f>VLOOKUP(A73,[1]Index!$E:$M,7,)</f>
        <v>2686.3840850557267</v>
      </c>
      <c r="T73" s="149">
        <f t="shared" si="9"/>
        <v>-37113.615914944276</v>
      </c>
      <c r="U73" s="150">
        <f t="shared" si="10"/>
        <v>-13.815454060127216</v>
      </c>
      <c r="V73" s="151">
        <f t="shared" si="11"/>
        <v>3.5900572500000001</v>
      </c>
      <c r="W73" s="80">
        <f t="shared" si="12"/>
        <v>11.086174182876887</v>
      </c>
    </row>
    <row r="74" spans="1:23">
      <c r="A74" s="132" t="s">
        <v>133</v>
      </c>
      <c r="B74" s="133"/>
      <c r="C74" s="136">
        <v>156</v>
      </c>
      <c r="D74" s="136">
        <v>68</v>
      </c>
      <c r="E74" s="136">
        <v>5</v>
      </c>
      <c r="F74" s="137">
        <v>22000</v>
      </c>
      <c r="G74" s="153"/>
      <c r="H74" s="153"/>
      <c r="I74" s="153"/>
      <c r="J74" s="154"/>
      <c r="K74" s="156"/>
      <c r="L74" s="156"/>
      <c r="M74" s="156"/>
      <c r="N74" s="156"/>
      <c r="O74" s="185">
        <f t="shared" si="13"/>
        <v>10.116213119999999</v>
      </c>
      <c r="P74" s="147">
        <f t="shared" si="8"/>
        <v>22000</v>
      </c>
      <c r="Q74" s="148">
        <f t="shared" si="14"/>
        <v>22</v>
      </c>
      <c r="R74" s="148">
        <f t="shared" si="15"/>
        <v>22</v>
      </c>
      <c r="S74" s="135">
        <f>VLOOKUP(A74,[1]Index!$E:$M,7,)</f>
        <v>1435.729304</v>
      </c>
      <c r="T74" s="149">
        <f t="shared" si="9"/>
        <v>-20564.270696</v>
      </c>
      <c r="U74" s="150">
        <f t="shared" si="10"/>
        <v>-14.323222796043174</v>
      </c>
      <c r="V74" s="151">
        <f t="shared" si="11"/>
        <v>1.8733727999999998</v>
      </c>
      <c r="W74" s="80">
        <f t="shared" si="12"/>
        <v>11.743524833925209</v>
      </c>
    </row>
    <row r="75" spans="1:23">
      <c r="A75" s="132" t="s">
        <v>134</v>
      </c>
      <c r="B75" s="133"/>
      <c r="C75" s="136">
        <v>103</v>
      </c>
      <c r="D75" s="136">
        <v>55.5</v>
      </c>
      <c r="E75" s="136">
        <v>4.5</v>
      </c>
      <c r="F75" s="137">
        <v>9430</v>
      </c>
      <c r="G75" s="153"/>
      <c r="H75" s="153"/>
      <c r="I75" s="153"/>
      <c r="J75" s="154"/>
      <c r="K75" s="156"/>
      <c r="L75" s="156"/>
      <c r="M75" s="156"/>
      <c r="N75" s="156"/>
      <c r="O75" s="185">
        <f t="shared" si="13"/>
        <v>4.9063347540000004</v>
      </c>
      <c r="P75" s="147">
        <f t="shared" si="8"/>
        <v>9430</v>
      </c>
      <c r="Q75" s="148">
        <f t="shared" si="14"/>
        <v>9.4</v>
      </c>
      <c r="R75" s="148">
        <f t="shared" si="15"/>
        <v>9.4</v>
      </c>
      <c r="S75" s="135">
        <f>VLOOKUP(A75,[1]Index!$E:$M,7,)</f>
        <v>856.12642315519986</v>
      </c>
      <c r="T75" s="149">
        <f t="shared" si="9"/>
        <v>-8573.8735768448005</v>
      </c>
      <c r="U75" s="150">
        <f t="shared" si="10"/>
        <v>-10.014728368324775</v>
      </c>
      <c r="V75" s="151">
        <f t="shared" si="11"/>
        <v>0.90858051000000006</v>
      </c>
      <c r="W75" s="80">
        <f t="shared" si="12"/>
        <v>10.345808540401114</v>
      </c>
    </row>
    <row r="76" spans="1:23">
      <c r="A76" s="132" t="s">
        <v>135</v>
      </c>
      <c r="B76" s="133"/>
      <c r="C76" s="136">
        <v>75</v>
      </c>
      <c r="D76" s="136">
        <v>55</v>
      </c>
      <c r="E76" s="136">
        <v>2.5</v>
      </c>
      <c r="F76" s="137">
        <v>7800</v>
      </c>
      <c r="G76" s="138"/>
      <c r="H76" s="138"/>
      <c r="I76" s="138"/>
      <c r="J76" s="139"/>
      <c r="K76" s="140"/>
      <c r="L76" s="140"/>
      <c r="M76" s="140"/>
      <c r="N76" s="140"/>
      <c r="O76" s="185">
        <f t="shared" si="13"/>
        <v>1.9668825000000003</v>
      </c>
      <c r="P76" s="147">
        <f t="shared" si="8"/>
        <v>7800</v>
      </c>
      <c r="Q76" s="148">
        <f t="shared" si="14"/>
        <v>7.8</v>
      </c>
      <c r="R76" s="148">
        <f t="shared" si="15"/>
        <v>7.8</v>
      </c>
      <c r="S76" s="135">
        <f>VLOOKUP(A76,[1]Index!$E:$M,7,)</f>
        <v>596.16928977213468</v>
      </c>
      <c r="T76" s="149">
        <f t="shared" si="9"/>
        <v>-7203.830710227865</v>
      </c>
      <c r="U76" s="150">
        <f t="shared" si="10"/>
        <v>-12.083532033294238</v>
      </c>
      <c r="V76" s="151">
        <f t="shared" si="11"/>
        <v>0.36423750000000005</v>
      </c>
      <c r="W76" s="80">
        <f t="shared" si="12"/>
        <v>21.414598991042929</v>
      </c>
    </row>
    <row r="77" spans="1:23">
      <c r="A77" s="132" t="s">
        <v>136</v>
      </c>
      <c r="B77" s="133"/>
      <c r="C77" s="160">
        <v>51</v>
      </c>
      <c r="D77" s="160">
        <v>17</v>
      </c>
      <c r="E77" s="160">
        <v>3.5</v>
      </c>
      <c r="F77" s="161">
        <v>1015</v>
      </c>
      <c r="G77" s="153"/>
      <c r="H77" s="153"/>
      <c r="I77" s="153"/>
      <c r="J77" s="154"/>
      <c r="K77" s="156"/>
      <c r="L77" s="156"/>
      <c r="M77" s="156"/>
      <c r="N77" s="156"/>
      <c r="O77" s="185">
        <f t="shared" si="13"/>
        <v>0.57876411600000011</v>
      </c>
      <c r="P77" s="147">
        <f t="shared" si="8"/>
        <v>1015</v>
      </c>
      <c r="Q77" s="148">
        <f t="shared" si="14"/>
        <v>1</v>
      </c>
      <c r="R77" s="148">
        <f t="shared" si="15"/>
        <v>1</v>
      </c>
      <c r="S77" s="135" t="e">
        <f>VLOOKUP(A77,[1]Index!$E:$M,7,)</f>
        <v>#N/A</v>
      </c>
      <c r="T77" s="149" t="e">
        <f t="shared" si="9"/>
        <v>#N/A</v>
      </c>
      <c r="U77" s="150" t="e">
        <f t="shared" si="10"/>
        <v>#N/A</v>
      </c>
      <c r="V77" s="151">
        <f t="shared" si="11"/>
        <v>0.10717854</v>
      </c>
      <c r="W77" s="80">
        <f t="shared" si="12"/>
        <v>9.3302259948680017</v>
      </c>
    </row>
    <row r="78" spans="1:23">
      <c r="A78" s="132" t="s">
        <v>137</v>
      </c>
      <c r="B78" s="133"/>
      <c r="C78" s="136">
        <v>95</v>
      </c>
      <c r="D78" s="136">
        <v>34.5</v>
      </c>
      <c r="E78" s="136">
        <v>5</v>
      </c>
      <c r="F78" s="137">
        <v>5830</v>
      </c>
      <c r="G78" s="153"/>
      <c r="H78" s="153"/>
      <c r="I78" s="153"/>
      <c r="J78" s="154"/>
      <c r="K78" s="156"/>
      <c r="L78" s="156"/>
      <c r="M78" s="156"/>
      <c r="N78" s="156"/>
      <c r="O78" s="185">
        <f t="shared" si="13"/>
        <v>3.1255551000000001</v>
      </c>
      <c r="P78" s="147">
        <f t="shared" si="8"/>
        <v>5830</v>
      </c>
      <c r="Q78" s="148">
        <f t="shared" si="14"/>
        <v>5.8</v>
      </c>
      <c r="R78" s="148">
        <f t="shared" si="15"/>
        <v>5.8</v>
      </c>
      <c r="S78" s="135">
        <f>VLOOKUP(A78,[1]Index!$E:$M,7,)</f>
        <v>439.75953263599996</v>
      </c>
      <c r="T78" s="149">
        <f t="shared" si="9"/>
        <v>-5390.2404673640003</v>
      </c>
      <c r="U78" s="150">
        <f t="shared" si="10"/>
        <v>-12.257245306438049</v>
      </c>
      <c r="V78" s="151">
        <f t="shared" si="11"/>
        <v>0.5788065</v>
      </c>
      <c r="W78" s="80">
        <f t="shared" si="12"/>
        <v>10.020620017225101</v>
      </c>
    </row>
    <row r="79" spans="1:23">
      <c r="A79" s="132" t="s">
        <v>138</v>
      </c>
      <c r="B79" s="133"/>
      <c r="C79" s="136">
        <v>187</v>
      </c>
      <c r="D79" s="136">
        <v>35</v>
      </c>
      <c r="E79" s="136">
        <v>6</v>
      </c>
      <c r="F79" s="137">
        <v>18690</v>
      </c>
      <c r="G79" s="153"/>
      <c r="H79" s="153"/>
      <c r="I79" s="153"/>
      <c r="J79" s="154"/>
      <c r="K79" s="156"/>
      <c r="L79" s="156"/>
      <c r="M79" s="156"/>
      <c r="N79" s="156"/>
      <c r="O79" s="185">
        <f t="shared" si="13"/>
        <v>7.4898885600000007</v>
      </c>
      <c r="P79" s="147">
        <f t="shared" si="8"/>
        <v>18690</v>
      </c>
      <c r="Q79" s="148">
        <f t="shared" si="14"/>
        <v>18.600000000000001</v>
      </c>
      <c r="R79" s="148">
        <f t="shared" si="15"/>
        <v>18.600000000000001</v>
      </c>
      <c r="S79" s="135">
        <f>VLOOKUP(A79,[1]Index!$E:$M,7,)</f>
        <v>1107.3502539999999</v>
      </c>
      <c r="T79" s="149">
        <f t="shared" si="9"/>
        <v>-17582.649745999999</v>
      </c>
      <c r="U79" s="150">
        <f t="shared" si="10"/>
        <v>-15.878128606994476</v>
      </c>
      <c r="V79" s="151">
        <f t="shared" si="11"/>
        <v>1.3870164</v>
      </c>
      <c r="W79" s="80">
        <f t="shared" si="12"/>
        <v>13.41007936171483</v>
      </c>
    </row>
    <row r="80" spans="1:23">
      <c r="A80" s="132" t="s">
        <v>139</v>
      </c>
      <c r="B80" s="133"/>
      <c r="C80" s="136">
        <v>112</v>
      </c>
      <c r="D80" s="136">
        <v>18.5</v>
      </c>
      <c r="E80" s="136">
        <v>4</v>
      </c>
      <c r="F80" s="137">
        <v>3000.14</v>
      </c>
      <c r="G80" s="153"/>
      <c r="H80" s="153"/>
      <c r="I80" s="153"/>
      <c r="J80" s="154"/>
      <c r="K80" s="156"/>
      <c r="L80" s="156"/>
      <c r="M80" s="156"/>
      <c r="N80" s="156"/>
      <c r="O80" s="185">
        <f t="shared" si="13"/>
        <v>1.5807536640000002</v>
      </c>
      <c r="P80" s="147">
        <f t="shared" si="8"/>
        <v>3000.14</v>
      </c>
      <c r="Q80" s="148">
        <f t="shared" si="14"/>
        <v>3</v>
      </c>
      <c r="R80" s="148">
        <f t="shared" si="15"/>
        <v>3</v>
      </c>
      <c r="S80" s="135">
        <f>VLOOKUP(A80,[1]Index!$E:$M,7,)</f>
        <v>220.53944158999997</v>
      </c>
      <c r="T80" s="149">
        <f t="shared" si="9"/>
        <v>-2779.6005584099998</v>
      </c>
      <c r="U80" s="150">
        <f t="shared" si="10"/>
        <v>-12.603643767165668</v>
      </c>
      <c r="V80" s="151">
        <f t="shared" si="11"/>
        <v>0.29273216000000002</v>
      </c>
      <c r="W80" s="80">
        <f t="shared" si="12"/>
        <v>10.248276103315741</v>
      </c>
    </row>
    <row r="81" spans="1:23">
      <c r="A81" s="132" t="s">
        <v>140</v>
      </c>
      <c r="B81" s="133"/>
      <c r="C81" s="136">
        <v>94</v>
      </c>
      <c r="D81" s="136">
        <v>26</v>
      </c>
      <c r="E81" s="136">
        <v>5.5</v>
      </c>
      <c r="F81" s="137">
        <v>5660</v>
      </c>
      <c r="G81" s="153"/>
      <c r="H81" s="153"/>
      <c r="I81" s="153"/>
      <c r="J81" s="154"/>
      <c r="K81" s="156"/>
      <c r="L81" s="156"/>
      <c r="M81" s="156"/>
      <c r="N81" s="156"/>
      <c r="O81" s="185">
        <f t="shared" si="13"/>
        <v>2.5637657760000003</v>
      </c>
      <c r="P81" s="147">
        <f t="shared" si="8"/>
        <v>5660</v>
      </c>
      <c r="Q81" s="148">
        <f t="shared" si="14"/>
        <v>5.6</v>
      </c>
      <c r="R81" s="148">
        <f t="shared" si="15"/>
        <v>5.6</v>
      </c>
      <c r="S81" s="135">
        <f>VLOOKUP(A81,[1]Index!$E:$M,7,)</f>
        <v>337.13962909655766</v>
      </c>
      <c r="T81" s="149">
        <f t="shared" si="9"/>
        <v>-5322.8603709034423</v>
      </c>
      <c r="U81" s="150">
        <f t="shared" si="10"/>
        <v>-15.788296336349594</v>
      </c>
      <c r="V81" s="151">
        <f t="shared" si="11"/>
        <v>0.47477144000000004</v>
      </c>
      <c r="W81" s="80">
        <f t="shared" si="12"/>
        <v>11.795149261716331</v>
      </c>
    </row>
    <row r="82" spans="1:23">
      <c r="A82" s="132" t="s">
        <v>141</v>
      </c>
      <c r="B82" s="133"/>
      <c r="C82" s="136">
        <v>76</v>
      </c>
      <c r="D82" s="136">
        <v>19</v>
      </c>
      <c r="E82" s="136">
        <v>8</v>
      </c>
      <c r="F82" s="137">
        <v>3915</v>
      </c>
      <c r="G82" s="153"/>
      <c r="H82" s="153"/>
      <c r="I82" s="153"/>
      <c r="J82" s="154"/>
      <c r="K82" s="156"/>
      <c r="L82" s="156"/>
      <c r="M82" s="156"/>
      <c r="N82" s="156"/>
      <c r="O82" s="185">
        <f t="shared" si="13"/>
        <v>2.203289856</v>
      </c>
      <c r="P82" s="147">
        <f t="shared" si="8"/>
        <v>3915</v>
      </c>
      <c r="Q82" s="148">
        <f t="shared" si="14"/>
        <v>3.9</v>
      </c>
      <c r="R82" s="148">
        <f t="shared" si="15"/>
        <v>3.9</v>
      </c>
      <c r="S82" s="135">
        <f>VLOOKUP(A82,[1]Index!$E:$M,7,)</f>
        <v>212.12806767499998</v>
      </c>
      <c r="T82" s="149">
        <f t="shared" si="9"/>
        <v>-3702.8719323250002</v>
      </c>
      <c r="U82" s="150">
        <f t="shared" si="10"/>
        <v>-17.45583209666599</v>
      </c>
      <c r="V82" s="151">
        <f t="shared" si="11"/>
        <v>0.40801663999999999</v>
      </c>
      <c r="W82" s="80">
        <f t="shared" si="12"/>
        <v>9.5584336952532141</v>
      </c>
    </row>
    <row r="83" spans="1:23">
      <c r="A83" s="132" t="s">
        <v>142</v>
      </c>
      <c r="B83" s="133"/>
      <c r="C83" s="136">
        <v>24</v>
      </c>
      <c r="D83" s="136">
        <v>18</v>
      </c>
      <c r="E83" s="136">
        <v>10</v>
      </c>
      <c r="F83" s="137">
        <v>1590</v>
      </c>
      <c r="G83" s="153"/>
      <c r="H83" s="153"/>
      <c r="I83" s="153"/>
      <c r="J83" s="154"/>
      <c r="K83" s="156"/>
      <c r="L83" s="156"/>
      <c r="M83" s="156"/>
      <c r="N83" s="156"/>
      <c r="O83" s="185">
        <f t="shared" si="13"/>
        <v>0.82394496000000006</v>
      </c>
      <c r="P83" s="147">
        <f t="shared" si="8"/>
        <v>1590</v>
      </c>
      <c r="Q83" s="148">
        <f t="shared" si="14"/>
        <v>1.5</v>
      </c>
      <c r="R83" s="148">
        <f t="shared" si="15"/>
        <v>1.5</v>
      </c>
      <c r="S83" s="135">
        <f>VLOOKUP(A83,[1]Index!$E:$M,7,)</f>
        <v>111.27259359959122</v>
      </c>
      <c r="T83" s="149">
        <f t="shared" si="9"/>
        <v>-1478.7274064004089</v>
      </c>
      <c r="U83" s="150">
        <f t="shared" si="10"/>
        <v>-13.289232852085163</v>
      </c>
      <c r="V83" s="151">
        <f t="shared" si="11"/>
        <v>0.15258240000000001</v>
      </c>
      <c r="W83" s="80">
        <f t="shared" si="12"/>
        <v>9.8307537435510248</v>
      </c>
    </row>
    <row r="84" spans="1:23">
      <c r="A84" s="132" t="s">
        <v>143</v>
      </c>
      <c r="B84" s="133"/>
      <c r="C84" s="160">
        <v>23.5</v>
      </c>
      <c r="D84" s="160">
        <v>20</v>
      </c>
      <c r="E84" s="160">
        <v>10.5</v>
      </c>
      <c r="F84" s="161">
        <v>1640</v>
      </c>
      <c r="G84" s="153"/>
      <c r="H84" s="153"/>
      <c r="I84" s="153"/>
      <c r="J84" s="154"/>
      <c r="K84" s="156"/>
      <c r="L84" s="156"/>
      <c r="M84" s="156"/>
      <c r="N84" s="156"/>
      <c r="O84" s="185">
        <f t="shared" si="13"/>
        <v>0.94124268000000022</v>
      </c>
      <c r="P84" s="147">
        <f t="shared" si="8"/>
        <v>1640</v>
      </c>
      <c r="Q84" s="148">
        <f t="shared" si="14"/>
        <v>1.6</v>
      </c>
      <c r="R84" s="148">
        <f t="shared" si="15"/>
        <v>1.6</v>
      </c>
      <c r="S84" s="135">
        <f>VLOOKUP(A84,[1]Index!$E:$M,7,)</f>
        <v>129.5528894773077</v>
      </c>
      <c r="T84" s="149">
        <f t="shared" si="9"/>
        <v>-1510.4471105226924</v>
      </c>
      <c r="U84" s="150">
        <f t="shared" si="10"/>
        <v>-11.658922596143718</v>
      </c>
      <c r="V84" s="151">
        <f t="shared" si="11"/>
        <v>0.17430420000000002</v>
      </c>
      <c r="W84" s="80">
        <f t="shared" si="12"/>
        <v>9.1793542553765199</v>
      </c>
    </row>
    <row r="85" spans="1:23">
      <c r="A85" s="132" t="s">
        <v>144</v>
      </c>
      <c r="B85" s="133"/>
      <c r="C85" s="160">
        <v>24</v>
      </c>
      <c r="D85" s="160">
        <v>20</v>
      </c>
      <c r="E85" s="160">
        <v>21.5</v>
      </c>
      <c r="F85" s="161">
        <v>3305</v>
      </c>
      <c r="G85" s="153"/>
      <c r="H85" s="153"/>
      <c r="I85" s="153"/>
      <c r="J85" s="154"/>
      <c r="K85" s="156"/>
      <c r="L85" s="156"/>
      <c r="M85" s="156"/>
      <c r="N85" s="156"/>
      <c r="O85" s="185">
        <f t="shared" si="13"/>
        <v>1.9683129600000002</v>
      </c>
      <c r="P85" s="147">
        <f t="shared" si="8"/>
        <v>3305</v>
      </c>
      <c r="Q85" s="148">
        <f t="shared" si="14"/>
        <v>3.3</v>
      </c>
      <c r="R85" s="148">
        <f t="shared" si="15"/>
        <v>3.3</v>
      </c>
      <c r="S85" s="135" t="e">
        <f>VLOOKUP(A85,[1]Index!$E:$M,7,)</f>
        <v>#REF!</v>
      </c>
      <c r="T85" s="149" t="e">
        <f t="shared" si="9"/>
        <v>#REF!</v>
      </c>
      <c r="U85" s="150" t="e">
        <f t="shared" si="10"/>
        <v>#REF!</v>
      </c>
      <c r="V85" s="151">
        <f t="shared" si="11"/>
        <v>0.3645024</v>
      </c>
      <c r="W85" s="80">
        <f t="shared" si="12"/>
        <v>9.0534383312702467</v>
      </c>
    </row>
    <row r="86" spans="1:23">
      <c r="A86" s="132" t="s">
        <v>146</v>
      </c>
      <c r="B86" s="133"/>
      <c r="C86" s="136">
        <v>160</v>
      </c>
      <c r="D86" s="136">
        <v>33</v>
      </c>
      <c r="E86" s="136">
        <v>10</v>
      </c>
      <c r="F86" s="137">
        <v>24480</v>
      </c>
      <c r="G86" s="153"/>
      <c r="H86" s="153"/>
      <c r="I86" s="153"/>
      <c r="J86" s="154"/>
      <c r="K86" s="156"/>
      <c r="L86" s="156"/>
      <c r="M86" s="156"/>
      <c r="N86" s="156"/>
      <c r="O86" s="185">
        <f t="shared" si="13"/>
        <v>10.0704384</v>
      </c>
      <c r="P86" s="147">
        <f t="shared" si="8"/>
        <v>24480</v>
      </c>
      <c r="Q86" s="148">
        <f t="shared" si="14"/>
        <v>24.4</v>
      </c>
      <c r="R86" s="148">
        <f t="shared" si="15"/>
        <v>24.4</v>
      </c>
      <c r="S86" s="135">
        <f>VLOOKUP(A86,[1]Index!$E:$M,7,)</f>
        <v>1485.2922226093099</v>
      </c>
      <c r="T86" s="149">
        <f t="shared" si="9"/>
        <v>-22994.707777390689</v>
      </c>
      <c r="U86" s="150">
        <f t="shared" si="10"/>
        <v>-15.481605186751993</v>
      </c>
      <c r="V86" s="151">
        <f t="shared" si="11"/>
        <v>1.8648960000000001</v>
      </c>
      <c r="W86" s="80">
        <f t="shared" si="12"/>
        <v>13.083839527780636</v>
      </c>
    </row>
    <row r="87" spans="1:23" ht="13.5" customHeight="1">
      <c r="A87" s="132" t="s">
        <v>147</v>
      </c>
      <c r="B87" s="133"/>
      <c r="C87" s="136">
        <v>172</v>
      </c>
      <c r="D87" s="136">
        <v>33</v>
      </c>
      <c r="E87" s="136">
        <v>7</v>
      </c>
      <c r="F87" s="137">
        <v>20370</v>
      </c>
      <c r="G87" s="153"/>
      <c r="H87" s="153"/>
      <c r="I87" s="153"/>
      <c r="J87" s="154"/>
      <c r="K87" s="156"/>
      <c r="L87" s="156"/>
      <c r="M87" s="156"/>
      <c r="N87" s="156"/>
      <c r="O87" s="185">
        <f t="shared" si="13"/>
        <v>7.5780048960000013</v>
      </c>
      <c r="P87" s="147">
        <f t="shared" si="8"/>
        <v>20370</v>
      </c>
      <c r="Q87" s="148">
        <f t="shared" si="14"/>
        <v>20.3</v>
      </c>
      <c r="R87" s="148">
        <f t="shared" si="15"/>
        <v>20.3</v>
      </c>
      <c r="S87" s="135">
        <f>VLOOKUP(A87,[1]Index!$E:$M,7,)</f>
        <v>1154.5640577911329</v>
      </c>
      <c r="T87" s="149">
        <f t="shared" si="9"/>
        <v>-19215.435942208867</v>
      </c>
      <c r="U87" s="150">
        <f t="shared" si="10"/>
        <v>-16.643022803750789</v>
      </c>
      <c r="V87" s="151">
        <f t="shared" si="11"/>
        <v>1.4033342400000002</v>
      </c>
      <c r="W87" s="80">
        <f t="shared" si="12"/>
        <v>14.46554884886155</v>
      </c>
    </row>
    <row r="88" spans="1:23">
      <c r="A88" s="132" t="s">
        <v>148</v>
      </c>
      <c r="B88" s="133"/>
      <c r="C88" s="136">
        <v>173</v>
      </c>
      <c r="D88" s="136">
        <v>37</v>
      </c>
      <c r="E88" s="136">
        <v>13.5</v>
      </c>
      <c r="F88" s="137">
        <v>32500</v>
      </c>
      <c r="G88" s="153"/>
      <c r="H88" s="153"/>
      <c r="I88" s="153"/>
      <c r="J88" s="154"/>
      <c r="K88" s="156"/>
      <c r="L88" s="156"/>
      <c r="M88" s="156"/>
      <c r="N88" s="156"/>
      <c r="O88" s="185">
        <f t="shared" si="13"/>
        <v>16.481474028000001</v>
      </c>
      <c r="P88" s="147">
        <f t="shared" si="8"/>
        <v>32500</v>
      </c>
      <c r="Q88" s="148">
        <f t="shared" si="14"/>
        <v>32.5</v>
      </c>
      <c r="R88" s="148">
        <f t="shared" si="15"/>
        <v>32.5</v>
      </c>
      <c r="S88" s="135">
        <f>VLOOKUP(A88,[1]Index!$E:$M,7,)</f>
        <v>1706.5607988874838</v>
      </c>
      <c r="T88" s="149">
        <f t="shared" si="9"/>
        <v>-30793.439201112516</v>
      </c>
      <c r="U88" s="150">
        <f t="shared" si="10"/>
        <v>-18.044150094849787</v>
      </c>
      <c r="V88" s="151">
        <f t="shared" si="11"/>
        <v>3.05212482</v>
      </c>
      <c r="W88" s="80">
        <f t="shared" si="12"/>
        <v>10.648319422270548</v>
      </c>
    </row>
    <row r="89" spans="1:23">
      <c r="A89" s="132" t="s">
        <v>149</v>
      </c>
      <c r="B89" s="133"/>
      <c r="C89" s="136">
        <v>72</v>
      </c>
      <c r="D89" s="136">
        <v>17</v>
      </c>
      <c r="E89" s="136">
        <v>5.5</v>
      </c>
      <c r="F89" s="137">
        <v>2945</v>
      </c>
      <c r="G89" s="153"/>
      <c r="H89" s="153"/>
      <c r="I89" s="153"/>
      <c r="J89" s="154"/>
      <c r="K89" s="156"/>
      <c r="L89" s="156"/>
      <c r="M89" s="156"/>
      <c r="N89" s="156"/>
      <c r="O89" s="185">
        <f t="shared" si="13"/>
        <v>1.2839808960000001</v>
      </c>
      <c r="P89" s="147">
        <f t="shared" si="8"/>
        <v>2945</v>
      </c>
      <c r="Q89" s="148">
        <f t="shared" si="14"/>
        <v>2.9</v>
      </c>
      <c r="R89" s="148">
        <f t="shared" si="15"/>
        <v>2.9</v>
      </c>
      <c r="S89" s="135">
        <f>VLOOKUP(A89,[1]Index!$E:$M,7,)</f>
        <v>189.08294101250002</v>
      </c>
      <c r="T89" s="149">
        <f t="shared" si="9"/>
        <v>-2755.9170589874998</v>
      </c>
      <c r="U89" s="150">
        <f t="shared" si="10"/>
        <v>-14.575175551163602</v>
      </c>
      <c r="V89" s="151">
        <f t="shared" si="11"/>
        <v>0.23777424</v>
      </c>
      <c r="W89" s="80">
        <f t="shared" si="12"/>
        <v>12.196443147079346</v>
      </c>
    </row>
    <row r="90" spans="1:23">
      <c r="A90" s="132" t="s">
        <v>150</v>
      </c>
      <c r="B90" s="133"/>
      <c r="C90" s="136">
        <v>126</v>
      </c>
      <c r="D90" s="136">
        <v>34</v>
      </c>
      <c r="E90" s="136">
        <v>11.5</v>
      </c>
      <c r="F90" s="137">
        <v>20400</v>
      </c>
      <c r="G90" s="138"/>
      <c r="H90" s="138"/>
      <c r="I90" s="138"/>
      <c r="J90" s="139"/>
      <c r="K90" s="140"/>
      <c r="L90" s="140"/>
      <c r="M90" s="140"/>
      <c r="N90" s="140"/>
      <c r="O90" s="185">
        <f t="shared" si="13"/>
        <v>9.396405648</v>
      </c>
      <c r="P90" s="147">
        <f t="shared" si="8"/>
        <v>20400</v>
      </c>
      <c r="Q90" s="148">
        <f t="shared" si="14"/>
        <v>20.399999999999999</v>
      </c>
      <c r="R90" s="148">
        <f t="shared" si="15"/>
        <v>20.399999999999999</v>
      </c>
      <c r="S90" s="135">
        <f>VLOOKUP(A90,[1]Index!$E:$M,7,)</f>
        <v>1256.9752994344037</v>
      </c>
      <c r="T90" s="149">
        <f t="shared" si="9"/>
        <v>-19143.024700565595</v>
      </c>
      <c r="U90" s="150">
        <f t="shared" si="10"/>
        <v>-15.22943586017904</v>
      </c>
      <c r="V90" s="151">
        <f t="shared" si="11"/>
        <v>1.74007512</v>
      </c>
      <c r="W90" s="80">
        <f t="shared" si="12"/>
        <v>11.723631793551533</v>
      </c>
    </row>
    <row r="91" spans="1:23" ht="12.4" customHeight="1">
      <c r="A91" s="132" t="s">
        <v>152</v>
      </c>
      <c r="B91" s="133"/>
      <c r="C91" s="160">
        <v>98</v>
      </c>
      <c r="D91" s="160">
        <v>29</v>
      </c>
      <c r="E91" s="160">
        <v>8.5</v>
      </c>
      <c r="F91" s="161">
        <v>6885</v>
      </c>
      <c r="G91" s="153"/>
      <c r="H91" s="153"/>
      <c r="I91" s="153"/>
      <c r="J91" s="154"/>
      <c r="K91" s="156"/>
      <c r="L91" s="156"/>
      <c r="M91" s="156"/>
      <c r="N91" s="156"/>
      <c r="O91" s="185">
        <f t="shared" si="13"/>
        <v>4.6074162960000011</v>
      </c>
      <c r="P91" s="147">
        <f t="shared" si="8"/>
        <v>6885</v>
      </c>
      <c r="Q91" s="148">
        <f t="shared" si="14"/>
        <v>6.8</v>
      </c>
      <c r="R91" s="148">
        <f t="shared" si="15"/>
        <v>6.8</v>
      </c>
      <c r="S91" s="135">
        <f>VLOOKUP(A91,[1]Index!$E:$M,7,)</f>
        <v>458.70988131923076</v>
      </c>
      <c r="T91" s="149">
        <f t="shared" si="9"/>
        <v>-6426.2901186807694</v>
      </c>
      <c r="U91" s="150">
        <f t="shared" si="10"/>
        <v>-14.009486999057058</v>
      </c>
      <c r="V91" s="151">
        <f t="shared" si="11"/>
        <v>0.85322524000000011</v>
      </c>
      <c r="W91" s="80">
        <f t="shared" si="12"/>
        <v>7.9697595443847851</v>
      </c>
    </row>
    <row r="92" spans="1:23">
      <c r="A92" s="132" t="s">
        <v>153</v>
      </c>
      <c r="B92" s="133"/>
      <c r="C92" s="160">
        <v>67</v>
      </c>
      <c r="D92" s="160">
        <v>17</v>
      </c>
      <c r="E92" s="160">
        <v>10</v>
      </c>
      <c r="F92" s="161">
        <v>3350</v>
      </c>
      <c r="G92" s="153"/>
      <c r="H92" s="153"/>
      <c r="I92" s="153"/>
      <c r="J92" s="154"/>
      <c r="K92" s="156"/>
      <c r="L92" s="156"/>
      <c r="M92" s="156"/>
      <c r="N92" s="156"/>
      <c r="O92" s="185">
        <f t="shared" si="13"/>
        <v>2.1723919200000004</v>
      </c>
      <c r="P92" s="147">
        <f t="shared" si="8"/>
        <v>3350</v>
      </c>
      <c r="Q92" s="148">
        <f t="shared" si="14"/>
        <v>3.3</v>
      </c>
      <c r="R92" s="148">
        <f t="shared" si="15"/>
        <v>3.3</v>
      </c>
      <c r="S92" s="135">
        <f>VLOOKUP(A92,[1]Index!$E:$M,7,)</f>
        <v>227.78647925046153</v>
      </c>
      <c r="T92" s="149">
        <f t="shared" si="9"/>
        <v>-3122.2135207495385</v>
      </c>
      <c r="U92" s="150">
        <f t="shared" si="10"/>
        <v>-13.706755251774727</v>
      </c>
      <c r="V92" s="151">
        <f t="shared" si="11"/>
        <v>0.40229480000000001</v>
      </c>
      <c r="W92" s="80">
        <f t="shared" si="12"/>
        <v>8.2029397347417863</v>
      </c>
    </row>
    <row r="93" spans="1:23">
      <c r="A93" s="132" t="s">
        <v>156</v>
      </c>
      <c r="B93" s="133"/>
      <c r="C93" s="136">
        <v>190</v>
      </c>
      <c r="D93" s="136">
        <v>33</v>
      </c>
      <c r="E93" s="136">
        <v>8</v>
      </c>
      <c r="F93" s="137">
        <v>20100</v>
      </c>
      <c r="G93" s="153"/>
      <c r="H93" s="153"/>
      <c r="I93" s="153"/>
      <c r="J93" s="154"/>
      <c r="K93" s="156"/>
      <c r="L93" s="156"/>
      <c r="M93" s="156"/>
      <c r="N93" s="156"/>
      <c r="O93" s="185">
        <f t="shared" si="13"/>
        <v>9.5669164800000015</v>
      </c>
      <c r="P93" s="147">
        <f t="shared" si="8"/>
        <v>20100</v>
      </c>
      <c r="Q93" s="148">
        <f t="shared" si="14"/>
        <v>20.100000000000001</v>
      </c>
      <c r="R93" s="148">
        <f t="shared" si="15"/>
        <v>20.100000000000001</v>
      </c>
      <c r="S93" s="135">
        <f>VLOOKUP(A93,[1]Index!$E:$M,7,)</f>
        <v>1104.7565009086652</v>
      </c>
      <c r="T93" s="149">
        <f t="shared" si="9"/>
        <v>-18995.243499091335</v>
      </c>
      <c r="U93" s="150">
        <f t="shared" si="10"/>
        <v>-17.194054511983136</v>
      </c>
      <c r="V93" s="151">
        <f t="shared" si="11"/>
        <v>1.7716512000000002</v>
      </c>
      <c r="W93" s="80">
        <f t="shared" si="12"/>
        <v>11.345348339447403</v>
      </c>
    </row>
    <row r="94" spans="1:23">
      <c r="A94" s="132" t="s">
        <v>157</v>
      </c>
      <c r="B94" s="133"/>
      <c r="C94" s="136">
        <v>60</v>
      </c>
      <c r="D94" s="136">
        <v>20</v>
      </c>
      <c r="E94" s="136">
        <v>10.5</v>
      </c>
      <c r="F94" s="137">
        <v>7080</v>
      </c>
      <c r="G94" s="138"/>
      <c r="H94" s="138"/>
      <c r="I94" s="138"/>
      <c r="J94" s="139"/>
      <c r="K94" s="140"/>
      <c r="L94" s="140"/>
      <c r="M94" s="140"/>
      <c r="N94" s="140"/>
      <c r="O94" s="185">
        <f t="shared" si="13"/>
        <v>2.4031728000000001</v>
      </c>
      <c r="P94" s="147">
        <f t="shared" si="8"/>
        <v>7080</v>
      </c>
      <c r="Q94" s="148">
        <f t="shared" si="14"/>
        <v>7</v>
      </c>
      <c r="R94" s="148">
        <f t="shared" si="15"/>
        <v>7</v>
      </c>
      <c r="S94" s="135">
        <f>VLOOKUP(A94,[1]Index!$E:$M,7,)</f>
        <v>348.29433653499996</v>
      </c>
      <c r="T94" s="149">
        <f t="shared" si="9"/>
        <v>-6731.7056634649998</v>
      </c>
      <c r="U94" s="150">
        <f t="shared" si="10"/>
        <v>-19.327634581817364</v>
      </c>
      <c r="V94" s="151">
        <f t="shared" si="11"/>
        <v>0.44503199999999998</v>
      </c>
      <c r="W94" s="80">
        <f t="shared" si="12"/>
        <v>15.729205989681642</v>
      </c>
    </row>
    <row r="95" spans="1:23">
      <c r="A95" s="132" t="s">
        <v>158</v>
      </c>
      <c r="B95" s="133"/>
      <c r="C95" s="136">
        <v>160</v>
      </c>
      <c r="D95" s="136">
        <v>30</v>
      </c>
      <c r="E95" s="136">
        <v>10</v>
      </c>
      <c r="F95" s="137">
        <v>23350</v>
      </c>
      <c r="G95" s="153"/>
      <c r="H95" s="153"/>
      <c r="I95" s="153"/>
      <c r="J95" s="154"/>
      <c r="K95" s="156"/>
      <c r="L95" s="156"/>
      <c r="M95" s="156"/>
      <c r="N95" s="156"/>
      <c r="O95" s="185">
        <f t="shared" si="13"/>
        <v>9.1549440000000004</v>
      </c>
      <c r="P95" s="147">
        <f t="shared" si="8"/>
        <v>23350</v>
      </c>
      <c r="Q95" s="148">
        <f t="shared" si="14"/>
        <v>23.3</v>
      </c>
      <c r="R95" s="148">
        <f t="shared" si="15"/>
        <v>23.3</v>
      </c>
      <c r="S95" s="135">
        <f>VLOOKUP(A95,[1]Index!$E:$M,7,)</f>
        <v>1164.7070088800801</v>
      </c>
      <c r="T95" s="149">
        <f t="shared" si="9"/>
        <v>-22185.292991119921</v>
      </c>
      <c r="U95" s="150">
        <f t="shared" si="10"/>
        <v>-19.047960407186103</v>
      </c>
      <c r="V95" s="151">
        <f t="shared" si="11"/>
        <v>1.69536</v>
      </c>
      <c r="W95" s="80">
        <f t="shared" si="12"/>
        <v>13.743393733484334</v>
      </c>
    </row>
    <row r="96" spans="1:23">
      <c r="A96" s="132" t="s">
        <v>159</v>
      </c>
      <c r="B96" s="133"/>
      <c r="C96" s="136">
        <v>84</v>
      </c>
      <c r="D96" s="136">
        <v>30</v>
      </c>
      <c r="E96" s="136">
        <v>11.5</v>
      </c>
      <c r="F96" s="137">
        <v>11300</v>
      </c>
      <c r="G96" s="153"/>
      <c r="H96" s="153"/>
      <c r="I96" s="153"/>
      <c r="J96" s="154"/>
      <c r="K96" s="156"/>
      <c r="L96" s="156"/>
      <c r="M96" s="156"/>
      <c r="N96" s="156"/>
      <c r="O96" s="185">
        <f t="shared" si="13"/>
        <v>5.5272974399999999</v>
      </c>
      <c r="P96" s="147">
        <f t="shared" si="8"/>
        <v>11300</v>
      </c>
      <c r="Q96" s="148">
        <f t="shared" si="14"/>
        <v>11.3</v>
      </c>
      <c r="R96" s="148">
        <f t="shared" si="15"/>
        <v>11.3</v>
      </c>
      <c r="S96" s="135">
        <f>VLOOKUP(A96,[1]Index!$E:$M,7,)</f>
        <v>604.00981841643522</v>
      </c>
      <c r="T96" s="149">
        <f t="shared" si="9"/>
        <v>-10695.990181583566</v>
      </c>
      <c r="U96" s="150">
        <f t="shared" si="10"/>
        <v>-17.708305155743684</v>
      </c>
      <c r="V96" s="151">
        <f t="shared" si="11"/>
        <v>1.0235736</v>
      </c>
      <c r="W96" s="80">
        <f t="shared" si="12"/>
        <v>11.039753272261029</v>
      </c>
    </row>
    <row r="97" spans="1:23">
      <c r="A97" s="132" t="s">
        <v>161</v>
      </c>
      <c r="B97" s="133"/>
      <c r="C97" s="160">
        <v>122</v>
      </c>
      <c r="D97" s="160">
        <v>45.5</v>
      </c>
      <c r="E97" s="160">
        <v>5.5</v>
      </c>
      <c r="F97" s="161">
        <v>9800</v>
      </c>
      <c r="G97" s="153"/>
      <c r="H97" s="153"/>
      <c r="I97" s="153"/>
      <c r="J97" s="154"/>
      <c r="K97" s="156"/>
      <c r="L97" s="156"/>
      <c r="M97" s="156"/>
      <c r="N97" s="156"/>
      <c r="O97" s="185">
        <f t="shared" si="13"/>
        <v>5.8230212039999998</v>
      </c>
      <c r="P97" s="147">
        <f t="shared" si="8"/>
        <v>9800</v>
      </c>
      <c r="Q97" s="148">
        <f t="shared" si="14"/>
        <v>9.8000000000000007</v>
      </c>
      <c r="R97" s="148">
        <f t="shared" si="15"/>
        <v>9.8000000000000007</v>
      </c>
      <c r="S97" s="135">
        <f>VLOOKUP(A97,[1]Index!$E:$M,7,)</f>
        <v>578.99387532093851</v>
      </c>
      <c r="T97" s="149">
        <f t="shared" si="9"/>
        <v>-9221.006124679061</v>
      </c>
      <c r="U97" s="150">
        <f t="shared" si="10"/>
        <v>-15.9259130669868</v>
      </c>
      <c r="V97" s="151">
        <f t="shared" si="11"/>
        <v>1.0783372599999999</v>
      </c>
      <c r="W97" s="80">
        <f t="shared" si="12"/>
        <v>9.0880658246011112</v>
      </c>
    </row>
    <row r="98" spans="1:23">
      <c r="A98" s="132" t="s">
        <v>162</v>
      </c>
      <c r="B98" s="133"/>
      <c r="C98" s="136">
        <v>73</v>
      </c>
      <c r="D98" s="136">
        <v>17</v>
      </c>
      <c r="E98" s="136">
        <v>5.5</v>
      </c>
      <c r="F98" s="137">
        <v>2400</v>
      </c>
      <c r="G98" s="153"/>
      <c r="H98" s="153"/>
      <c r="I98" s="153"/>
      <c r="J98" s="154"/>
      <c r="K98" s="156"/>
      <c r="L98" s="156"/>
      <c r="M98" s="156"/>
      <c r="N98" s="156"/>
      <c r="O98" s="185">
        <f t="shared" si="13"/>
        <v>1.3018139640000002</v>
      </c>
      <c r="P98" s="147">
        <f t="shared" si="8"/>
        <v>2400</v>
      </c>
      <c r="Q98" s="148">
        <f t="shared" si="14"/>
        <v>2.4</v>
      </c>
      <c r="R98" s="148">
        <f t="shared" si="15"/>
        <v>2.4</v>
      </c>
      <c r="S98" s="135">
        <f>VLOOKUP(A98,[1]Index!$E:$M,7,)</f>
        <v>134.36228900499998</v>
      </c>
      <c r="T98" s="149">
        <f t="shared" si="9"/>
        <v>-2265.6377109949999</v>
      </c>
      <c r="U98" s="150">
        <f t="shared" si="10"/>
        <v>-16.862154759142943</v>
      </c>
      <c r="V98" s="151">
        <f t="shared" si="11"/>
        <v>0.24107666</v>
      </c>
      <c r="W98" s="80">
        <f t="shared" si="12"/>
        <v>9.9553395173137034</v>
      </c>
    </row>
    <row r="99" spans="1:23">
      <c r="A99" s="132" t="s">
        <v>163</v>
      </c>
      <c r="B99" s="133"/>
      <c r="C99" s="160">
        <v>72</v>
      </c>
      <c r="D99" s="160">
        <v>34</v>
      </c>
      <c r="E99" s="160">
        <v>4</v>
      </c>
      <c r="F99" s="161">
        <v>3365</v>
      </c>
      <c r="G99" s="153"/>
      <c r="H99" s="153"/>
      <c r="I99" s="153"/>
      <c r="J99" s="154"/>
      <c r="K99" s="156"/>
      <c r="L99" s="156"/>
      <c r="M99" s="156"/>
      <c r="N99" s="156"/>
      <c r="O99" s="185">
        <f t="shared" si="13"/>
        <v>1.8676085760000003</v>
      </c>
      <c r="P99" s="147">
        <f t="shared" si="8"/>
        <v>3365</v>
      </c>
      <c r="Q99" s="148">
        <f t="shared" si="14"/>
        <v>3.3</v>
      </c>
      <c r="R99" s="148">
        <f t="shared" si="15"/>
        <v>3.3</v>
      </c>
      <c r="S99" s="135">
        <f>VLOOKUP(A99,[1]Index!$E:$M,7,)</f>
        <v>234.69659623345385</v>
      </c>
      <c r="T99" s="149">
        <f t="shared" si="9"/>
        <v>-3130.3034037665461</v>
      </c>
      <c r="U99" s="150">
        <f t="shared" si="10"/>
        <v>-13.337660000202211</v>
      </c>
      <c r="V99" s="151">
        <f t="shared" si="11"/>
        <v>0.34585344000000001</v>
      </c>
      <c r="W99" s="80">
        <f t="shared" si="12"/>
        <v>9.5416139275642298</v>
      </c>
    </row>
    <row r="100" spans="1:23">
      <c r="A100" s="132" t="s">
        <v>164</v>
      </c>
      <c r="B100" s="133"/>
      <c r="C100" s="160">
        <v>65.2</v>
      </c>
      <c r="D100" s="160">
        <v>34.5</v>
      </c>
      <c r="E100" s="160">
        <v>5</v>
      </c>
      <c r="F100" s="161">
        <v>5135</v>
      </c>
      <c r="G100" s="153"/>
      <c r="H100" s="153"/>
      <c r="I100" s="153"/>
      <c r="J100" s="154"/>
      <c r="K100" s="156"/>
      <c r="L100" s="156"/>
      <c r="M100" s="156"/>
      <c r="N100" s="156"/>
      <c r="O100" s="185">
        <f t="shared" si="13"/>
        <v>2.1451178160000004</v>
      </c>
      <c r="P100" s="147">
        <f t="shared" si="8"/>
        <v>5135</v>
      </c>
      <c r="Q100" s="148">
        <f t="shared" si="14"/>
        <v>5.0999999999999996</v>
      </c>
      <c r="R100" s="148">
        <f t="shared" si="15"/>
        <v>5.0999999999999996</v>
      </c>
      <c r="S100" s="135">
        <f>VLOOKUP(A100,[1]Index!$E:$M,7,)</f>
        <v>327.01280427289277</v>
      </c>
      <c r="T100" s="149">
        <f t="shared" si="9"/>
        <v>-4807.9871957271071</v>
      </c>
      <c r="U100" s="150">
        <f t="shared" si="10"/>
        <v>-14.702749045003245</v>
      </c>
      <c r="V100" s="151">
        <f t="shared" si="11"/>
        <v>0.39724404000000002</v>
      </c>
      <c r="W100" s="80">
        <f t="shared" si="12"/>
        <v>12.83845567576042</v>
      </c>
    </row>
    <row r="101" spans="1:23">
      <c r="A101" s="132" t="s">
        <v>165</v>
      </c>
      <c r="B101" s="133"/>
      <c r="C101" s="160">
        <v>120</v>
      </c>
      <c r="D101" s="160">
        <v>29</v>
      </c>
      <c r="E101" s="160">
        <v>5.5</v>
      </c>
      <c r="F101" s="161">
        <v>6025</v>
      </c>
      <c r="G101" s="153"/>
      <c r="H101" s="153"/>
      <c r="I101" s="153"/>
      <c r="J101" s="154"/>
      <c r="K101" s="156"/>
      <c r="L101" s="156"/>
      <c r="M101" s="156"/>
      <c r="N101" s="156"/>
      <c r="O101" s="185">
        <f t="shared" si="13"/>
        <v>3.65053392</v>
      </c>
      <c r="P101" s="147">
        <f t="shared" si="8"/>
        <v>6025</v>
      </c>
      <c r="Q101" s="148">
        <f t="shared" si="14"/>
        <v>6</v>
      </c>
      <c r="R101" s="148">
        <f t="shared" si="15"/>
        <v>6</v>
      </c>
      <c r="S101" s="135">
        <f>VLOOKUP(A101,[1]Index!$E:$M,7,)</f>
        <v>404.98146230694647</v>
      </c>
      <c r="T101" s="149">
        <f t="shared" si="9"/>
        <v>-5620.0185376930531</v>
      </c>
      <c r="U101" s="150">
        <f t="shared" si="10"/>
        <v>-13.8772241713955</v>
      </c>
      <c r="V101" s="151">
        <f t="shared" si="11"/>
        <v>0.67602479999999998</v>
      </c>
      <c r="W101" s="80">
        <f t="shared" si="12"/>
        <v>8.8754140380648767</v>
      </c>
    </row>
    <row r="102" spans="1:23">
      <c r="A102" s="132" t="s">
        <v>166</v>
      </c>
      <c r="B102" s="133"/>
      <c r="C102" s="136">
        <v>127</v>
      </c>
      <c r="D102" s="136">
        <v>31</v>
      </c>
      <c r="E102" s="136">
        <v>9.5</v>
      </c>
      <c r="F102" s="137">
        <v>18975</v>
      </c>
      <c r="G102" s="153"/>
      <c r="H102" s="153"/>
      <c r="I102" s="153"/>
      <c r="J102" s="154"/>
      <c r="K102" s="156"/>
      <c r="L102" s="156"/>
      <c r="M102" s="156"/>
      <c r="N102" s="156"/>
      <c r="O102" s="185">
        <f t="shared" si="13"/>
        <v>7.133513292</v>
      </c>
      <c r="P102" s="147">
        <f t="shared" si="8"/>
        <v>18975</v>
      </c>
      <c r="Q102" s="148">
        <f t="shared" si="14"/>
        <v>18.899999999999999</v>
      </c>
      <c r="R102" s="148">
        <f t="shared" si="15"/>
        <v>18.899999999999999</v>
      </c>
      <c r="S102" s="135" t="e">
        <f>VLOOKUP(A102,[1]Index!$E:$M,7,)</f>
        <v>#N/A</v>
      </c>
      <c r="T102" s="149" t="e">
        <f t="shared" si="9"/>
        <v>#N/A</v>
      </c>
      <c r="U102" s="150" t="e">
        <f t="shared" si="10"/>
        <v>#N/A</v>
      </c>
      <c r="V102" s="151">
        <f t="shared" si="11"/>
        <v>1.3210209799999999</v>
      </c>
      <c r="W102" s="80">
        <f t="shared" si="12"/>
        <v>14.307115697738578</v>
      </c>
    </row>
    <row r="103" spans="1:23">
      <c r="A103" s="132" t="s">
        <v>167</v>
      </c>
      <c r="B103" s="133"/>
      <c r="C103" s="136">
        <v>182</v>
      </c>
      <c r="D103" s="136">
        <v>34</v>
      </c>
      <c r="E103" s="136">
        <v>10</v>
      </c>
      <c r="F103" s="137">
        <v>30300</v>
      </c>
      <c r="G103" s="153"/>
      <c r="H103" s="153"/>
      <c r="I103" s="153"/>
      <c r="J103" s="154"/>
      <c r="K103" s="156"/>
      <c r="L103" s="156"/>
      <c r="M103" s="156"/>
      <c r="N103" s="156"/>
      <c r="O103" s="185">
        <f t="shared" si="13"/>
        <v>11.80224864</v>
      </c>
      <c r="P103" s="147">
        <f t="shared" si="8"/>
        <v>30300</v>
      </c>
      <c r="Q103" s="148">
        <f t="shared" si="14"/>
        <v>30.3</v>
      </c>
      <c r="R103" s="148">
        <f t="shared" si="15"/>
        <v>30.3</v>
      </c>
      <c r="S103" s="135">
        <f>VLOOKUP(A103,[1]Index!$E:$M,7,)</f>
        <v>1833.6400262134832</v>
      </c>
      <c r="T103" s="149">
        <f t="shared" si="9"/>
        <v>-28466.359973786515</v>
      </c>
      <c r="U103" s="150">
        <f t="shared" si="10"/>
        <v>-15.524508391415477</v>
      </c>
      <c r="V103" s="151">
        <f t="shared" si="11"/>
        <v>2.1856016</v>
      </c>
      <c r="W103" s="80">
        <f t="shared" si="12"/>
        <v>13.863459836413004</v>
      </c>
    </row>
    <row r="104" spans="1:23">
      <c r="A104" s="132" t="s">
        <v>168</v>
      </c>
      <c r="B104" s="133"/>
      <c r="C104" s="136">
        <v>167</v>
      </c>
      <c r="D104" s="136">
        <v>34.5</v>
      </c>
      <c r="E104" s="136">
        <v>9</v>
      </c>
      <c r="F104" s="137">
        <v>22700</v>
      </c>
      <c r="G104" s="153"/>
      <c r="H104" s="153"/>
      <c r="I104" s="153"/>
      <c r="J104" s="154"/>
      <c r="K104" s="156"/>
      <c r="L104" s="156"/>
      <c r="M104" s="156"/>
      <c r="N104" s="156"/>
      <c r="O104" s="185">
        <f t="shared" si="13"/>
        <v>9.8899143479999996</v>
      </c>
      <c r="P104" s="147">
        <f t="shared" si="8"/>
        <v>22700</v>
      </c>
      <c r="Q104" s="148">
        <f t="shared" si="14"/>
        <v>22.7</v>
      </c>
      <c r="R104" s="148">
        <f t="shared" si="15"/>
        <v>22.7</v>
      </c>
      <c r="S104" s="135">
        <f>VLOOKUP(A104,[1]Index!$E:$M,7,)</f>
        <v>1310.5117585532223</v>
      </c>
      <c r="T104" s="149">
        <f t="shared" si="9"/>
        <v>-21389.488241446779</v>
      </c>
      <c r="U104" s="150">
        <f t="shared" si="10"/>
        <v>-16.321477546344436</v>
      </c>
      <c r="V104" s="151">
        <f t="shared" si="11"/>
        <v>1.8314656199999999</v>
      </c>
      <c r="W104" s="80">
        <f t="shared" si="12"/>
        <v>12.394445056522546</v>
      </c>
    </row>
    <row r="105" spans="1:23" ht="12.4" customHeight="1">
      <c r="A105" s="132" t="s">
        <v>169</v>
      </c>
      <c r="B105" s="133"/>
      <c r="C105" s="136">
        <v>145</v>
      </c>
      <c r="D105" s="136">
        <v>30.2</v>
      </c>
      <c r="E105" s="136">
        <v>4</v>
      </c>
      <c r="F105" s="137">
        <v>7395</v>
      </c>
      <c r="G105" s="153"/>
      <c r="H105" s="153"/>
      <c r="I105" s="153"/>
      <c r="J105" s="154"/>
      <c r="K105" s="156"/>
      <c r="L105" s="156"/>
      <c r="M105" s="156"/>
      <c r="N105" s="156"/>
      <c r="O105" s="185">
        <f t="shared" si="13"/>
        <v>3.3407916480000006</v>
      </c>
      <c r="P105" s="147">
        <f t="shared" si="8"/>
        <v>7395</v>
      </c>
      <c r="Q105" s="148">
        <f t="shared" si="14"/>
        <v>7.3</v>
      </c>
      <c r="R105" s="148">
        <f t="shared" si="15"/>
        <v>7.3</v>
      </c>
      <c r="S105" s="135">
        <f>VLOOKUP(A105,[1]Index!$E:$M,7,)</f>
        <v>455.23994730019501</v>
      </c>
      <c r="T105" s="149">
        <f t="shared" si="9"/>
        <v>-6939.7600526998049</v>
      </c>
      <c r="U105" s="150">
        <f t="shared" si="10"/>
        <v>-15.244180775118968</v>
      </c>
      <c r="V105" s="151">
        <f t="shared" si="11"/>
        <v>0.61866512000000007</v>
      </c>
      <c r="W105" s="80">
        <f t="shared" si="12"/>
        <v>11.799598464513402</v>
      </c>
    </row>
    <row r="106" spans="1:23" ht="14.45" customHeight="1">
      <c r="A106" s="132" t="s">
        <v>170</v>
      </c>
      <c r="B106" s="133"/>
      <c r="C106" s="160">
        <v>145.5</v>
      </c>
      <c r="D106" s="160">
        <v>20.5</v>
      </c>
      <c r="E106" s="160">
        <v>7</v>
      </c>
      <c r="F106" s="161">
        <v>7600</v>
      </c>
      <c r="G106" s="153"/>
      <c r="H106" s="153"/>
      <c r="I106" s="153"/>
      <c r="J106" s="154"/>
      <c r="K106" s="156"/>
      <c r="L106" s="156"/>
      <c r="M106" s="156"/>
      <c r="N106" s="156"/>
      <c r="O106" s="185">
        <f t="shared" si="13"/>
        <v>3.982257594</v>
      </c>
      <c r="P106" s="147">
        <f t="shared" si="8"/>
        <v>7600</v>
      </c>
      <c r="Q106" s="148">
        <f t="shared" si="14"/>
        <v>7.6</v>
      </c>
      <c r="R106" s="148">
        <f t="shared" si="15"/>
        <v>7.6</v>
      </c>
      <c r="S106" s="135">
        <f>VLOOKUP(A106,[1]Index!$E:$M,7,)</f>
        <v>462.36115104934612</v>
      </c>
      <c r="T106" s="149">
        <f t="shared" si="9"/>
        <v>-7137.6388489506535</v>
      </c>
      <c r="U106" s="150">
        <f t="shared" si="10"/>
        <v>-15.437367159311529</v>
      </c>
      <c r="V106" s="151">
        <f t="shared" si="11"/>
        <v>0.73745510999999997</v>
      </c>
      <c r="W106" s="80">
        <f t="shared" si="12"/>
        <v>10.305712031746584</v>
      </c>
    </row>
    <row r="107" spans="1:23">
      <c r="A107" s="132" t="s">
        <v>171</v>
      </c>
      <c r="B107" s="133"/>
      <c r="C107" s="136">
        <v>158.19999999999999</v>
      </c>
      <c r="D107" s="136">
        <v>29.7</v>
      </c>
      <c r="E107" s="136">
        <v>8</v>
      </c>
      <c r="F107" s="137">
        <v>17757</v>
      </c>
      <c r="G107" s="153"/>
      <c r="H107" s="153"/>
      <c r="I107" s="153"/>
      <c r="J107" s="154"/>
      <c r="K107" s="156"/>
      <c r="L107" s="156"/>
      <c r="M107" s="156"/>
      <c r="N107" s="156"/>
      <c r="O107" s="185">
        <f t="shared" si="13"/>
        <v>7.1691450969600012</v>
      </c>
      <c r="P107" s="147">
        <f t="shared" si="8"/>
        <v>17757</v>
      </c>
      <c r="Q107" s="148">
        <f t="shared" si="14"/>
        <v>17.7</v>
      </c>
      <c r="R107" s="148">
        <f t="shared" si="15"/>
        <v>17.7</v>
      </c>
      <c r="S107" s="135">
        <f>VLOOKUP(A107,[1]Index!$E:$M,7,)</f>
        <v>946.45968821665372</v>
      </c>
      <c r="T107" s="149">
        <f t="shared" si="9"/>
        <v>-16810.540311783345</v>
      </c>
      <c r="U107" s="150">
        <f t="shared" si="10"/>
        <v>-17.761496364898797</v>
      </c>
      <c r="V107" s="151">
        <f t="shared" si="11"/>
        <v>1.3276194624000002</v>
      </c>
      <c r="W107" s="80">
        <f t="shared" si="12"/>
        <v>13.332133567854509</v>
      </c>
    </row>
    <row r="108" spans="1:23">
      <c r="A108" s="132" t="s">
        <v>172</v>
      </c>
      <c r="B108" s="133"/>
      <c r="C108" s="136">
        <v>188</v>
      </c>
      <c r="D108" s="136">
        <v>42.5</v>
      </c>
      <c r="E108" s="136">
        <v>5</v>
      </c>
      <c r="F108" s="137">
        <v>13735</v>
      </c>
      <c r="G108" s="153"/>
      <c r="H108" s="153"/>
      <c r="I108" s="153"/>
      <c r="J108" s="154"/>
      <c r="K108" s="156"/>
      <c r="L108" s="156"/>
      <c r="M108" s="156"/>
      <c r="N108" s="156"/>
      <c r="O108" s="185">
        <f t="shared" si="13"/>
        <v>7.6195836000000003</v>
      </c>
      <c r="P108" s="147">
        <f t="shared" si="8"/>
        <v>13735</v>
      </c>
      <c r="Q108" s="148">
        <f t="shared" si="14"/>
        <v>13.7</v>
      </c>
      <c r="R108" s="148">
        <f t="shared" si="15"/>
        <v>13.7</v>
      </c>
      <c r="S108" s="135">
        <f>VLOOKUP(A108,[1]Index!$E:$M,7,)</f>
        <v>816.02656937761526</v>
      </c>
      <c r="T108" s="149">
        <f t="shared" si="9"/>
        <v>-12918.973430622385</v>
      </c>
      <c r="U108" s="150">
        <f t="shared" si="10"/>
        <v>-15.831559798936089</v>
      </c>
      <c r="V108" s="151">
        <f t="shared" si="11"/>
        <v>1.4110339999999999</v>
      </c>
      <c r="W108" s="80">
        <f t="shared" si="12"/>
        <v>9.7091919826170034</v>
      </c>
    </row>
    <row r="109" spans="1:23" ht="14.45" customHeight="1">
      <c r="A109" s="132" t="s">
        <v>173</v>
      </c>
      <c r="B109" s="133"/>
      <c r="C109" s="168">
        <v>33.5</v>
      </c>
      <c r="D109" s="168">
        <v>32.5</v>
      </c>
      <c r="E109" s="168">
        <v>7</v>
      </c>
      <c r="F109" s="169">
        <v>1330</v>
      </c>
      <c r="G109" s="153"/>
      <c r="H109" s="153"/>
      <c r="I109" s="153"/>
      <c r="J109" s="154"/>
      <c r="K109" s="156"/>
      <c r="L109" s="156"/>
      <c r="M109" s="156"/>
      <c r="N109" s="156"/>
      <c r="O109" s="185">
        <f t="shared" si="13"/>
        <v>1.4535857700000001</v>
      </c>
      <c r="P109" s="147">
        <f t="shared" si="8"/>
        <v>1330</v>
      </c>
      <c r="Q109" s="148">
        <f t="shared" si="14"/>
        <v>1.3</v>
      </c>
      <c r="R109" s="148">
        <f t="shared" si="15"/>
        <v>1.4535857700000001</v>
      </c>
      <c r="S109" s="135">
        <f>VLOOKUP(A109,[1]Index!$E:$M,7,)</f>
        <v>85.496048299999998</v>
      </c>
      <c r="T109" s="149">
        <f t="shared" si="9"/>
        <v>-1244.5039517</v>
      </c>
      <c r="U109" s="150">
        <f t="shared" si="10"/>
        <v>-14.556274546551178</v>
      </c>
      <c r="V109" s="151">
        <f t="shared" si="11"/>
        <v>0.26918255000000002</v>
      </c>
      <c r="W109" s="80">
        <f t="shared" si="12"/>
        <v>4.8294363806271985</v>
      </c>
    </row>
    <row r="110" spans="1:23">
      <c r="A110" s="132" t="s">
        <v>174</v>
      </c>
      <c r="B110" s="133"/>
      <c r="C110" s="136">
        <v>82</v>
      </c>
      <c r="D110" s="136">
        <v>21</v>
      </c>
      <c r="E110" s="136">
        <v>9.5</v>
      </c>
      <c r="F110" s="164">
        <v>4590</v>
      </c>
      <c r="G110" s="138"/>
      <c r="H110" s="138"/>
      <c r="I110" s="138"/>
      <c r="J110" s="139"/>
      <c r="K110" s="140"/>
      <c r="L110" s="140"/>
      <c r="M110" s="140"/>
      <c r="N110" s="140"/>
      <c r="O110" s="185">
        <f t="shared" si="13"/>
        <v>3.1201193519999997</v>
      </c>
      <c r="P110" s="158">
        <f t="shared" si="8"/>
        <v>4590</v>
      </c>
      <c r="Q110" s="148">
        <f t="shared" si="14"/>
        <v>4.5</v>
      </c>
      <c r="R110" s="148">
        <f t="shared" si="15"/>
        <v>4.5</v>
      </c>
      <c r="S110" s="135">
        <f>VLOOKUP(A110,[1]Index!$E:$M,7,)</f>
        <v>469.55224325183667</v>
      </c>
      <c r="T110" s="149">
        <f t="shared" si="9"/>
        <v>-4120.4477567481636</v>
      </c>
      <c r="U110" s="150">
        <f t="shared" si="10"/>
        <v>-8.7752700918057993</v>
      </c>
      <c r="V110" s="151">
        <f t="shared" si="11"/>
        <v>0.57779987999999993</v>
      </c>
      <c r="W110" s="80">
        <f t="shared" si="12"/>
        <v>7.7881636112489341</v>
      </c>
    </row>
    <row r="111" spans="1:23" ht="14.45" customHeight="1">
      <c r="A111" s="132" t="s">
        <v>176</v>
      </c>
      <c r="B111" s="133"/>
      <c r="C111" s="136">
        <v>55</v>
      </c>
      <c r="D111" s="136">
        <v>15</v>
      </c>
      <c r="E111" s="136">
        <v>4.5</v>
      </c>
      <c r="F111" s="137">
        <v>5145</v>
      </c>
      <c r="G111" s="138"/>
      <c r="H111" s="138"/>
      <c r="I111" s="138"/>
      <c r="J111" s="139"/>
      <c r="K111" s="140"/>
      <c r="L111" s="140"/>
      <c r="M111" s="140"/>
      <c r="N111" s="140"/>
      <c r="O111" s="185">
        <f t="shared" si="13"/>
        <v>0.70807770000000003</v>
      </c>
      <c r="P111" s="147">
        <f t="shared" si="8"/>
        <v>5145</v>
      </c>
      <c r="Q111" s="148">
        <f t="shared" si="14"/>
        <v>5.0999999999999996</v>
      </c>
      <c r="R111" s="148">
        <f t="shared" si="15"/>
        <v>5.0999999999999996</v>
      </c>
      <c r="S111" s="135">
        <f>VLOOKUP(A111,[1]Index!$E:$M,7,)</f>
        <v>277.05205780749992</v>
      </c>
      <c r="T111" s="149">
        <f t="shared" si="9"/>
        <v>-4867.9479421924998</v>
      </c>
      <c r="U111" s="150">
        <f t="shared" si="10"/>
        <v>-17.570517182640188</v>
      </c>
      <c r="V111" s="151">
        <f t="shared" si="11"/>
        <v>0.13112550000000001</v>
      </c>
      <c r="W111" s="80">
        <f t="shared" si="12"/>
        <v>38.894036629030964</v>
      </c>
    </row>
    <row r="112" spans="1:23" ht="14.45" customHeight="1">
      <c r="A112" s="132" t="s">
        <v>177</v>
      </c>
      <c r="B112" s="133"/>
      <c r="C112" s="136">
        <v>20</v>
      </c>
      <c r="D112" s="136">
        <v>18</v>
      </c>
      <c r="E112" s="136">
        <v>7</v>
      </c>
      <c r="F112" s="137">
        <v>1025</v>
      </c>
      <c r="G112" s="153"/>
      <c r="H112" s="153"/>
      <c r="I112" s="153"/>
      <c r="J112" s="154"/>
      <c r="K112" s="156"/>
      <c r="L112" s="156"/>
      <c r="M112" s="156"/>
      <c r="N112" s="156"/>
      <c r="O112" s="185">
        <f t="shared" si="13"/>
        <v>0.48063456000000004</v>
      </c>
      <c r="P112" s="147">
        <f t="shared" si="8"/>
        <v>1025</v>
      </c>
      <c r="Q112" s="148">
        <f t="shared" si="14"/>
        <v>1</v>
      </c>
      <c r="R112" s="148">
        <f t="shared" si="15"/>
        <v>1</v>
      </c>
      <c r="S112" s="135">
        <f>VLOOKUP(A112,[1]Index!$E:$M,7,)</f>
        <v>197.08586696151673</v>
      </c>
      <c r="T112" s="149">
        <f t="shared" si="9"/>
        <v>-827.91413303848321</v>
      </c>
      <c r="U112" s="150">
        <f t="shared" si="10"/>
        <v>-4.2007788067327168</v>
      </c>
      <c r="V112" s="151">
        <f t="shared" si="11"/>
        <v>8.9006399999999999E-2</v>
      </c>
      <c r="W112" s="80">
        <f t="shared" si="12"/>
        <v>11.235147135486887</v>
      </c>
    </row>
    <row r="113" spans="1:23" ht="14.45" customHeight="1">
      <c r="A113" s="132" t="s">
        <v>178</v>
      </c>
      <c r="B113" s="133"/>
      <c r="C113" s="136">
        <v>65</v>
      </c>
      <c r="D113" s="136">
        <v>17.5</v>
      </c>
      <c r="E113" s="136">
        <v>7.5</v>
      </c>
      <c r="F113" s="137">
        <v>5230</v>
      </c>
      <c r="G113" s="138"/>
      <c r="H113" s="138"/>
      <c r="I113" s="138"/>
      <c r="J113" s="139"/>
      <c r="K113" s="140"/>
      <c r="L113" s="140"/>
      <c r="M113" s="140"/>
      <c r="N113" s="140"/>
      <c r="O113" s="185">
        <f t="shared" si="13"/>
        <v>1.6271482500000001</v>
      </c>
      <c r="P113" s="147">
        <f t="shared" si="8"/>
        <v>5230</v>
      </c>
      <c r="Q113" s="148">
        <f t="shared" si="14"/>
        <v>5.2</v>
      </c>
      <c r="R113" s="148">
        <f t="shared" si="15"/>
        <v>5.2</v>
      </c>
      <c r="S113" s="135">
        <f>VLOOKUP(A113,[1]Index!$E:$M,7,)</f>
        <v>261.82660249999998</v>
      </c>
      <c r="T113" s="149">
        <f t="shared" si="9"/>
        <v>-4968.1733974999997</v>
      </c>
      <c r="U113" s="150">
        <f t="shared" si="10"/>
        <v>-18.975052000302377</v>
      </c>
      <c r="V113" s="151">
        <f t="shared" si="11"/>
        <v>0.30132375</v>
      </c>
      <c r="W113" s="80">
        <f t="shared" si="12"/>
        <v>17.257186000107858</v>
      </c>
    </row>
    <row r="114" spans="1:23" ht="14.45" customHeight="1">
      <c r="A114" s="132" t="s">
        <v>180</v>
      </c>
      <c r="B114" s="133"/>
      <c r="C114" s="136">
        <v>82.7</v>
      </c>
      <c r="D114" s="136">
        <v>20.5</v>
      </c>
      <c r="E114" s="136">
        <v>9.5</v>
      </c>
      <c r="F114" s="137">
        <v>6800</v>
      </c>
      <c r="G114" s="153"/>
      <c r="H114" s="153"/>
      <c r="I114" s="153"/>
      <c r="J114" s="154"/>
      <c r="K114" s="156"/>
      <c r="L114" s="156"/>
      <c r="M114" s="156"/>
      <c r="N114" s="156"/>
      <c r="O114" s="185">
        <f t="shared" si="13"/>
        <v>3.0718317906000006</v>
      </c>
      <c r="P114" s="147">
        <f t="shared" si="8"/>
        <v>6800</v>
      </c>
      <c r="Q114" s="148">
        <f t="shared" si="14"/>
        <v>6.8</v>
      </c>
      <c r="R114" s="148">
        <f t="shared" si="15"/>
        <v>6.8</v>
      </c>
      <c r="S114" s="135">
        <f>VLOOKUP(A114,[1]Index!$E:$M,7,)</f>
        <v>380.91170280007452</v>
      </c>
      <c r="T114" s="149">
        <f t="shared" si="9"/>
        <v>-6419.0882971999254</v>
      </c>
      <c r="U114" s="150">
        <f t="shared" si="10"/>
        <v>-16.851906229221449</v>
      </c>
      <c r="V114" s="151">
        <f t="shared" si="11"/>
        <v>0.56885773900000003</v>
      </c>
      <c r="W114" s="80">
        <f t="shared" si="12"/>
        <v>11.953779537136612</v>
      </c>
    </row>
    <row r="115" spans="1:23" ht="14.45" customHeight="1">
      <c r="A115" s="132" t="s">
        <v>181</v>
      </c>
      <c r="B115" s="133"/>
      <c r="C115" s="160">
        <v>63</v>
      </c>
      <c r="D115" s="160">
        <v>17.5</v>
      </c>
      <c r="E115" s="160">
        <v>6</v>
      </c>
      <c r="F115" s="161">
        <v>1520</v>
      </c>
      <c r="G115" s="153"/>
      <c r="H115" s="153"/>
      <c r="I115" s="153"/>
      <c r="J115" s="154"/>
      <c r="K115" s="156"/>
      <c r="L115" s="156"/>
      <c r="M115" s="156"/>
      <c r="N115" s="156"/>
      <c r="O115" s="185">
        <f t="shared" si="13"/>
        <v>1.2616657200000001</v>
      </c>
      <c r="P115" s="147">
        <f t="shared" si="8"/>
        <v>1520</v>
      </c>
      <c r="Q115" s="148">
        <f t="shared" si="14"/>
        <v>1.5</v>
      </c>
      <c r="R115" s="148">
        <f t="shared" si="15"/>
        <v>1.5</v>
      </c>
      <c r="S115" s="135">
        <f>VLOOKUP(A115,[1]Index!$E:$M,7,)</f>
        <v>203.68058748565994</v>
      </c>
      <c r="T115" s="149">
        <f t="shared" si="9"/>
        <v>-1316.31941251434</v>
      </c>
      <c r="U115" s="150">
        <f t="shared" si="10"/>
        <v>-6.4626650421803946</v>
      </c>
      <c r="V115" s="151">
        <f t="shared" si="11"/>
        <v>0.23364180000000001</v>
      </c>
      <c r="W115" s="80">
        <f t="shared" si="12"/>
        <v>6.4200840774210777</v>
      </c>
    </row>
    <row r="116" spans="1:23" ht="14.45" customHeight="1">
      <c r="A116" s="132" t="s">
        <v>182</v>
      </c>
      <c r="B116" s="133"/>
      <c r="C116" s="136">
        <v>111</v>
      </c>
      <c r="D116" s="136">
        <v>18</v>
      </c>
      <c r="E116" s="136">
        <v>4</v>
      </c>
      <c r="F116" s="137">
        <v>3105</v>
      </c>
      <c r="G116" s="153"/>
      <c r="H116" s="153"/>
      <c r="I116" s="153"/>
      <c r="J116" s="154"/>
      <c r="K116" s="156"/>
      <c r="L116" s="156"/>
      <c r="M116" s="156"/>
      <c r="N116" s="156"/>
      <c r="O116" s="185">
        <f t="shared" si="13"/>
        <v>1.5242981760000003</v>
      </c>
      <c r="P116" s="147">
        <f t="shared" si="8"/>
        <v>3105</v>
      </c>
      <c r="Q116" s="148">
        <f t="shared" si="14"/>
        <v>3.1</v>
      </c>
      <c r="R116" s="148">
        <f t="shared" si="15"/>
        <v>3.1</v>
      </c>
      <c r="S116" s="135">
        <f>VLOOKUP(A116,[1]Index!$E:$M,7,)</f>
        <v>204.68754738999996</v>
      </c>
      <c r="T116" s="149">
        <f t="shared" si="9"/>
        <v>-2900.31245261</v>
      </c>
      <c r="U116" s="150">
        <f t="shared" si="10"/>
        <v>-14.169462136765508</v>
      </c>
      <c r="V116" s="151">
        <f t="shared" si="11"/>
        <v>0.28227744000000005</v>
      </c>
      <c r="W116" s="80">
        <f t="shared" si="12"/>
        <v>10.982103281084028</v>
      </c>
    </row>
    <row r="117" spans="1:23" ht="14.45" customHeight="1">
      <c r="A117" s="132" t="s">
        <v>183</v>
      </c>
      <c r="B117" s="133"/>
      <c r="C117" s="136">
        <v>59</v>
      </c>
      <c r="D117" s="136">
        <v>49</v>
      </c>
      <c r="E117" s="136">
        <v>8.5</v>
      </c>
      <c r="F117" s="137">
        <v>3800</v>
      </c>
      <c r="G117" s="153"/>
      <c r="H117" s="153"/>
      <c r="I117" s="153"/>
      <c r="J117" s="154"/>
      <c r="K117" s="156"/>
      <c r="L117" s="156"/>
      <c r="M117" s="156"/>
      <c r="N117" s="156"/>
      <c r="O117" s="185">
        <f t="shared" si="13"/>
        <v>4.6868545080000006</v>
      </c>
      <c r="P117" s="147">
        <f t="shared" si="8"/>
        <v>3800</v>
      </c>
      <c r="Q117" s="148">
        <f t="shared" si="14"/>
        <v>3.8</v>
      </c>
      <c r="R117" s="148">
        <f t="shared" si="15"/>
        <v>4.6868545080000006</v>
      </c>
      <c r="S117" s="135">
        <f>VLOOKUP(A117,[1]Index!$E:$M,7,)</f>
        <v>407.79443572500003</v>
      </c>
      <c r="T117" s="149">
        <f t="shared" si="9"/>
        <v>-3392.2055642750001</v>
      </c>
      <c r="U117" s="150">
        <f t="shared" si="10"/>
        <v>-8.3184204273021649</v>
      </c>
      <c r="V117" s="151">
        <f t="shared" si="11"/>
        <v>0.86793602000000003</v>
      </c>
      <c r="W117" s="80">
        <f t="shared" si="12"/>
        <v>4.3782029002552516</v>
      </c>
    </row>
    <row r="118" spans="1:23">
      <c r="A118" s="132" t="s">
        <v>184</v>
      </c>
      <c r="B118" s="133"/>
      <c r="C118" s="136">
        <v>49.5</v>
      </c>
      <c r="D118" s="136">
        <v>28.5</v>
      </c>
      <c r="E118" s="136">
        <v>8.5</v>
      </c>
      <c r="F118" s="137">
        <v>1640</v>
      </c>
      <c r="G118" s="153"/>
      <c r="H118" s="153"/>
      <c r="I118" s="153"/>
      <c r="J118" s="154"/>
      <c r="K118" s="156"/>
      <c r="L118" s="156"/>
      <c r="M118" s="156"/>
      <c r="N118" s="156"/>
      <c r="O118" s="185">
        <f t="shared" si="13"/>
        <v>2.287090971</v>
      </c>
      <c r="P118" s="147">
        <f t="shared" si="8"/>
        <v>1640</v>
      </c>
      <c r="Q118" s="148">
        <f t="shared" si="14"/>
        <v>1.6</v>
      </c>
      <c r="R118" s="148">
        <f t="shared" si="15"/>
        <v>2.287090971</v>
      </c>
      <c r="S118" s="135">
        <f>VLOOKUP(A118,[1]Index!$E:$M,7,)</f>
        <v>95.781846479999984</v>
      </c>
      <c r="T118" s="149">
        <f t="shared" si="9"/>
        <v>-1544.21815352</v>
      </c>
      <c r="U118" s="150">
        <f t="shared" si="10"/>
        <v>-16.122242473603233</v>
      </c>
      <c r="V118" s="151">
        <f t="shared" si="11"/>
        <v>0.423535365</v>
      </c>
      <c r="W118" s="80">
        <f t="shared" si="12"/>
        <v>3.7777246771352848</v>
      </c>
    </row>
    <row r="119" spans="1:23" ht="14.45" customHeight="1">
      <c r="A119" s="132" t="s">
        <v>185</v>
      </c>
      <c r="B119" s="133"/>
      <c r="C119" s="136">
        <v>24.5</v>
      </c>
      <c r="D119" s="136">
        <v>24.5</v>
      </c>
      <c r="E119" s="136">
        <v>12</v>
      </c>
      <c r="F119" s="137">
        <v>2760</v>
      </c>
      <c r="G119" s="153"/>
      <c r="H119" s="153"/>
      <c r="I119" s="153"/>
      <c r="J119" s="154"/>
      <c r="K119" s="156"/>
      <c r="L119" s="156"/>
      <c r="M119" s="156"/>
      <c r="N119" s="156"/>
      <c r="O119" s="185">
        <f t="shared" si="13"/>
        <v>1.373813784</v>
      </c>
      <c r="P119" s="147">
        <f t="shared" si="8"/>
        <v>2760</v>
      </c>
      <c r="Q119" s="148">
        <f t="shared" si="14"/>
        <v>2.7</v>
      </c>
      <c r="R119" s="148">
        <f t="shared" si="15"/>
        <v>2.7</v>
      </c>
      <c r="S119" s="135">
        <f>VLOOKUP(A119,[1]Index!$E:$M,7,)</f>
        <v>171.74508917700001</v>
      </c>
      <c r="T119" s="149">
        <f t="shared" si="9"/>
        <v>-2588.254910823</v>
      </c>
      <c r="U119" s="150">
        <f t="shared" si="10"/>
        <v>-15.070328492219954</v>
      </c>
      <c r="V119" s="151">
        <f t="shared" si="11"/>
        <v>0.25440995999999999</v>
      </c>
      <c r="W119" s="80">
        <f t="shared" si="12"/>
        <v>10.61279204634913</v>
      </c>
    </row>
    <row r="120" spans="1:23">
      <c r="A120" s="132" t="s">
        <v>186</v>
      </c>
      <c r="B120" s="133"/>
      <c r="C120" s="136">
        <v>24.5</v>
      </c>
      <c r="D120" s="136">
        <v>24.5</v>
      </c>
      <c r="E120" s="136">
        <v>18</v>
      </c>
      <c r="F120" s="137">
        <v>4030</v>
      </c>
      <c r="G120" s="153"/>
      <c r="H120" s="153"/>
      <c r="I120" s="153"/>
      <c r="J120" s="154"/>
      <c r="K120" s="156"/>
      <c r="L120" s="156"/>
      <c r="M120" s="156"/>
      <c r="N120" s="156"/>
      <c r="O120" s="185">
        <f t="shared" si="13"/>
        <v>2.0607206760000003</v>
      </c>
      <c r="P120" s="147">
        <f t="shared" si="8"/>
        <v>4030</v>
      </c>
      <c r="Q120" s="148">
        <f t="shared" si="14"/>
        <v>4</v>
      </c>
      <c r="R120" s="148">
        <f t="shared" si="15"/>
        <v>4</v>
      </c>
      <c r="S120" s="135">
        <f>VLOOKUP(A120,[1]Index!$E:$M,7,)</f>
        <v>242.71649176675004</v>
      </c>
      <c r="T120" s="149">
        <f t="shared" si="9"/>
        <v>-3787.2835082332499</v>
      </c>
      <c r="U120" s="150">
        <f t="shared" si="10"/>
        <v>-15.603733725159559</v>
      </c>
      <c r="V120" s="151">
        <f t="shared" si="11"/>
        <v>0.38161494000000001</v>
      </c>
      <c r="W120" s="80">
        <f t="shared" si="12"/>
        <v>10.481769922320126</v>
      </c>
    </row>
    <row r="121" spans="1:23">
      <c r="A121" s="132" t="s">
        <v>187</v>
      </c>
      <c r="B121" s="133"/>
      <c r="C121" s="136">
        <v>127</v>
      </c>
      <c r="D121" s="136">
        <v>20.5</v>
      </c>
      <c r="E121" s="136">
        <v>10</v>
      </c>
      <c r="F121" s="164">
        <v>11500</v>
      </c>
      <c r="G121" s="138"/>
      <c r="H121" s="138"/>
      <c r="I121" s="138"/>
      <c r="J121" s="139"/>
      <c r="K121" s="140"/>
      <c r="L121" s="140"/>
      <c r="M121" s="140"/>
      <c r="N121" s="140"/>
      <c r="O121" s="185">
        <f t="shared" si="13"/>
        <v>4.9656034800000004</v>
      </c>
      <c r="P121" s="158">
        <f t="shared" si="8"/>
        <v>11500</v>
      </c>
      <c r="Q121" s="148">
        <f t="shared" si="14"/>
        <v>11.5</v>
      </c>
      <c r="R121" s="148">
        <f t="shared" si="15"/>
        <v>11.5</v>
      </c>
      <c r="S121" s="135">
        <f>VLOOKUP(A121,[1]Index!$E:$M,7,)</f>
        <v>590.38150052937499</v>
      </c>
      <c r="T121" s="149">
        <f t="shared" si="9"/>
        <v>-10909.618499470625</v>
      </c>
      <c r="U121" s="150">
        <f t="shared" si="10"/>
        <v>-18.4789301319373</v>
      </c>
      <c r="V121" s="151">
        <f t="shared" si="11"/>
        <v>0.91955619999999993</v>
      </c>
      <c r="W121" s="80">
        <f t="shared" si="12"/>
        <v>12.506032801475321</v>
      </c>
    </row>
    <row r="122" spans="1:23">
      <c r="A122" s="132" t="s">
        <v>189</v>
      </c>
      <c r="B122" s="133"/>
      <c r="C122" s="136">
        <v>81</v>
      </c>
      <c r="D122" s="136">
        <v>42</v>
      </c>
      <c r="E122" s="136">
        <v>14</v>
      </c>
      <c r="F122" s="137">
        <v>23135</v>
      </c>
      <c r="G122" s="153"/>
      <c r="H122" s="153"/>
      <c r="I122" s="153"/>
      <c r="J122" s="154"/>
      <c r="K122" s="156"/>
      <c r="L122" s="156"/>
      <c r="M122" s="156"/>
      <c r="N122" s="156"/>
      <c r="O122" s="185">
        <f t="shared" si="13"/>
        <v>9.0839931840000006</v>
      </c>
      <c r="P122" s="147">
        <f t="shared" si="8"/>
        <v>23135</v>
      </c>
      <c r="Q122" s="148">
        <f t="shared" si="14"/>
        <v>23.1</v>
      </c>
      <c r="R122" s="148">
        <f t="shared" si="15"/>
        <v>23.1</v>
      </c>
      <c r="S122" s="135">
        <f>VLOOKUP(A122,[1]Index!$E:$M,7,)</f>
        <v>1358.0607398747522</v>
      </c>
      <c r="T122" s="149">
        <f t="shared" si="9"/>
        <v>-21776.939260125248</v>
      </c>
      <c r="U122" s="150">
        <f t="shared" si="10"/>
        <v>-16.035320527809112</v>
      </c>
      <c r="V122" s="151">
        <f t="shared" si="11"/>
        <v>1.68222096</v>
      </c>
      <c r="W122" s="80">
        <f t="shared" si="12"/>
        <v>13.731846498928418</v>
      </c>
    </row>
    <row r="123" spans="1:23" ht="14.45" customHeight="1">
      <c r="A123" s="132" t="s">
        <v>191</v>
      </c>
      <c r="B123" s="133"/>
      <c r="C123" s="136">
        <v>79</v>
      </c>
      <c r="D123" s="136">
        <v>36</v>
      </c>
      <c r="E123" s="136">
        <v>11.5</v>
      </c>
      <c r="F123" s="137">
        <v>17600</v>
      </c>
      <c r="G123" s="138"/>
      <c r="H123" s="138"/>
      <c r="I123" s="138"/>
      <c r="J123" s="139"/>
      <c r="K123" s="140"/>
      <c r="L123" s="140"/>
      <c r="M123" s="140"/>
      <c r="N123" s="140"/>
      <c r="O123" s="185">
        <f t="shared" si="13"/>
        <v>6.2379499680000006</v>
      </c>
      <c r="P123" s="158">
        <f t="shared" si="8"/>
        <v>17600</v>
      </c>
      <c r="Q123" s="148">
        <f t="shared" si="14"/>
        <v>17.600000000000001</v>
      </c>
      <c r="R123" s="148">
        <f t="shared" si="15"/>
        <v>17.600000000000001</v>
      </c>
      <c r="S123" s="135">
        <f>VLOOKUP(A123,[1]Index!$E:$M,7,)</f>
        <v>1197.0922904151364</v>
      </c>
      <c r="T123" s="149">
        <f t="shared" si="9"/>
        <v>-16402.907709584862</v>
      </c>
      <c r="U123" s="150">
        <f t="shared" si="10"/>
        <v>-13.702291661987516</v>
      </c>
      <c r="V123" s="151">
        <f t="shared" si="11"/>
        <v>1.15517592</v>
      </c>
      <c r="W123" s="80">
        <f t="shared" si="12"/>
        <v>15.235774651535328</v>
      </c>
    </row>
    <row r="124" spans="1:23">
      <c r="A124" s="132" t="s">
        <v>192</v>
      </c>
      <c r="B124" s="133"/>
      <c r="C124" s="136">
        <v>116.2</v>
      </c>
      <c r="D124" s="136">
        <v>38.9</v>
      </c>
      <c r="E124" s="136">
        <v>10.3</v>
      </c>
      <c r="F124" s="137">
        <v>26700</v>
      </c>
      <c r="G124" s="138"/>
      <c r="H124" s="138"/>
      <c r="I124" s="138"/>
      <c r="J124" s="139"/>
      <c r="K124" s="140"/>
      <c r="L124" s="140"/>
      <c r="M124" s="140"/>
      <c r="N124" s="140"/>
      <c r="O124" s="185">
        <f t="shared" si="13"/>
        <v>8.8798863777120012</v>
      </c>
      <c r="P124" s="158">
        <f t="shared" si="8"/>
        <v>26700</v>
      </c>
      <c r="Q124" s="148">
        <f t="shared" si="14"/>
        <v>26.7</v>
      </c>
      <c r="R124" s="148">
        <f t="shared" si="15"/>
        <v>26.7</v>
      </c>
      <c r="S124" s="135">
        <f>VLOOKUP(A124,[1]Index!$E:$M,7,)</f>
        <v>1775.1850789615576</v>
      </c>
      <c r="T124" s="149">
        <f t="shared" si="9"/>
        <v>-24924.814921038444</v>
      </c>
      <c r="U124" s="150">
        <f t="shared" si="10"/>
        <v>-14.040685231321845</v>
      </c>
      <c r="V124" s="151">
        <f t="shared" si="11"/>
        <v>1.6444234032800003</v>
      </c>
      <c r="W124" s="80">
        <f t="shared" si="12"/>
        <v>16.236694239904175</v>
      </c>
    </row>
    <row r="125" spans="1:23" ht="14.45" customHeight="1">
      <c r="A125" s="132" t="s">
        <v>194</v>
      </c>
      <c r="B125" s="133"/>
      <c r="C125" s="164">
        <v>144</v>
      </c>
      <c r="D125" s="164">
        <v>44</v>
      </c>
      <c r="E125" s="164">
        <v>12</v>
      </c>
      <c r="F125" s="137">
        <v>31000</v>
      </c>
      <c r="G125" s="138"/>
      <c r="H125" s="138"/>
      <c r="I125" s="138"/>
      <c r="J125" s="139"/>
      <c r="K125" s="140"/>
      <c r="L125" s="140"/>
      <c r="M125" s="140"/>
      <c r="N125" s="140"/>
      <c r="O125" s="185">
        <f t="shared" si="13"/>
        <v>14.501431296000002</v>
      </c>
      <c r="P125" s="158">
        <f t="shared" si="8"/>
        <v>31000</v>
      </c>
      <c r="Q125" s="148">
        <f t="shared" si="14"/>
        <v>31</v>
      </c>
      <c r="R125" s="148">
        <f t="shared" si="15"/>
        <v>31</v>
      </c>
      <c r="S125" s="135">
        <f>VLOOKUP(A125,[1]Index!$E:$M,7,)</f>
        <v>2017.2652937383987</v>
      </c>
      <c r="T125" s="149">
        <f t="shared" si="9"/>
        <v>-28982.734706261603</v>
      </c>
      <c r="U125" s="150">
        <f t="shared" si="10"/>
        <v>-14.367339187475318</v>
      </c>
      <c r="V125" s="151">
        <f t="shared" si="11"/>
        <v>2.6854502400000002</v>
      </c>
      <c r="W125" s="80">
        <f t="shared" si="12"/>
        <v>11.543688107957642</v>
      </c>
    </row>
    <row r="126" spans="1:23" ht="14.45" customHeight="1">
      <c r="A126" s="132" t="s">
        <v>195</v>
      </c>
      <c r="B126" s="133"/>
      <c r="C126" s="136">
        <v>103</v>
      </c>
      <c r="D126" s="136">
        <v>36</v>
      </c>
      <c r="E126" s="136">
        <v>7</v>
      </c>
      <c r="F126" s="137">
        <v>12500</v>
      </c>
      <c r="G126" s="153"/>
      <c r="H126" s="153"/>
      <c r="I126" s="153"/>
      <c r="J126" s="154"/>
      <c r="K126" s="156"/>
      <c r="L126" s="156"/>
      <c r="M126" s="156"/>
      <c r="N126" s="156"/>
      <c r="O126" s="185">
        <f t="shared" si="13"/>
        <v>4.9505359680000005</v>
      </c>
      <c r="P126" s="147">
        <f t="shared" si="8"/>
        <v>12500</v>
      </c>
      <c r="Q126" s="148">
        <f t="shared" si="14"/>
        <v>12.5</v>
      </c>
      <c r="R126" s="148">
        <f t="shared" si="15"/>
        <v>12.5</v>
      </c>
      <c r="S126" s="135">
        <f>VLOOKUP(A126,[1]Index!$E:$M,7,)</f>
        <v>614.28356368999982</v>
      </c>
      <c r="T126" s="149">
        <f t="shared" si="9"/>
        <v>-11885.71643631</v>
      </c>
      <c r="U126" s="150">
        <f t="shared" si="10"/>
        <v>-19.348908450215617</v>
      </c>
      <c r="V126" s="151">
        <f t="shared" si="11"/>
        <v>0.91676592000000001</v>
      </c>
      <c r="W126" s="80">
        <f t="shared" si="12"/>
        <v>13.634887300348163</v>
      </c>
    </row>
    <row r="127" spans="1:23" ht="14.45" customHeight="1">
      <c r="A127" s="132" t="s">
        <v>197</v>
      </c>
      <c r="B127" s="133"/>
      <c r="C127" s="164">
        <v>96</v>
      </c>
      <c r="D127" s="164">
        <v>40</v>
      </c>
      <c r="E127" s="164">
        <v>15</v>
      </c>
      <c r="F127" s="137">
        <v>28000</v>
      </c>
      <c r="G127" s="138"/>
      <c r="H127" s="138"/>
      <c r="I127" s="138"/>
      <c r="J127" s="139"/>
      <c r="K127" s="140"/>
      <c r="L127" s="140"/>
      <c r="M127" s="140"/>
      <c r="N127" s="140"/>
      <c r="O127" s="185">
        <f t="shared" si="13"/>
        <v>10.9859328</v>
      </c>
      <c r="P127" s="158">
        <f t="shared" si="8"/>
        <v>28000</v>
      </c>
      <c r="Q127" s="148">
        <f t="shared" si="14"/>
        <v>28</v>
      </c>
      <c r="R127" s="148">
        <f t="shared" si="15"/>
        <v>28</v>
      </c>
      <c r="S127" s="135">
        <f>VLOOKUP(A127,[1]Index!$E:$M,7,)</f>
        <v>1791.3167019988944</v>
      </c>
      <c r="T127" s="149">
        <f t="shared" si="9"/>
        <v>-26208.683298001106</v>
      </c>
      <c r="U127" s="150">
        <f t="shared" si="10"/>
        <v>-14.630960158388163</v>
      </c>
      <c r="V127" s="151">
        <f t="shared" si="11"/>
        <v>2.0344319999999998</v>
      </c>
      <c r="W127" s="80">
        <f t="shared" si="12"/>
        <v>13.763055240971438</v>
      </c>
    </row>
    <row r="128" spans="1:23" ht="14.45" customHeight="1">
      <c r="A128" s="132" t="s">
        <v>199</v>
      </c>
      <c r="B128" s="133"/>
      <c r="C128" s="136">
        <v>81</v>
      </c>
      <c r="D128" s="136">
        <v>42</v>
      </c>
      <c r="E128" s="136">
        <v>14</v>
      </c>
      <c r="F128" s="137">
        <v>23135</v>
      </c>
      <c r="G128" s="153"/>
      <c r="H128" s="153"/>
      <c r="I128" s="153"/>
      <c r="J128" s="154"/>
      <c r="K128" s="156"/>
      <c r="L128" s="156"/>
      <c r="M128" s="156"/>
      <c r="N128" s="156"/>
      <c r="O128" s="185">
        <f t="shared" si="13"/>
        <v>9.0839931840000006</v>
      </c>
      <c r="P128" s="147">
        <f t="shared" si="8"/>
        <v>23135</v>
      </c>
      <c r="Q128" s="148">
        <f t="shared" si="14"/>
        <v>23.1</v>
      </c>
      <c r="R128" s="148">
        <f t="shared" si="15"/>
        <v>23.1</v>
      </c>
      <c r="S128" s="135">
        <f>VLOOKUP(A128,[1]Index!$E:$M,7,)</f>
        <v>1740.9166180045409</v>
      </c>
      <c r="T128" s="149">
        <f t="shared" si="9"/>
        <v>-21394.083381995461</v>
      </c>
      <c r="U128" s="150">
        <f t="shared" si="10"/>
        <v>-12.288976485569775</v>
      </c>
      <c r="V128" s="151">
        <f t="shared" si="11"/>
        <v>1.68222096</v>
      </c>
      <c r="W128" s="80">
        <f t="shared" si="12"/>
        <v>13.731846498928418</v>
      </c>
    </row>
    <row r="129" spans="1:23" ht="14.45" customHeight="1">
      <c r="A129" s="132" t="s">
        <v>200</v>
      </c>
      <c r="B129" s="133"/>
      <c r="C129" s="136">
        <v>67.5</v>
      </c>
      <c r="D129" s="136">
        <v>17.3</v>
      </c>
      <c r="E129" s="136">
        <v>8.3000000000000007</v>
      </c>
      <c r="F129" s="137">
        <v>3735</v>
      </c>
      <c r="G129" s="153"/>
      <c r="H129" s="153"/>
      <c r="I129" s="153"/>
      <c r="J129" s="154"/>
      <c r="K129" s="156"/>
      <c r="L129" s="156"/>
      <c r="M129" s="156"/>
      <c r="N129" s="156"/>
      <c r="O129" s="185">
        <f t="shared" si="13"/>
        <v>1.8485977626000001</v>
      </c>
      <c r="P129" s="147">
        <f t="shared" si="8"/>
        <v>3735</v>
      </c>
      <c r="Q129" s="148">
        <f t="shared" si="14"/>
        <v>3.7</v>
      </c>
      <c r="R129" s="148">
        <f t="shared" si="15"/>
        <v>3.7</v>
      </c>
      <c r="S129" s="135">
        <f>VLOOKUP(A129,[1]Index!$E:$M,7,)</f>
        <v>247.54862598750009</v>
      </c>
      <c r="T129" s="149">
        <f t="shared" si="9"/>
        <v>-3487.4513740124999</v>
      </c>
      <c r="U129" s="150">
        <f t="shared" si="10"/>
        <v>-14.087944782972045</v>
      </c>
      <c r="V129" s="151">
        <f t="shared" si="11"/>
        <v>0.34233291900000001</v>
      </c>
      <c r="W129" s="80">
        <f t="shared" si="12"/>
        <v>10.808192243995093</v>
      </c>
    </row>
    <row r="130" spans="1:23" ht="14.45" customHeight="1">
      <c r="A130" s="132" t="s">
        <v>201</v>
      </c>
      <c r="B130" s="133"/>
      <c r="C130" s="136">
        <v>32</v>
      </c>
      <c r="D130" s="136">
        <v>29</v>
      </c>
      <c r="E130" s="136">
        <v>12</v>
      </c>
      <c r="F130" s="137">
        <v>2290</v>
      </c>
      <c r="G130" s="153"/>
      <c r="H130" s="153"/>
      <c r="I130" s="153"/>
      <c r="J130" s="154"/>
      <c r="K130" s="156"/>
      <c r="L130" s="156"/>
      <c r="M130" s="156"/>
      <c r="N130" s="156"/>
      <c r="O130" s="185">
        <f t="shared" si="13"/>
        <v>2.123947008</v>
      </c>
      <c r="P130" s="147">
        <f t="shared" si="8"/>
        <v>2290</v>
      </c>
      <c r="Q130" s="148">
        <f t="shared" si="14"/>
        <v>2.2000000000000002</v>
      </c>
      <c r="R130" s="148">
        <f t="shared" si="15"/>
        <v>2.2000000000000002</v>
      </c>
      <c r="S130" s="135" t="e">
        <f>VLOOKUP(A130,[1]Index!$E:$M,7,)</f>
        <v>#N/A</v>
      </c>
      <c r="T130" s="149" t="e">
        <f t="shared" si="9"/>
        <v>#N/A</v>
      </c>
      <c r="U130" s="150" t="e">
        <f t="shared" si="10"/>
        <v>#N/A</v>
      </c>
      <c r="V130" s="151">
        <f t="shared" si="11"/>
        <v>0.39332351999999998</v>
      </c>
      <c r="W130" s="80">
        <f t="shared" si="12"/>
        <v>5.5933598885721363</v>
      </c>
    </row>
    <row r="131" spans="1:23" ht="14.45" customHeight="1">
      <c r="A131" s="132" t="s">
        <v>202</v>
      </c>
      <c r="B131" s="133"/>
      <c r="C131" s="160">
        <v>86.3</v>
      </c>
      <c r="D131" s="160">
        <v>17.3</v>
      </c>
      <c r="E131" s="160">
        <v>5.2</v>
      </c>
      <c r="F131" s="161">
        <v>3270</v>
      </c>
      <c r="G131" s="153"/>
      <c r="H131" s="153"/>
      <c r="I131" s="153"/>
      <c r="J131" s="154"/>
      <c r="K131" s="156"/>
      <c r="L131" s="156"/>
      <c r="M131" s="156"/>
      <c r="N131" s="156"/>
      <c r="O131" s="185">
        <f t="shared" si="13"/>
        <v>1.4807259829440003</v>
      </c>
      <c r="P131" s="147">
        <f t="shared" si="8"/>
        <v>3270</v>
      </c>
      <c r="Q131" s="148">
        <f t="shared" si="14"/>
        <v>3.2</v>
      </c>
      <c r="R131" s="148">
        <f t="shared" si="15"/>
        <v>3.2</v>
      </c>
      <c r="S131" s="135">
        <f>VLOOKUP(A131,[1]Index!$E:$M,7,)</f>
        <v>215.51554827353846</v>
      </c>
      <c r="T131" s="149">
        <f t="shared" si="9"/>
        <v>-3054.4844517264614</v>
      </c>
      <c r="U131" s="150">
        <f t="shared" si="10"/>
        <v>-14.172919198616812</v>
      </c>
      <c r="V131" s="151">
        <f t="shared" si="11"/>
        <v>0.27420851536000002</v>
      </c>
      <c r="W131" s="80">
        <f t="shared" si="12"/>
        <v>11.669951225981503</v>
      </c>
    </row>
    <row r="132" spans="1:23" ht="14.45" customHeight="1">
      <c r="A132" s="132" t="s">
        <v>203</v>
      </c>
      <c r="B132" s="133"/>
      <c r="C132" s="136">
        <v>123</v>
      </c>
      <c r="D132" s="136">
        <v>63</v>
      </c>
      <c r="E132" s="136">
        <v>8.5</v>
      </c>
      <c r="F132" s="137">
        <v>25000</v>
      </c>
      <c r="G132" s="153"/>
      <c r="H132" s="153"/>
      <c r="I132" s="153"/>
      <c r="J132" s="154"/>
      <c r="K132" s="156"/>
      <c r="L132" s="156"/>
      <c r="M132" s="156"/>
      <c r="N132" s="156"/>
      <c r="O132" s="185">
        <f t="shared" si="13"/>
        <v>12.562585812</v>
      </c>
      <c r="P132" s="147">
        <f t="shared" ref="P132:P195" si="16">F132+J132+N132</f>
        <v>25000</v>
      </c>
      <c r="Q132" s="148">
        <f t="shared" si="14"/>
        <v>25</v>
      </c>
      <c r="R132" s="148">
        <f t="shared" si="15"/>
        <v>25</v>
      </c>
      <c r="S132" s="135">
        <f>VLOOKUP(A132,[1]Index!$E:$M,7,)</f>
        <v>1220.4389740376064</v>
      </c>
      <c r="T132" s="149">
        <f t="shared" ref="T132:T195" si="17">S132-P132</f>
        <v>-23779.561025962394</v>
      </c>
      <c r="U132" s="150">
        <f t="shared" ref="U132:U195" si="18">T132/S132</f>
        <v>-19.484432676950593</v>
      </c>
      <c r="V132" s="151">
        <f t="shared" ref="V132:V195" si="19">(((C132*D132*E132)+(G132*H132*I132)+(K132*L132*M132))/1000000)*35.32</f>
        <v>2.3264047799999998</v>
      </c>
      <c r="W132" s="80">
        <f t="shared" ref="W132:W195" si="20">Q132/V132</f>
        <v>10.746195251541739</v>
      </c>
    </row>
    <row r="133" spans="1:23" ht="14.45" customHeight="1">
      <c r="A133" s="132" t="s">
        <v>207</v>
      </c>
      <c r="B133" s="133"/>
      <c r="C133" s="136">
        <v>110.7</v>
      </c>
      <c r="D133" s="136">
        <v>50.7</v>
      </c>
      <c r="E133" s="136">
        <v>6.5</v>
      </c>
      <c r="F133" s="137">
        <v>14000</v>
      </c>
      <c r="G133" s="153"/>
      <c r="H133" s="153"/>
      <c r="I133" s="153"/>
      <c r="J133" s="154"/>
      <c r="K133" s="156"/>
      <c r="L133" s="156"/>
      <c r="M133" s="156"/>
      <c r="N133" s="156"/>
      <c r="O133" s="185">
        <f t="shared" ref="O133:O196" si="21">V133*$O$2</f>
        <v>6.9579834526800015</v>
      </c>
      <c r="P133" s="147">
        <f t="shared" si="16"/>
        <v>14000</v>
      </c>
      <c r="Q133" s="148">
        <f t="shared" ref="Q133:Q196" si="22">ROUNDDOWN(P133/1000,1)</f>
        <v>14</v>
      </c>
      <c r="R133" s="148">
        <f t="shared" ref="R133:R196" si="23">MAX(O133,Q133)</f>
        <v>14</v>
      </c>
      <c r="S133" s="135">
        <f>VLOOKUP(A133,[1]Index!$E:$M,7,)</f>
        <v>792.43227842120007</v>
      </c>
      <c r="T133" s="149">
        <f t="shared" si="17"/>
        <v>-13207.5677215788</v>
      </c>
      <c r="U133" s="150">
        <f t="shared" si="18"/>
        <v>-16.667124852476803</v>
      </c>
      <c r="V133" s="151">
        <f t="shared" si="19"/>
        <v>1.2885154542000001</v>
      </c>
      <c r="W133" s="80">
        <f t="shared" si="20"/>
        <v>10.865216986234886</v>
      </c>
    </row>
    <row r="134" spans="1:23" ht="14.45" customHeight="1">
      <c r="A134" s="132" t="s">
        <v>208</v>
      </c>
      <c r="B134" s="133"/>
      <c r="C134" s="136">
        <v>85.7</v>
      </c>
      <c r="D134" s="136">
        <v>45.7</v>
      </c>
      <c r="E134" s="136">
        <v>6.5</v>
      </c>
      <c r="F134" s="137">
        <v>11500</v>
      </c>
      <c r="G134" s="153"/>
      <c r="H134" s="153"/>
      <c r="I134" s="153"/>
      <c r="J134" s="154"/>
      <c r="K134" s="156"/>
      <c r="L134" s="156"/>
      <c r="M134" s="156"/>
      <c r="N134" s="156"/>
      <c r="O134" s="185">
        <f t="shared" si="21"/>
        <v>4.8553979806800003</v>
      </c>
      <c r="P134" s="147">
        <f t="shared" si="16"/>
        <v>11500</v>
      </c>
      <c r="Q134" s="148">
        <f t="shared" si="22"/>
        <v>11.5</v>
      </c>
      <c r="R134" s="148">
        <f t="shared" si="23"/>
        <v>11.5</v>
      </c>
      <c r="S134" s="135">
        <f>VLOOKUP(A134,[1]Index!$E:$M,7,)</f>
        <v>644.42023242582036</v>
      </c>
      <c r="T134" s="149">
        <f t="shared" si="17"/>
        <v>-10855.57976757418</v>
      </c>
      <c r="U134" s="150">
        <f t="shared" si="18"/>
        <v>-16.845498048237914</v>
      </c>
      <c r="V134" s="151">
        <f t="shared" si="19"/>
        <v>0.89914777420000003</v>
      </c>
      <c r="W134" s="80">
        <f t="shared" si="20"/>
        <v>12.789888747966829</v>
      </c>
    </row>
    <row r="135" spans="1:23" ht="14.45" customHeight="1">
      <c r="A135" s="132" t="s">
        <v>209</v>
      </c>
      <c r="B135" s="133"/>
      <c r="C135" s="136">
        <v>34.5</v>
      </c>
      <c r="D135" s="136">
        <v>32.5</v>
      </c>
      <c r="E135" s="136">
        <v>6.5</v>
      </c>
      <c r="F135" s="137">
        <v>1520</v>
      </c>
      <c r="G135" s="153"/>
      <c r="H135" s="153"/>
      <c r="I135" s="153"/>
      <c r="J135" s="154"/>
      <c r="K135" s="156"/>
      <c r="L135" s="156"/>
      <c r="M135" s="156"/>
      <c r="N135" s="156"/>
      <c r="O135" s="185">
        <f t="shared" si="21"/>
        <v>1.3900495050000004</v>
      </c>
      <c r="P135" s="147">
        <f t="shared" si="16"/>
        <v>1520</v>
      </c>
      <c r="Q135" s="148">
        <f t="shared" si="22"/>
        <v>1.5</v>
      </c>
      <c r="R135" s="148">
        <f t="shared" si="23"/>
        <v>1.5</v>
      </c>
      <c r="S135" s="135" t="e">
        <f>VLOOKUP(A135,[1]Index!$E:$M,7,)</f>
        <v>#N/A</v>
      </c>
      <c r="T135" s="149" t="e">
        <f t="shared" si="17"/>
        <v>#N/A</v>
      </c>
      <c r="U135" s="150" t="e">
        <f t="shared" si="18"/>
        <v>#N/A</v>
      </c>
      <c r="V135" s="151">
        <f t="shared" si="19"/>
        <v>0.25741657500000004</v>
      </c>
      <c r="W135" s="80">
        <f t="shared" si="20"/>
        <v>5.8271305956114121</v>
      </c>
    </row>
    <row r="136" spans="1:23" ht="14.45" customHeight="1">
      <c r="A136" s="132" t="s">
        <v>210</v>
      </c>
      <c r="B136" s="133"/>
      <c r="C136" s="136">
        <v>26</v>
      </c>
      <c r="D136" s="136">
        <v>25</v>
      </c>
      <c r="E136" s="136">
        <v>5.5</v>
      </c>
      <c r="F136" s="137">
        <v>940</v>
      </c>
      <c r="G136" s="153"/>
      <c r="H136" s="153"/>
      <c r="I136" s="153"/>
      <c r="J136" s="154"/>
      <c r="K136" s="156"/>
      <c r="L136" s="156"/>
      <c r="M136" s="156"/>
      <c r="N136" s="156"/>
      <c r="O136" s="185">
        <f t="shared" si="21"/>
        <v>0.68185260000000003</v>
      </c>
      <c r="P136" s="147">
        <f t="shared" si="16"/>
        <v>940</v>
      </c>
      <c r="Q136" s="148">
        <f t="shared" si="22"/>
        <v>0.9</v>
      </c>
      <c r="R136" s="148">
        <f t="shared" si="23"/>
        <v>0.9</v>
      </c>
      <c r="S136" s="135" t="e">
        <f>VLOOKUP(A136,[1]Index!$E:$M,7,)</f>
        <v>#N/A</v>
      </c>
      <c r="T136" s="149" t="e">
        <f t="shared" si="17"/>
        <v>#N/A</v>
      </c>
      <c r="U136" s="150" t="e">
        <f t="shared" si="18"/>
        <v>#N/A</v>
      </c>
      <c r="V136" s="151">
        <f t="shared" si="19"/>
        <v>0.12626899999999999</v>
      </c>
      <c r="W136" s="80">
        <f t="shared" si="20"/>
        <v>7.1276401967228704</v>
      </c>
    </row>
    <row r="137" spans="1:23" ht="14.45" customHeight="1">
      <c r="A137" s="132" t="s">
        <v>211</v>
      </c>
      <c r="B137" s="133"/>
      <c r="C137" s="136">
        <v>120.2</v>
      </c>
      <c r="D137" s="136">
        <v>60.2</v>
      </c>
      <c r="E137" s="136">
        <v>3</v>
      </c>
      <c r="F137" s="137">
        <v>16000</v>
      </c>
      <c r="G137" s="138"/>
      <c r="H137" s="138"/>
      <c r="I137" s="138"/>
      <c r="J137" s="139"/>
      <c r="K137" s="140"/>
      <c r="L137" s="140"/>
      <c r="M137" s="140"/>
      <c r="N137" s="140"/>
      <c r="O137" s="185">
        <f t="shared" si="21"/>
        <v>4.1403463113600001</v>
      </c>
      <c r="P137" s="147">
        <f t="shared" si="16"/>
        <v>16000</v>
      </c>
      <c r="Q137" s="148">
        <f t="shared" si="22"/>
        <v>16</v>
      </c>
      <c r="R137" s="148">
        <f t="shared" si="23"/>
        <v>16</v>
      </c>
      <c r="S137" s="135">
        <f>VLOOKUP(A137,[1]Index!$E:$M,7,)</f>
        <v>852.67875007796124</v>
      </c>
      <c r="T137" s="149">
        <f t="shared" si="17"/>
        <v>-15147.321249922039</v>
      </c>
      <c r="U137" s="150">
        <f t="shared" si="18"/>
        <v>-17.764393974327501</v>
      </c>
      <c r="V137" s="151">
        <f t="shared" si="19"/>
        <v>0.76673079840000002</v>
      </c>
      <c r="W137" s="80">
        <f t="shared" si="20"/>
        <v>20.867819622465291</v>
      </c>
    </row>
    <row r="138" spans="1:23" ht="14.45" customHeight="1">
      <c r="A138" s="132" t="s">
        <v>212</v>
      </c>
      <c r="B138" s="133"/>
      <c r="C138" s="136">
        <v>95.2</v>
      </c>
      <c r="D138" s="136">
        <v>50.2</v>
      </c>
      <c r="E138" s="136">
        <v>3</v>
      </c>
      <c r="F138" s="137">
        <v>9500</v>
      </c>
      <c r="G138" s="138"/>
      <c r="H138" s="138"/>
      <c r="I138" s="138"/>
      <c r="J138" s="139"/>
      <c r="K138" s="140"/>
      <c r="L138" s="140"/>
      <c r="M138" s="140"/>
      <c r="N138" s="140"/>
      <c r="O138" s="185">
        <f t="shared" si="21"/>
        <v>2.7344902233599999</v>
      </c>
      <c r="P138" s="147">
        <f t="shared" si="16"/>
        <v>9500</v>
      </c>
      <c r="Q138" s="148">
        <f t="shared" si="22"/>
        <v>9.5</v>
      </c>
      <c r="R138" s="148">
        <f t="shared" si="23"/>
        <v>9.5</v>
      </c>
      <c r="S138" s="135">
        <f>VLOOKUP(A138,[1]Index!$E:$M,7,)</f>
        <v>605.30486419511533</v>
      </c>
      <c r="T138" s="149">
        <f t="shared" si="17"/>
        <v>-8894.6951358048846</v>
      </c>
      <c r="U138" s="150">
        <f t="shared" si="18"/>
        <v>-14.694570722857678</v>
      </c>
      <c r="V138" s="151">
        <f t="shared" si="19"/>
        <v>0.50638707839999997</v>
      </c>
      <c r="W138" s="80">
        <f t="shared" si="20"/>
        <v>18.760352317868307</v>
      </c>
    </row>
    <row r="139" spans="1:23" ht="14.45" customHeight="1">
      <c r="A139" s="132" t="s">
        <v>213</v>
      </c>
      <c r="B139" s="133"/>
      <c r="C139" s="136">
        <v>121</v>
      </c>
      <c r="D139" s="136">
        <v>62.5</v>
      </c>
      <c r="E139" s="136">
        <v>12</v>
      </c>
      <c r="F139" s="137">
        <v>14000</v>
      </c>
      <c r="G139" s="153"/>
      <c r="H139" s="153"/>
      <c r="I139" s="153"/>
      <c r="J139" s="154"/>
      <c r="K139" s="156"/>
      <c r="L139" s="156"/>
      <c r="M139" s="156"/>
      <c r="N139" s="156"/>
      <c r="O139" s="185">
        <f t="shared" si="21"/>
        <v>17.308565999999999</v>
      </c>
      <c r="P139" s="147">
        <f t="shared" si="16"/>
        <v>14000</v>
      </c>
      <c r="Q139" s="148">
        <f t="shared" si="22"/>
        <v>14</v>
      </c>
      <c r="R139" s="148">
        <f t="shared" si="23"/>
        <v>17.308565999999999</v>
      </c>
      <c r="S139" s="135">
        <f>VLOOKUP(A139,[1]Index!$E:$M,7,)</f>
        <v>822.67973649023065</v>
      </c>
      <c r="T139" s="149">
        <f t="shared" si="17"/>
        <v>-13177.32026350977</v>
      </c>
      <c r="U139" s="150">
        <f t="shared" si="18"/>
        <v>-16.017557840585333</v>
      </c>
      <c r="V139" s="151">
        <f t="shared" si="19"/>
        <v>3.2052899999999998</v>
      </c>
      <c r="W139" s="80">
        <f t="shared" si="20"/>
        <v>4.3677795144901088</v>
      </c>
    </row>
    <row r="140" spans="1:23" ht="14.45" customHeight="1">
      <c r="A140" s="132" t="s">
        <v>214</v>
      </c>
      <c r="B140" s="133"/>
      <c r="C140" s="136">
        <v>95.2</v>
      </c>
      <c r="D140" s="136">
        <v>55</v>
      </c>
      <c r="E140" s="136">
        <v>3</v>
      </c>
      <c r="F140" s="137">
        <v>9900</v>
      </c>
      <c r="G140" s="138"/>
      <c r="H140" s="138"/>
      <c r="I140" s="138"/>
      <c r="J140" s="139"/>
      <c r="K140" s="140"/>
      <c r="L140" s="140"/>
      <c r="M140" s="140"/>
      <c r="N140" s="140"/>
      <c r="O140" s="185">
        <f t="shared" si="21"/>
        <v>2.9959554239999999</v>
      </c>
      <c r="P140" s="147">
        <f t="shared" si="16"/>
        <v>9900</v>
      </c>
      <c r="Q140" s="148">
        <f t="shared" si="22"/>
        <v>9.9</v>
      </c>
      <c r="R140" s="148">
        <f t="shared" si="23"/>
        <v>9.9</v>
      </c>
      <c r="S140" s="135">
        <f>VLOOKUP(A140,[1]Index!$E:$M,7,)</f>
        <v>650.64847673730753</v>
      </c>
      <c r="T140" s="149">
        <f t="shared" si="17"/>
        <v>-9249.3515232626924</v>
      </c>
      <c r="U140" s="150">
        <f t="shared" si="18"/>
        <v>-14.215589298915734</v>
      </c>
      <c r="V140" s="151">
        <f t="shared" si="19"/>
        <v>0.55480655999999995</v>
      </c>
      <c r="W140" s="80">
        <f t="shared" si="20"/>
        <v>17.844057215185057</v>
      </c>
    </row>
    <row r="141" spans="1:23" ht="14.45" customHeight="1">
      <c r="A141" s="132" t="s">
        <v>215</v>
      </c>
      <c r="B141" s="133"/>
      <c r="C141" s="136">
        <v>87.5</v>
      </c>
      <c r="D141" s="136">
        <v>59.5</v>
      </c>
      <c r="E141" s="136">
        <v>4</v>
      </c>
      <c r="F141" s="137">
        <v>6000.4</v>
      </c>
      <c r="G141" s="153"/>
      <c r="H141" s="153"/>
      <c r="I141" s="153"/>
      <c r="J141" s="154"/>
      <c r="K141" s="156"/>
      <c r="L141" s="156"/>
      <c r="M141" s="156"/>
      <c r="N141" s="156"/>
      <c r="O141" s="185">
        <f t="shared" si="21"/>
        <v>3.9719105999999997</v>
      </c>
      <c r="P141" s="147">
        <f t="shared" si="16"/>
        <v>6000.4</v>
      </c>
      <c r="Q141" s="148">
        <f t="shared" si="22"/>
        <v>6</v>
      </c>
      <c r="R141" s="148">
        <f t="shared" si="23"/>
        <v>6</v>
      </c>
      <c r="S141" s="135">
        <f>VLOOKUP(A141,[1]Index!$E:$M,7,)</f>
        <v>486.44103098574999</v>
      </c>
      <c r="T141" s="149">
        <f t="shared" si="17"/>
        <v>-5513.9589690142493</v>
      </c>
      <c r="U141" s="150">
        <f t="shared" si="18"/>
        <v>-11.335308121192963</v>
      </c>
      <c r="V141" s="151">
        <f t="shared" si="19"/>
        <v>0.73553899999999994</v>
      </c>
      <c r="W141" s="80">
        <f t="shared" si="20"/>
        <v>8.1572832983703112</v>
      </c>
    </row>
    <row r="142" spans="1:23" ht="14.45" customHeight="1">
      <c r="A142" s="132" t="s">
        <v>216</v>
      </c>
      <c r="B142" s="133"/>
      <c r="C142" s="136">
        <v>88</v>
      </c>
      <c r="D142" s="136">
        <v>59.5</v>
      </c>
      <c r="E142" s="136">
        <v>4</v>
      </c>
      <c r="F142" s="137">
        <v>7955</v>
      </c>
      <c r="G142" s="153"/>
      <c r="H142" s="153"/>
      <c r="I142" s="153"/>
      <c r="J142" s="154"/>
      <c r="K142" s="156"/>
      <c r="L142" s="156"/>
      <c r="M142" s="156"/>
      <c r="N142" s="156"/>
      <c r="O142" s="185">
        <f t="shared" si="21"/>
        <v>3.9946072320000008</v>
      </c>
      <c r="P142" s="147">
        <f t="shared" si="16"/>
        <v>7955</v>
      </c>
      <c r="Q142" s="148">
        <f t="shared" si="22"/>
        <v>7.9</v>
      </c>
      <c r="R142" s="148">
        <f t="shared" si="23"/>
        <v>7.9</v>
      </c>
      <c r="S142" s="135">
        <f>VLOOKUP(A142,[1]Index!$E:$M,7,)</f>
        <v>562.99349387974996</v>
      </c>
      <c r="T142" s="149">
        <f t="shared" si="17"/>
        <v>-7392.0065061202504</v>
      </c>
      <c r="U142" s="150">
        <f t="shared" si="18"/>
        <v>-13.129825808784767</v>
      </c>
      <c r="V142" s="151">
        <f t="shared" si="19"/>
        <v>0.73974208000000008</v>
      </c>
      <c r="W142" s="80">
        <f t="shared" si="20"/>
        <v>10.679397878784995</v>
      </c>
    </row>
    <row r="143" spans="1:23" ht="14.45" customHeight="1">
      <c r="A143" s="132" t="s">
        <v>217</v>
      </c>
      <c r="B143" s="133"/>
      <c r="C143" s="136">
        <v>87</v>
      </c>
      <c r="D143" s="136">
        <v>59</v>
      </c>
      <c r="E143" s="136">
        <v>4</v>
      </c>
      <c r="F143" s="137">
        <v>7600</v>
      </c>
      <c r="G143" s="153"/>
      <c r="H143" s="153"/>
      <c r="I143" s="153"/>
      <c r="J143" s="154"/>
      <c r="K143" s="156"/>
      <c r="L143" s="156"/>
      <c r="M143" s="156"/>
      <c r="N143" s="156"/>
      <c r="O143" s="185">
        <f t="shared" si="21"/>
        <v>3.9160272960000007</v>
      </c>
      <c r="P143" s="147">
        <f t="shared" si="16"/>
        <v>7600</v>
      </c>
      <c r="Q143" s="148">
        <f t="shared" si="22"/>
        <v>7.6</v>
      </c>
      <c r="R143" s="148">
        <f t="shared" si="23"/>
        <v>7.6</v>
      </c>
      <c r="S143" s="135" t="e">
        <f>VLOOKUP(A143,[1]Index!$E:$M,7,)</f>
        <v>#N/A</v>
      </c>
      <c r="T143" s="149" t="e">
        <f t="shared" si="17"/>
        <v>#N/A</v>
      </c>
      <c r="U143" s="150" t="e">
        <f t="shared" si="18"/>
        <v>#N/A</v>
      </c>
      <c r="V143" s="151">
        <f t="shared" si="19"/>
        <v>0.7251902400000001</v>
      </c>
      <c r="W143" s="80">
        <f t="shared" si="20"/>
        <v>10.480008666415586</v>
      </c>
    </row>
    <row r="144" spans="1:23" ht="14.45" customHeight="1">
      <c r="A144" s="132" t="s">
        <v>218</v>
      </c>
      <c r="B144" s="133"/>
      <c r="C144" s="136">
        <v>87</v>
      </c>
      <c r="D144" s="136">
        <v>59</v>
      </c>
      <c r="E144" s="136">
        <v>4</v>
      </c>
      <c r="F144" s="137">
        <v>7610</v>
      </c>
      <c r="G144" s="153"/>
      <c r="H144" s="153"/>
      <c r="I144" s="153"/>
      <c r="J144" s="154"/>
      <c r="K144" s="156"/>
      <c r="L144" s="156"/>
      <c r="M144" s="156"/>
      <c r="N144" s="156"/>
      <c r="O144" s="185">
        <f t="shared" si="21"/>
        <v>3.9160272960000007</v>
      </c>
      <c r="P144" s="147">
        <f t="shared" si="16"/>
        <v>7610</v>
      </c>
      <c r="Q144" s="148">
        <f t="shared" si="22"/>
        <v>7.6</v>
      </c>
      <c r="R144" s="148">
        <f t="shared" si="23"/>
        <v>7.6</v>
      </c>
      <c r="S144" s="135" t="e">
        <f>VLOOKUP(A144,[1]Index!$E:$M,7,)</f>
        <v>#N/A</v>
      </c>
      <c r="T144" s="149" t="e">
        <f t="shared" si="17"/>
        <v>#N/A</v>
      </c>
      <c r="U144" s="150" t="e">
        <f t="shared" si="18"/>
        <v>#N/A</v>
      </c>
      <c r="V144" s="151">
        <f t="shared" si="19"/>
        <v>0.7251902400000001</v>
      </c>
      <c r="W144" s="80">
        <f t="shared" si="20"/>
        <v>10.480008666415586</v>
      </c>
    </row>
    <row r="145" spans="1:23" ht="14.45" customHeight="1">
      <c r="A145" s="132" t="s">
        <v>219</v>
      </c>
      <c r="B145" s="133"/>
      <c r="C145" s="136">
        <v>86</v>
      </c>
      <c r="D145" s="136">
        <v>59</v>
      </c>
      <c r="E145" s="136">
        <v>4.5</v>
      </c>
      <c r="F145" s="137">
        <v>7355</v>
      </c>
      <c r="G145" s="153"/>
      <c r="H145" s="153"/>
      <c r="I145" s="153"/>
      <c r="J145" s="154"/>
      <c r="K145" s="156"/>
      <c r="L145" s="156"/>
      <c r="M145" s="156"/>
      <c r="N145" s="156"/>
      <c r="O145" s="185">
        <f t="shared" si="21"/>
        <v>4.354892424</v>
      </c>
      <c r="P145" s="147">
        <f t="shared" si="16"/>
        <v>7355</v>
      </c>
      <c r="Q145" s="148">
        <f t="shared" si="22"/>
        <v>7.3</v>
      </c>
      <c r="R145" s="148">
        <f t="shared" si="23"/>
        <v>7.3</v>
      </c>
      <c r="S145" s="135">
        <f>VLOOKUP(A145,[1]Index!$E:$M,7,)</f>
        <v>840.33681865999984</v>
      </c>
      <c r="T145" s="149">
        <f t="shared" si="17"/>
        <v>-6514.6631813399999</v>
      </c>
      <c r="U145" s="150">
        <f t="shared" si="18"/>
        <v>-7.7524428737137505</v>
      </c>
      <c r="V145" s="151">
        <f t="shared" si="19"/>
        <v>0.80646156000000002</v>
      </c>
      <c r="W145" s="80">
        <f t="shared" si="20"/>
        <v>9.0518883503883298</v>
      </c>
    </row>
    <row r="146" spans="1:23" ht="14.45" customHeight="1">
      <c r="A146" s="132" t="s">
        <v>220</v>
      </c>
      <c r="B146" s="133"/>
      <c r="C146" s="136">
        <v>87</v>
      </c>
      <c r="D146" s="136">
        <v>64</v>
      </c>
      <c r="E146" s="136">
        <v>8.5</v>
      </c>
      <c r="F146" s="137">
        <v>10950</v>
      </c>
      <c r="G146" s="153"/>
      <c r="H146" s="153"/>
      <c r="I146" s="153"/>
      <c r="J146" s="154"/>
      <c r="K146" s="156"/>
      <c r="L146" s="156"/>
      <c r="M146" s="156"/>
      <c r="N146" s="156"/>
      <c r="O146" s="185">
        <f t="shared" si="21"/>
        <v>9.0267747840000023</v>
      </c>
      <c r="P146" s="147">
        <f t="shared" si="16"/>
        <v>10950</v>
      </c>
      <c r="Q146" s="148">
        <f t="shared" si="22"/>
        <v>10.9</v>
      </c>
      <c r="R146" s="148">
        <f t="shared" si="23"/>
        <v>10.9</v>
      </c>
      <c r="S146" s="135">
        <f>VLOOKUP(A146,[1]Index!$E:$M,7,)</f>
        <v>1093.2734424</v>
      </c>
      <c r="T146" s="149">
        <f t="shared" si="17"/>
        <v>-9856.7265575999991</v>
      </c>
      <c r="U146" s="150">
        <f t="shared" si="18"/>
        <v>-9.0157925504548029</v>
      </c>
      <c r="V146" s="151">
        <f t="shared" si="19"/>
        <v>1.6716249600000002</v>
      </c>
      <c r="W146" s="80">
        <f t="shared" si="20"/>
        <v>6.5206013674263392</v>
      </c>
    </row>
    <row r="147" spans="1:23">
      <c r="A147" s="170" t="s">
        <v>222</v>
      </c>
      <c r="B147" s="133"/>
      <c r="C147" s="136">
        <v>109</v>
      </c>
      <c r="D147" s="136">
        <v>36</v>
      </c>
      <c r="E147" s="136">
        <v>10</v>
      </c>
      <c r="F147" s="137">
        <v>20110</v>
      </c>
      <c r="G147" s="138"/>
      <c r="H147" s="138"/>
      <c r="I147" s="138"/>
      <c r="J147" s="139"/>
      <c r="K147" s="140"/>
      <c r="L147" s="140"/>
      <c r="M147" s="140"/>
      <c r="N147" s="140"/>
      <c r="O147" s="185">
        <f t="shared" si="21"/>
        <v>7.4841667200000002</v>
      </c>
      <c r="P147" s="147">
        <f t="shared" si="16"/>
        <v>20110</v>
      </c>
      <c r="Q147" s="148">
        <f t="shared" si="22"/>
        <v>20.100000000000001</v>
      </c>
      <c r="R147" s="148">
        <f t="shared" si="23"/>
        <v>20.100000000000001</v>
      </c>
      <c r="S147" s="135">
        <f>VLOOKUP(A147,[1]Index!$E:$M,7,)</f>
        <v>1086.7273100059374</v>
      </c>
      <c r="T147" s="149">
        <f t="shared" si="17"/>
        <v>-19023.272689994061</v>
      </c>
      <c r="U147" s="150">
        <f t="shared" si="18"/>
        <v>-17.505102259636896</v>
      </c>
      <c r="V147" s="151">
        <f t="shared" si="19"/>
        <v>1.3859568</v>
      </c>
      <c r="W147" s="80">
        <f t="shared" si="20"/>
        <v>14.502616531770688</v>
      </c>
    </row>
    <row r="148" spans="1:23" ht="12.4" customHeight="1">
      <c r="A148" s="132" t="s">
        <v>223</v>
      </c>
      <c r="B148" s="133"/>
      <c r="C148" s="136">
        <v>111</v>
      </c>
      <c r="D148" s="136">
        <v>46</v>
      </c>
      <c r="E148" s="136">
        <v>9</v>
      </c>
      <c r="F148" s="137">
        <v>17000</v>
      </c>
      <c r="G148" s="153"/>
      <c r="H148" s="153"/>
      <c r="I148" s="153"/>
      <c r="J148" s="154"/>
      <c r="K148" s="156"/>
      <c r="L148" s="156"/>
      <c r="M148" s="156"/>
      <c r="N148" s="156"/>
      <c r="O148" s="185">
        <f t="shared" si="21"/>
        <v>8.7647145120000012</v>
      </c>
      <c r="P148" s="147">
        <f t="shared" si="16"/>
        <v>17000</v>
      </c>
      <c r="Q148" s="148">
        <f t="shared" si="22"/>
        <v>17</v>
      </c>
      <c r="R148" s="148">
        <f t="shared" si="23"/>
        <v>17</v>
      </c>
      <c r="S148" s="135">
        <f>VLOOKUP(A148,[1]Index!$E:$M,7,)</f>
        <v>910.80868669178381</v>
      </c>
      <c r="T148" s="149">
        <f t="shared" si="17"/>
        <v>-16089.191313308216</v>
      </c>
      <c r="U148" s="150">
        <f t="shared" si="18"/>
        <v>-17.664731955672238</v>
      </c>
      <c r="V148" s="151">
        <f t="shared" si="19"/>
        <v>1.62309528</v>
      </c>
      <c r="W148" s="80">
        <f t="shared" si="20"/>
        <v>10.47381519093568</v>
      </c>
    </row>
    <row r="149" spans="1:23">
      <c r="A149" s="132" t="s">
        <v>225</v>
      </c>
      <c r="B149" s="133"/>
      <c r="C149" s="136">
        <v>95</v>
      </c>
      <c r="D149" s="136">
        <v>51</v>
      </c>
      <c r="E149" s="136">
        <v>7</v>
      </c>
      <c r="F149" s="137">
        <v>16620</v>
      </c>
      <c r="G149" s="153"/>
      <c r="H149" s="153"/>
      <c r="I149" s="153"/>
      <c r="J149" s="154"/>
      <c r="K149" s="156"/>
      <c r="L149" s="156"/>
      <c r="M149" s="156"/>
      <c r="N149" s="156"/>
      <c r="O149" s="185">
        <f t="shared" si="21"/>
        <v>6.468540120000001</v>
      </c>
      <c r="P149" s="147">
        <f t="shared" si="16"/>
        <v>16620</v>
      </c>
      <c r="Q149" s="148">
        <f t="shared" si="22"/>
        <v>16.600000000000001</v>
      </c>
      <c r="R149" s="148">
        <f t="shared" si="23"/>
        <v>16.600000000000001</v>
      </c>
      <c r="S149" s="135">
        <f>VLOOKUP(A149,[1]Index!$E:$M,7,)</f>
        <v>924.61258879059017</v>
      </c>
      <c r="T149" s="149">
        <f t="shared" si="17"/>
        <v>-15695.387411209409</v>
      </c>
      <c r="U149" s="150">
        <f t="shared" si="18"/>
        <v>-16.975095949904009</v>
      </c>
      <c r="V149" s="151">
        <f t="shared" si="19"/>
        <v>1.1978778000000001</v>
      </c>
      <c r="W149" s="80">
        <f t="shared" si="20"/>
        <v>13.857840925009212</v>
      </c>
    </row>
    <row r="150" spans="1:23">
      <c r="A150" s="132" t="s">
        <v>226</v>
      </c>
      <c r="B150" s="133"/>
      <c r="C150" s="136">
        <v>95</v>
      </c>
      <c r="D150" s="136">
        <v>15.7</v>
      </c>
      <c r="E150" s="136">
        <v>6.5</v>
      </c>
      <c r="F150" s="137">
        <v>1460</v>
      </c>
      <c r="G150" s="153"/>
      <c r="H150" s="153"/>
      <c r="I150" s="153"/>
      <c r="J150" s="154"/>
      <c r="K150" s="156"/>
      <c r="L150" s="156"/>
      <c r="M150" s="156"/>
      <c r="N150" s="156"/>
      <c r="O150" s="185">
        <f t="shared" si="21"/>
        <v>1.8490602780000003</v>
      </c>
      <c r="P150" s="147">
        <f t="shared" si="16"/>
        <v>1460</v>
      </c>
      <c r="Q150" s="148">
        <f t="shared" si="22"/>
        <v>1.4</v>
      </c>
      <c r="R150" s="148">
        <f t="shared" si="23"/>
        <v>1.8490602780000003</v>
      </c>
      <c r="S150" s="135" t="e">
        <f>VLOOKUP(A150,[1]Index!$E:$M,7,)</f>
        <v>#N/A</v>
      </c>
      <c r="T150" s="149" t="e">
        <f t="shared" si="17"/>
        <v>#N/A</v>
      </c>
      <c r="U150" s="150" t="e">
        <f t="shared" si="18"/>
        <v>#N/A</v>
      </c>
      <c r="V150" s="151">
        <f t="shared" si="19"/>
        <v>0.34241857000000003</v>
      </c>
      <c r="W150" s="80">
        <f t="shared" si="20"/>
        <v>4.0885633042623821</v>
      </c>
    </row>
    <row r="151" spans="1:23">
      <c r="A151" s="132" t="s">
        <v>228</v>
      </c>
      <c r="B151" s="133"/>
      <c r="C151" s="136">
        <v>94</v>
      </c>
      <c r="D151" s="136">
        <v>25</v>
      </c>
      <c r="E151" s="136">
        <v>9.5</v>
      </c>
      <c r="F151" s="164">
        <v>9300</v>
      </c>
      <c r="G151" s="138"/>
      <c r="H151" s="138"/>
      <c r="I151" s="138"/>
      <c r="J151" s="139"/>
      <c r="K151" s="140"/>
      <c r="L151" s="140"/>
      <c r="M151" s="140"/>
      <c r="N151" s="140"/>
      <c r="O151" s="185">
        <f t="shared" si="21"/>
        <v>4.2580026000000011</v>
      </c>
      <c r="P151" s="158">
        <f t="shared" si="16"/>
        <v>9300</v>
      </c>
      <c r="Q151" s="148">
        <f t="shared" si="22"/>
        <v>9.3000000000000007</v>
      </c>
      <c r="R151" s="148">
        <f t="shared" si="23"/>
        <v>9.3000000000000007</v>
      </c>
      <c r="S151" s="135">
        <f>VLOOKUP(A151,[1]Index!$E:$M,7,)</f>
        <v>509.1735792222222</v>
      </c>
      <c r="T151" s="149">
        <f t="shared" si="17"/>
        <v>-8790.8264207777775</v>
      </c>
      <c r="U151" s="150">
        <f t="shared" si="18"/>
        <v>-17.264891148134645</v>
      </c>
      <c r="V151" s="151">
        <f t="shared" si="19"/>
        <v>0.78851900000000008</v>
      </c>
      <c r="W151" s="80">
        <f t="shared" si="20"/>
        <v>11.794262408388384</v>
      </c>
    </row>
    <row r="152" spans="1:23">
      <c r="A152" s="132" t="s">
        <v>230</v>
      </c>
      <c r="B152" s="133"/>
      <c r="C152" s="136">
        <v>57</v>
      </c>
      <c r="D152" s="136">
        <v>28.5</v>
      </c>
      <c r="E152" s="136">
        <v>8.5</v>
      </c>
      <c r="F152" s="137">
        <v>5600</v>
      </c>
      <c r="G152" s="153"/>
      <c r="H152" s="153"/>
      <c r="I152" s="153"/>
      <c r="J152" s="154"/>
      <c r="K152" s="156"/>
      <c r="L152" s="156"/>
      <c r="M152" s="156"/>
      <c r="N152" s="156"/>
      <c r="O152" s="185">
        <f t="shared" si="21"/>
        <v>2.6336199059999998</v>
      </c>
      <c r="P152" s="147">
        <f t="shared" si="16"/>
        <v>5600</v>
      </c>
      <c r="Q152" s="148">
        <f t="shared" si="22"/>
        <v>5.6</v>
      </c>
      <c r="R152" s="148">
        <f t="shared" si="23"/>
        <v>5.6</v>
      </c>
      <c r="S152" s="135">
        <f>VLOOKUP(A152,[1]Index!$E:$M,7,)</f>
        <v>327.03176571182837</v>
      </c>
      <c r="T152" s="149">
        <f t="shared" si="17"/>
        <v>-5272.9682342881715</v>
      </c>
      <c r="U152" s="150">
        <f t="shared" si="18"/>
        <v>-16.123718816154909</v>
      </c>
      <c r="V152" s="151">
        <f t="shared" si="19"/>
        <v>0.48770738999999996</v>
      </c>
      <c r="W152" s="80">
        <f t="shared" si="20"/>
        <v>11.482294742345406</v>
      </c>
    </row>
    <row r="153" spans="1:23">
      <c r="A153" s="171" t="s">
        <v>231</v>
      </c>
      <c r="B153" s="133"/>
      <c r="C153" s="160">
        <v>35</v>
      </c>
      <c r="D153" s="160">
        <v>25</v>
      </c>
      <c r="E153" s="160">
        <v>5</v>
      </c>
      <c r="F153" s="161">
        <v>1750</v>
      </c>
      <c r="G153" s="153"/>
      <c r="H153" s="153"/>
      <c r="I153" s="153"/>
      <c r="J153" s="154"/>
      <c r="K153" s="156"/>
      <c r="L153" s="156"/>
      <c r="M153" s="156"/>
      <c r="N153" s="156"/>
      <c r="O153" s="185">
        <f t="shared" si="21"/>
        <v>0.83443500000000015</v>
      </c>
      <c r="P153" s="147">
        <f t="shared" si="16"/>
        <v>1750</v>
      </c>
      <c r="Q153" s="148">
        <f t="shared" si="22"/>
        <v>1.7</v>
      </c>
      <c r="R153" s="148">
        <f t="shared" si="23"/>
        <v>1.7</v>
      </c>
      <c r="S153" s="135">
        <f>VLOOKUP(A153,[1]Index!$E:$M,7,)</f>
        <v>69.636874000000006</v>
      </c>
      <c r="T153" s="149">
        <f t="shared" si="17"/>
        <v>-1680.363126</v>
      </c>
      <c r="U153" s="150">
        <f t="shared" si="18"/>
        <v>-24.130364122892704</v>
      </c>
      <c r="V153" s="151">
        <f t="shared" si="19"/>
        <v>0.15452500000000002</v>
      </c>
      <c r="W153" s="80">
        <f t="shared" si="20"/>
        <v>11.001456075068758</v>
      </c>
    </row>
    <row r="154" spans="1:23">
      <c r="A154" s="171" t="s">
        <v>232</v>
      </c>
      <c r="B154" s="133"/>
      <c r="C154" s="160">
        <v>35.5</v>
      </c>
      <c r="D154" s="160">
        <v>25</v>
      </c>
      <c r="E154" s="160">
        <v>5</v>
      </c>
      <c r="F154" s="161">
        <v>1550</v>
      </c>
      <c r="G154" s="153"/>
      <c r="H154" s="153"/>
      <c r="I154" s="153"/>
      <c r="J154" s="154"/>
      <c r="K154" s="156"/>
      <c r="L154" s="156"/>
      <c r="M154" s="156"/>
      <c r="N154" s="156"/>
      <c r="O154" s="185">
        <f t="shared" si="21"/>
        <v>0.84635550000000004</v>
      </c>
      <c r="P154" s="147">
        <f t="shared" si="16"/>
        <v>1550</v>
      </c>
      <c r="Q154" s="148">
        <f t="shared" si="22"/>
        <v>1.5</v>
      </c>
      <c r="R154" s="148">
        <f t="shared" si="23"/>
        <v>1.5</v>
      </c>
      <c r="S154" s="135">
        <f>VLOOKUP(A154,[1]Index!$E:$M,7,)</f>
        <v>140.6707973</v>
      </c>
      <c r="T154" s="149">
        <f t="shared" si="17"/>
        <v>-1409.3292027</v>
      </c>
      <c r="U154" s="150">
        <f t="shared" si="18"/>
        <v>-10.018633787184768</v>
      </c>
      <c r="V154" s="151">
        <f t="shared" si="19"/>
        <v>0.1567325</v>
      </c>
      <c r="W154" s="80">
        <f t="shared" si="20"/>
        <v>9.5704464613274212</v>
      </c>
    </row>
    <row r="155" spans="1:23" ht="12.95" customHeight="1">
      <c r="A155" s="132" t="s">
        <v>233</v>
      </c>
      <c r="B155" s="133"/>
      <c r="C155" s="136">
        <v>47</v>
      </c>
      <c r="D155" s="136">
        <v>35</v>
      </c>
      <c r="E155" s="136">
        <v>8</v>
      </c>
      <c r="F155" s="137">
        <v>6195</v>
      </c>
      <c r="G155" s="153"/>
      <c r="H155" s="153"/>
      <c r="I155" s="153"/>
      <c r="J155" s="154"/>
      <c r="K155" s="156"/>
      <c r="L155" s="156"/>
      <c r="M155" s="156"/>
      <c r="N155" s="156"/>
      <c r="O155" s="185">
        <f t="shared" si="21"/>
        <v>2.5099804799999998</v>
      </c>
      <c r="P155" s="147">
        <f t="shared" si="16"/>
        <v>6195</v>
      </c>
      <c r="Q155" s="148">
        <f t="shared" si="22"/>
        <v>6.1</v>
      </c>
      <c r="R155" s="148">
        <f t="shared" si="23"/>
        <v>6.1</v>
      </c>
      <c r="S155" s="135">
        <f>VLOOKUP(A155,[1]Index!$E:$M,7,)</f>
        <v>362.20442087076918</v>
      </c>
      <c r="T155" s="149">
        <f t="shared" si="17"/>
        <v>-5832.7955791292306</v>
      </c>
      <c r="U155" s="150">
        <f t="shared" si="18"/>
        <v>-16.103601289864741</v>
      </c>
      <c r="V155" s="151">
        <f t="shared" si="19"/>
        <v>0.46481119999999998</v>
      </c>
      <c r="W155" s="80">
        <f t="shared" si="20"/>
        <v>13.123608036983619</v>
      </c>
    </row>
    <row r="156" spans="1:23">
      <c r="A156" s="132" t="s">
        <v>234</v>
      </c>
      <c r="B156" s="133"/>
      <c r="C156" s="136">
        <v>36</v>
      </c>
      <c r="D156" s="136">
        <v>30</v>
      </c>
      <c r="E156" s="136">
        <v>8</v>
      </c>
      <c r="F156" s="137">
        <v>3600</v>
      </c>
      <c r="G156" s="153"/>
      <c r="H156" s="153"/>
      <c r="I156" s="153"/>
      <c r="J156" s="154"/>
      <c r="K156" s="156"/>
      <c r="L156" s="156"/>
      <c r="M156" s="156"/>
      <c r="N156" s="156"/>
      <c r="O156" s="185">
        <f t="shared" si="21"/>
        <v>1.6478899200000001</v>
      </c>
      <c r="P156" s="147">
        <f t="shared" si="16"/>
        <v>3600</v>
      </c>
      <c r="Q156" s="148">
        <f t="shared" si="22"/>
        <v>3.6</v>
      </c>
      <c r="R156" s="148">
        <f t="shared" si="23"/>
        <v>3.6</v>
      </c>
      <c r="S156" s="135">
        <f>VLOOKUP(A156,[1]Index!$E:$M,7,)</f>
        <v>235.35279852207694</v>
      </c>
      <c r="T156" s="149">
        <f t="shared" si="17"/>
        <v>-3364.6472014779229</v>
      </c>
      <c r="U156" s="150">
        <f t="shared" si="18"/>
        <v>-14.296185227482251</v>
      </c>
      <c r="V156" s="151">
        <f t="shared" si="19"/>
        <v>0.30516480000000001</v>
      </c>
      <c r="W156" s="80">
        <f t="shared" si="20"/>
        <v>11.796904492261231</v>
      </c>
    </row>
    <row r="157" spans="1:23" ht="14.45" customHeight="1">
      <c r="A157" s="132" t="s">
        <v>235</v>
      </c>
      <c r="B157" s="133"/>
      <c r="C157" s="136">
        <v>125.2</v>
      </c>
      <c r="D157" s="136">
        <v>40.200000000000003</v>
      </c>
      <c r="E157" s="136">
        <v>8.5</v>
      </c>
      <c r="F157" s="137">
        <v>20500</v>
      </c>
      <c r="G157" s="138"/>
      <c r="H157" s="138"/>
      <c r="I157" s="138"/>
      <c r="J157" s="139"/>
      <c r="K157" s="140"/>
      <c r="L157" s="140"/>
      <c r="M157" s="140"/>
      <c r="N157" s="140"/>
      <c r="O157" s="185">
        <f t="shared" si="21"/>
        <v>8.1595040515200044</v>
      </c>
      <c r="P157" s="147">
        <f t="shared" si="16"/>
        <v>20500</v>
      </c>
      <c r="Q157" s="148">
        <f t="shared" si="22"/>
        <v>20.5</v>
      </c>
      <c r="R157" s="148">
        <f t="shared" si="23"/>
        <v>20.5</v>
      </c>
      <c r="S157" s="135">
        <f>VLOOKUP(A157,[1]Index!$E:$M,7,)</f>
        <v>1193.1481113482016</v>
      </c>
      <c r="T157" s="149">
        <f t="shared" si="17"/>
        <v>-19306.8518886518</v>
      </c>
      <c r="U157" s="150">
        <f t="shared" si="18"/>
        <v>-16.181437748609397</v>
      </c>
      <c r="V157" s="151">
        <f t="shared" si="19"/>
        <v>1.5110192688000006</v>
      </c>
      <c r="W157" s="80">
        <f t="shared" si="20"/>
        <v>13.56700104577779</v>
      </c>
    </row>
    <row r="158" spans="1:23">
      <c r="A158" s="132" t="s">
        <v>240</v>
      </c>
      <c r="B158" s="133"/>
      <c r="C158" s="136">
        <v>109</v>
      </c>
      <c r="D158" s="136">
        <v>28.5</v>
      </c>
      <c r="E158" s="136">
        <v>6</v>
      </c>
      <c r="F158" s="169">
        <v>8290</v>
      </c>
      <c r="G158" s="153"/>
      <c r="H158" s="153"/>
      <c r="I158" s="153"/>
      <c r="J158" s="154"/>
      <c r="K158" s="156"/>
      <c r="L158" s="156"/>
      <c r="M158" s="156"/>
      <c r="N158" s="156"/>
      <c r="O158" s="185">
        <f t="shared" si="21"/>
        <v>3.5549791920000002</v>
      </c>
      <c r="P158" s="147">
        <f t="shared" si="16"/>
        <v>8290</v>
      </c>
      <c r="Q158" s="148">
        <f t="shared" si="22"/>
        <v>8.1999999999999993</v>
      </c>
      <c r="R158" s="148">
        <f t="shared" si="23"/>
        <v>8.1999999999999993</v>
      </c>
      <c r="S158" s="135">
        <f>VLOOKUP(A158,[1]Index!$E:$M,7,)</f>
        <v>485.12734149079984</v>
      </c>
      <c r="T158" s="149">
        <f t="shared" si="17"/>
        <v>-7804.8726585091999</v>
      </c>
      <c r="U158" s="150">
        <f t="shared" si="18"/>
        <v>-16.088296805792826</v>
      </c>
      <c r="V158" s="151">
        <f t="shared" si="19"/>
        <v>0.65832948000000002</v>
      </c>
      <c r="W158" s="80">
        <f t="shared" si="20"/>
        <v>12.455769108197918</v>
      </c>
    </row>
    <row r="159" spans="1:23" ht="14.45" customHeight="1">
      <c r="A159" s="132" t="s">
        <v>241</v>
      </c>
      <c r="B159" s="133"/>
      <c r="C159" s="136">
        <v>71</v>
      </c>
      <c r="D159" s="136">
        <v>28.5</v>
      </c>
      <c r="E159" s="136">
        <v>5.5</v>
      </c>
      <c r="F159" s="169">
        <v>5070</v>
      </c>
      <c r="G159" s="153"/>
      <c r="H159" s="153"/>
      <c r="I159" s="153"/>
      <c r="J159" s="154"/>
      <c r="K159" s="156"/>
      <c r="L159" s="156"/>
      <c r="M159" s="156"/>
      <c r="N159" s="156"/>
      <c r="O159" s="185">
        <f t="shared" si="21"/>
        <v>2.1226595940000004</v>
      </c>
      <c r="P159" s="147">
        <f t="shared" si="16"/>
        <v>5070</v>
      </c>
      <c r="Q159" s="148">
        <f t="shared" si="22"/>
        <v>5</v>
      </c>
      <c r="R159" s="148">
        <f t="shared" si="23"/>
        <v>5</v>
      </c>
      <c r="S159" s="135">
        <f>VLOOKUP(A159,[1]Index!$E:$M,7,)</f>
        <v>298.68602100775001</v>
      </c>
      <c r="T159" s="149">
        <f t="shared" si="17"/>
        <v>-4771.3139789922498</v>
      </c>
      <c r="U159" s="150">
        <f t="shared" si="18"/>
        <v>-15.974346448803001</v>
      </c>
      <c r="V159" s="151">
        <f t="shared" si="19"/>
        <v>0.39308511000000002</v>
      </c>
      <c r="W159" s="80">
        <f t="shared" si="20"/>
        <v>12.719891628558507</v>
      </c>
    </row>
    <row r="160" spans="1:23">
      <c r="A160" s="132" t="s">
        <v>242</v>
      </c>
      <c r="B160" s="133"/>
      <c r="C160" s="136">
        <v>128</v>
      </c>
      <c r="D160" s="136">
        <v>9</v>
      </c>
      <c r="E160" s="136">
        <v>4</v>
      </c>
      <c r="F160" s="137">
        <v>24000</v>
      </c>
      <c r="G160" s="153"/>
      <c r="H160" s="153"/>
      <c r="I160" s="153"/>
      <c r="J160" s="154"/>
      <c r="K160" s="156"/>
      <c r="L160" s="156"/>
      <c r="M160" s="156"/>
      <c r="N160" s="156"/>
      <c r="O160" s="185">
        <f t="shared" si="21"/>
        <v>0.87887462400000005</v>
      </c>
      <c r="P160" s="147">
        <f t="shared" si="16"/>
        <v>24000</v>
      </c>
      <c r="Q160" s="148">
        <f t="shared" si="22"/>
        <v>24</v>
      </c>
      <c r="R160" s="148">
        <f t="shared" si="23"/>
        <v>24</v>
      </c>
      <c r="S160" s="135">
        <f>VLOOKUP(A160,[1]Index!$E:$M,7,)</f>
        <v>1553.0146614926998</v>
      </c>
      <c r="T160" s="149">
        <f t="shared" si="17"/>
        <v>-22446.9853385073</v>
      </c>
      <c r="U160" s="150">
        <f t="shared" si="18"/>
        <v>-14.453814181594458</v>
      </c>
      <c r="V160" s="151">
        <f t="shared" si="19"/>
        <v>0.16275455999999999</v>
      </c>
      <c r="W160" s="80">
        <f t="shared" si="20"/>
        <v>147.46130615326538</v>
      </c>
    </row>
    <row r="161" spans="1:23" ht="14.45" customHeight="1">
      <c r="A161" s="132" t="s">
        <v>243</v>
      </c>
      <c r="B161" s="133"/>
      <c r="C161" s="136"/>
      <c r="D161" s="136"/>
      <c r="E161" s="136"/>
      <c r="F161" s="164">
        <v>47300</v>
      </c>
      <c r="G161" s="138"/>
      <c r="H161" s="138"/>
      <c r="I161" s="138"/>
      <c r="J161" s="139"/>
      <c r="K161" s="140"/>
      <c r="L161" s="140"/>
      <c r="M161" s="140"/>
      <c r="N161" s="140"/>
      <c r="O161" s="185">
        <f t="shared" si="21"/>
        <v>0</v>
      </c>
      <c r="P161" s="158">
        <f t="shared" si="16"/>
        <v>47300</v>
      </c>
      <c r="Q161" s="148">
        <f t="shared" si="22"/>
        <v>47.3</v>
      </c>
      <c r="R161" s="148">
        <f t="shared" si="23"/>
        <v>47.3</v>
      </c>
      <c r="S161" s="135">
        <f>VLOOKUP(A161,[1]Index!$E:$M,7,)</f>
        <v>2736.8367963714895</v>
      </c>
      <c r="T161" s="149">
        <f t="shared" si="17"/>
        <v>-44563.163203628508</v>
      </c>
      <c r="U161" s="150">
        <f t="shared" si="18"/>
        <v>-16.282725832505083</v>
      </c>
      <c r="V161" s="151">
        <f t="shared" si="19"/>
        <v>0</v>
      </c>
      <c r="W161" s="80" t="e">
        <f t="shared" si="20"/>
        <v>#DIV/0!</v>
      </c>
    </row>
    <row r="162" spans="1:23">
      <c r="A162" s="132" t="s">
        <v>246</v>
      </c>
      <c r="B162" s="133"/>
      <c r="C162" s="136">
        <v>100</v>
      </c>
      <c r="D162" s="136">
        <v>36</v>
      </c>
      <c r="E162" s="136">
        <v>9</v>
      </c>
      <c r="F162" s="137">
        <v>12000</v>
      </c>
      <c r="G162" s="153"/>
      <c r="H162" s="153"/>
      <c r="I162" s="153"/>
      <c r="J162" s="154"/>
      <c r="K162" s="156"/>
      <c r="L162" s="156"/>
      <c r="M162" s="156"/>
      <c r="N162" s="156"/>
      <c r="O162" s="185">
        <f t="shared" si="21"/>
        <v>6.1795872000000003</v>
      </c>
      <c r="P162" s="147">
        <f t="shared" si="16"/>
        <v>12000</v>
      </c>
      <c r="Q162" s="148">
        <f t="shared" si="22"/>
        <v>12</v>
      </c>
      <c r="R162" s="148">
        <f t="shared" si="23"/>
        <v>12</v>
      </c>
      <c r="S162" s="135">
        <f>VLOOKUP(A162,[1]Index!$E:$M,7,)</f>
        <v>764.2061987395</v>
      </c>
      <c r="T162" s="149">
        <f t="shared" si="17"/>
        <v>-11235.793801260501</v>
      </c>
      <c r="U162" s="150">
        <f t="shared" si="18"/>
        <v>-14.702568259447631</v>
      </c>
      <c r="V162" s="151">
        <f t="shared" si="19"/>
        <v>1.1443680000000001</v>
      </c>
      <c r="W162" s="80">
        <f t="shared" si="20"/>
        <v>10.486137326454427</v>
      </c>
    </row>
    <row r="163" spans="1:23" ht="14.45" customHeight="1">
      <c r="A163" s="132" t="s">
        <v>247</v>
      </c>
      <c r="B163" s="133"/>
      <c r="C163" s="136">
        <v>95.7</v>
      </c>
      <c r="D163" s="136">
        <v>25.2</v>
      </c>
      <c r="E163" s="136">
        <v>4.4000000000000004</v>
      </c>
      <c r="F163" s="137">
        <v>6330</v>
      </c>
      <c r="G163" s="138"/>
      <c r="H163" s="138"/>
      <c r="I163" s="138"/>
      <c r="J163" s="139"/>
      <c r="K163" s="140"/>
      <c r="L163" s="140"/>
      <c r="M163" s="140"/>
      <c r="N163" s="140"/>
      <c r="O163" s="185">
        <f t="shared" si="21"/>
        <v>2.0238560052480001</v>
      </c>
      <c r="P163" s="147">
        <f t="shared" si="16"/>
        <v>6330</v>
      </c>
      <c r="Q163" s="148">
        <f t="shared" si="22"/>
        <v>6.3</v>
      </c>
      <c r="R163" s="148">
        <f t="shared" si="23"/>
        <v>6.3</v>
      </c>
      <c r="S163" s="135">
        <f>VLOOKUP(A163,[1]Index!$E:$M,7,)</f>
        <v>407.41685275999998</v>
      </c>
      <c r="T163" s="149">
        <f t="shared" si="17"/>
        <v>-5922.5831472400005</v>
      </c>
      <c r="U163" s="150">
        <f t="shared" si="18"/>
        <v>-14.536912518758422</v>
      </c>
      <c r="V163" s="151">
        <f t="shared" si="19"/>
        <v>0.37478814911999997</v>
      </c>
      <c r="W163" s="80">
        <f t="shared" si="20"/>
        <v>16.809496284213779</v>
      </c>
    </row>
    <row r="164" spans="1:23" ht="14.45" customHeight="1">
      <c r="A164" s="132" t="s">
        <v>248</v>
      </c>
      <c r="B164" s="133"/>
      <c r="C164" s="136">
        <v>100</v>
      </c>
      <c r="D164" s="136">
        <v>36</v>
      </c>
      <c r="E164" s="136">
        <v>8</v>
      </c>
      <c r="F164" s="137">
        <v>11985</v>
      </c>
      <c r="G164" s="153"/>
      <c r="H164" s="153"/>
      <c r="I164" s="153"/>
      <c r="J164" s="154"/>
      <c r="K164" s="156"/>
      <c r="L164" s="156"/>
      <c r="M164" s="156"/>
      <c r="N164" s="156"/>
      <c r="O164" s="185">
        <f t="shared" si="21"/>
        <v>5.4929664000000002</v>
      </c>
      <c r="P164" s="147">
        <f t="shared" si="16"/>
        <v>11985</v>
      </c>
      <c r="Q164" s="148">
        <f t="shared" si="22"/>
        <v>11.9</v>
      </c>
      <c r="R164" s="148">
        <f t="shared" si="23"/>
        <v>11.9</v>
      </c>
      <c r="S164" s="135">
        <f>VLOOKUP(A164,[1]Index!$E:$M,7,)</f>
        <v>626.30742730450004</v>
      </c>
      <c r="T164" s="149">
        <f t="shared" si="17"/>
        <v>-11358.6925726955</v>
      </c>
      <c r="U164" s="150">
        <f t="shared" si="18"/>
        <v>-18.135969776984773</v>
      </c>
      <c r="V164" s="151">
        <f t="shared" si="19"/>
        <v>1.0172159999999999</v>
      </c>
      <c r="W164" s="80">
        <f t="shared" si="20"/>
        <v>11.698596954825723</v>
      </c>
    </row>
    <row r="165" spans="1:23" ht="14.45" customHeight="1">
      <c r="A165" s="132" t="s">
        <v>249</v>
      </c>
      <c r="B165" s="133"/>
      <c r="C165" s="164">
        <v>206</v>
      </c>
      <c r="D165" s="164">
        <v>48</v>
      </c>
      <c r="E165" s="164">
        <v>8</v>
      </c>
      <c r="F165" s="164">
        <v>44000</v>
      </c>
      <c r="G165" s="172">
        <v>148</v>
      </c>
      <c r="H165" s="172">
        <v>34</v>
      </c>
      <c r="I165" s="172">
        <v>9</v>
      </c>
      <c r="J165" s="173">
        <v>19000</v>
      </c>
      <c r="K165" s="174">
        <v>157</v>
      </c>
      <c r="L165" s="174">
        <v>35</v>
      </c>
      <c r="M165" s="174">
        <v>7</v>
      </c>
      <c r="N165" s="174">
        <v>15000</v>
      </c>
      <c r="O165" s="185">
        <f t="shared" si="21"/>
        <v>31.061389896000005</v>
      </c>
      <c r="P165" s="158">
        <f t="shared" si="16"/>
        <v>78000</v>
      </c>
      <c r="Q165" s="148">
        <f t="shared" si="22"/>
        <v>78</v>
      </c>
      <c r="R165" s="148">
        <f t="shared" si="23"/>
        <v>78</v>
      </c>
      <c r="S165" s="135">
        <f>VLOOKUP(A165,[1]Index!$E:$M,7,)</f>
        <v>4458.6482253300474</v>
      </c>
      <c r="T165" s="149">
        <f t="shared" si="17"/>
        <v>-73541.351774669951</v>
      </c>
      <c r="U165" s="150">
        <f t="shared" si="18"/>
        <v>-16.494091495461301</v>
      </c>
      <c r="V165" s="151">
        <f t="shared" si="19"/>
        <v>5.7521092400000002</v>
      </c>
      <c r="W165" s="80">
        <f t="shared" si="20"/>
        <v>13.560243163949368</v>
      </c>
    </row>
    <row r="166" spans="1:23" ht="14.45" customHeight="1">
      <c r="A166" s="132" t="s">
        <v>250</v>
      </c>
      <c r="B166" s="133"/>
      <c r="C166" s="136">
        <v>91</v>
      </c>
      <c r="D166" s="136">
        <v>54</v>
      </c>
      <c r="E166" s="136">
        <v>9</v>
      </c>
      <c r="F166" s="137">
        <v>19255</v>
      </c>
      <c r="G166" s="153"/>
      <c r="H166" s="153"/>
      <c r="I166" s="153"/>
      <c r="J166" s="154"/>
      <c r="K166" s="156"/>
      <c r="L166" s="156"/>
      <c r="M166" s="156"/>
      <c r="N166" s="156"/>
      <c r="O166" s="185">
        <f t="shared" si="21"/>
        <v>8.435136528000001</v>
      </c>
      <c r="P166" s="147">
        <f t="shared" si="16"/>
        <v>19255</v>
      </c>
      <c r="Q166" s="148">
        <f t="shared" si="22"/>
        <v>19.2</v>
      </c>
      <c r="R166" s="148">
        <f t="shared" si="23"/>
        <v>19.2</v>
      </c>
      <c r="S166" s="135">
        <f>VLOOKUP(A166,[1]Index!$E:$M,7,)</f>
        <v>1133.4612055437572</v>
      </c>
      <c r="T166" s="149">
        <f t="shared" si="17"/>
        <v>-18121.538794456243</v>
      </c>
      <c r="U166" s="150">
        <f t="shared" si="18"/>
        <v>-15.987789176924469</v>
      </c>
      <c r="V166" s="151">
        <f t="shared" si="19"/>
        <v>1.5620623200000001</v>
      </c>
      <c r="W166" s="80">
        <f t="shared" si="20"/>
        <v>12.291443020019839</v>
      </c>
    </row>
    <row r="167" spans="1:23" ht="15" customHeight="1">
      <c r="A167" s="132" t="s">
        <v>251</v>
      </c>
      <c r="B167" s="133"/>
      <c r="C167" s="136">
        <v>133</v>
      </c>
      <c r="D167" s="136">
        <v>46</v>
      </c>
      <c r="E167" s="136">
        <v>9</v>
      </c>
      <c r="F167" s="137">
        <v>26675</v>
      </c>
      <c r="G167" s="153"/>
      <c r="H167" s="153"/>
      <c r="I167" s="153"/>
      <c r="J167" s="154"/>
      <c r="K167" s="156"/>
      <c r="L167" s="156"/>
      <c r="M167" s="156"/>
      <c r="N167" s="156"/>
      <c r="O167" s="185">
        <f t="shared" si="21"/>
        <v>10.501865136000001</v>
      </c>
      <c r="P167" s="147">
        <f t="shared" si="16"/>
        <v>26675</v>
      </c>
      <c r="Q167" s="148">
        <f t="shared" si="22"/>
        <v>26.6</v>
      </c>
      <c r="R167" s="148">
        <f t="shared" si="23"/>
        <v>26.6</v>
      </c>
      <c r="S167" s="135">
        <f>VLOOKUP(A167,[1]Index!$E:$M,7,)</f>
        <v>1551.5551911394844</v>
      </c>
      <c r="T167" s="149">
        <f t="shared" si="17"/>
        <v>-25123.444808860517</v>
      </c>
      <c r="U167" s="150">
        <f t="shared" si="18"/>
        <v>-16.192427412401294</v>
      </c>
      <c r="V167" s="151">
        <f t="shared" si="19"/>
        <v>1.9447898400000001</v>
      </c>
      <c r="W167" s="80">
        <f t="shared" si="20"/>
        <v>13.677570425810123</v>
      </c>
    </row>
    <row r="168" spans="1:23" ht="14.45" customHeight="1">
      <c r="A168" s="132" t="s">
        <v>252</v>
      </c>
      <c r="B168" s="133"/>
      <c r="C168" s="136">
        <v>131</v>
      </c>
      <c r="D168" s="136">
        <v>35.5</v>
      </c>
      <c r="E168" s="136">
        <v>7</v>
      </c>
      <c r="F168" s="137">
        <v>12320</v>
      </c>
      <c r="G168" s="153"/>
      <c r="H168" s="153"/>
      <c r="I168" s="153"/>
      <c r="J168" s="154"/>
      <c r="K168" s="156"/>
      <c r="L168" s="156"/>
      <c r="M168" s="156"/>
      <c r="N168" s="156"/>
      <c r="O168" s="185">
        <f t="shared" si="21"/>
        <v>6.2088639480000003</v>
      </c>
      <c r="P168" s="147">
        <f t="shared" si="16"/>
        <v>12320</v>
      </c>
      <c r="Q168" s="148">
        <f t="shared" si="22"/>
        <v>12.3</v>
      </c>
      <c r="R168" s="148">
        <f t="shared" si="23"/>
        <v>12.3</v>
      </c>
      <c r="S168" s="135">
        <f>VLOOKUP(A168,[1]Index!$E:$M,7,)</f>
        <v>792.82280839999999</v>
      </c>
      <c r="T168" s="149">
        <f t="shared" si="17"/>
        <v>-11527.1771916</v>
      </c>
      <c r="U168" s="150">
        <f t="shared" si="18"/>
        <v>-14.539411668621213</v>
      </c>
      <c r="V168" s="151">
        <f t="shared" si="19"/>
        <v>1.14978962</v>
      </c>
      <c r="W168" s="80">
        <f t="shared" si="20"/>
        <v>10.697609185235123</v>
      </c>
    </row>
    <row r="169" spans="1:23" ht="14.45" customHeight="1">
      <c r="A169" s="132" t="s">
        <v>253</v>
      </c>
      <c r="B169" s="133"/>
      <c r="C169" s="136">
        <v>87</v>
      </c>
      <c r="D169" s="136">
        <v>28.5</v>
      </c>
      <c r="E169" s="136">
        <v>5.5</v>
      </c>
      <c r="F169" s="137">
        <v>6210</v>
      </c>
      <c r="G169" s="153"/>
      <c r="H169" s="153"/>
      <c r="I169" s="153"/>
      <c r="J169" s="154"/>
      <c r="K169" s="156"/>
      <c r="L169" s="156"/>
      <c r="M169" s="156"/>
      <c r="N169" s="156"/>
      <c r="O169" s="185">
        <f t="shared" si="21"/>
        <v>2.6010054180000002</v>
      </c>
      <c r="P169" s="147">
        <f t="shared" si="16"/>
        <v>6210</v>
      </c>
      <c r="Q169" s="148">
        <f t="shared" si="22"/>
        <v>6.2</v>
      </c>
      <c r="R169" s="148">
        <f t="shared" si="23"/>
        <v>6.2</v>
      </c>
      <c r="S169" s="135">
        <f>VLOOKUP(A169,[1]Index!$E:$M,7,)</f>
        <v>357.96947056453854</v>
      </c>
      <c r="T169" s="149">
        <f t="shared" si="17"/>
        <v>-5852.0305294354612</v>
      </c>
      <c r="U169" s="150">
        <f t="shared" si="18"/>
        <v>-16.347848100583747</v>
      </c>
      <c r="V169" s="151">
        <f t="shared" si="19"/>
        <v>0.48166766999999999</v>
      </c>
      <c r="W169" s="80">
        <f t="shared" si="20"/>
        <v>12.871945505497598</v>
      </c>
    </row>
    <row r="170" spans="1:23">
      <c r="A170" s="132" t="s">
        <v>254</v>
      </c>
      <c r="B170" s="133"/>
      <c r="C170" s="136">
        <v>97</v>
      </c>
      <c r="D170" s="136">
        <v>29.5</v>
      </c>
      <c r="E170" s="136">
        <v>4.5</v>
      </c>
      <c r="F170" s="137">
        <v>5000</v>
      </c>
      <c r="G170" s="153"/>
      <c r="H170" s="153"/>
      <c r="I170" s="153"/>
      <c r="J170" s="154"/>
      <c r="K170" s="156"/>
      <c r="L170" s="156"/>
      <c r="M170" s="156"/>
      <c r="N170" s="156"/>
      <c r="O170" s="185">
        <f t="shared" si="21"/>
        <v>2.4559567740000001</v>
      </c>
      <c r="P170" s="147">
        <f t="shared" si="16"/>
        <v>5000</v>
      </c>
      <c r="Q170" s="148">
        <f t="shared" si="22"/>
        <v>5</v>
      </c>
      <c r="R170" s="148">
        <f t="shared" si="23"/>
        <v>5</v>
      </c>
      <c r="S170" s="135">
        <f>VLOOKUP(A170,[1]Index!$E:$M,7,)</f>
        <v>280.31322865599998</v>
      </c>
      <c r="T170" s="149">
        <f t="shared" si="17"/>
        <v>-4719.6867713439997</v>
      </c>
      <c r="U170" s="150">
        <f t="shared" si="18"/>
        <v>-16.837188861807135</v>
      </c>
      <c r="V170" s="151">
        <f t="shared" si="19"/>
        <v>0.45480681000000001</v>
      </c>
      <c r="W170" s="80">
        <f t="shared" si="20"/>
        <v>10.993678832557498</v>
      </c>
    </row>
    <row r="171" spans="1:23" ht="14.45" customHeight="1">
      <c r="A171" s="132" t="s">
        <v>255</v>
      </c>
      <c r="B171" s="133"/>
      <c r="C171" s="136">
        <v>67</v>
      </c>
      <c r="D171" s="136">
        <v>29.5</v>
      </c>
      <c r="E171" s="136">
        <v>4.5</v>
      </c>
      <c r="F171" s="137">
        <v>3400</v>
      </c>
      <c r="G171" s="153"/>
      <c r="H171" s="153"/>
      <c r="I171" s="153"/>
      <c r="J171" s="154"/>
      <c r="K171" s="156"/>
      <c r="L171" s="156"/>
      <c r="M171" s="156"/>
      <c r="N171" s="156"/>
      <c r="O171" s="185">
        <f t="shared" si="21"/>
        <v>1.6963825140000002</v>
      </c>
      <c r="P171" s="147">
        <f t="shared" si="16"/>
        <v>3400</v>
      </c>
      <c r="Q171" s="148">
        <f t="shared" si="22"/>
        <v>3.4</v>
      </c>
      <c r="R171" s="148">
        <f t="shared" si="23"/>
        <v>3.4</v>
      </c>
      <c r="S171" s="135">
        <f>VLOOKUP(A171,[1]Index!$E:$M,7,)</f>
        <v>200.43062461100004</v>
      </c>
      <c r="T171" s="149">
        <f t="shared" si="17"/>
        <v>-3199.569375389</v>
      </c>
      <c r="U171" s="150">
        <f t="shared" si="18"/>
        <v>-15.963475549701007</v>
      </c>
      <c r="V171" s="151">
        <f t="shared" si="19"/>
        <v>0.31414491</v>
      </c>
      <c r="W171" s="80">
        <f t="shared" si="20"/>
        <v>10.823030683514814</v>
      </c>
    </row>
    <row r="172" spans="1:23" ht="14.45" customHeight="1">
      <c r="A172" s="132" t="s">
        <v>256</v>
      </c>
      <c r="B172" s="133"/>
      <c r="C172" s="136">
        <v>124</v>
      </c>
      <c r="D172" s="136">
        <v>41.5</v>
      </c>
      <c r="E172" s="136">
        <v>7</v>
      </c>
      <c r="F172" s="137">
        <v>16420</v>
      </c>
      <c r="G172" s="153"/>
      <c r="H172" s="153"/>
      <c r="I172" s="153"/>
      <c r="J172" s="154"/>
      <c r="K172" s="156"/>
      <c r="L172" s="156"/>
      <c r="M172" s="156"/>
      <c r="N172" s="156"/>
      <c r="O172" s="185">
        <f t="shared" si="21"/>
        <v>6.8704040160000002</v>
      </c>
      <c r="P172" s="147">
        <f t="shared" si="16"/>
        <v>16420</v>
      </c>
      <c r="Q172" s="148">
        <f t="shared" si="22"/>
        <v>16.399999999999999</v>
      </c>
      <c r="R172" s="148">
        <f t="shared" si="23"/>
        <v>16.399999999999999</v>
      </c>
      <c r="S172" s="135">
        <f>VLOOKUP(A172,[1]Index!$E:$M,7,)</f>
        <v>877.15711771525002</v>
      </c>
      <c r="T172" s="149">
        <f t="shared" si="17"/>
        <v>-15542.842882284749</v>
      </c>
      <c r="U172" s="150">
        <f t="shared" si="18"/>
        <v>-17.71956536449197</v>
      </c>
      <c r="V172" s="151">
        <f t="shared" si="19"/>
        <v>1.27229704</v>
      </c>
      <c r="W172" s="80">
        <f t="shared" si="20"/>
        <v>12.890071645533341</v>
      </c>
    </row>
    <row r="173" spans="1:23" ht="14.45" customHeight="1">
      <c r="A173" s="162" t="s">
        <v>257</v>
      </c>
      <c r="B173" s="133"/>
      <c r="C173" s="136"/>
      <c r="D173" s="136"/>
      <c r="E173" s="136"/>
      <c r="F173" s="137">
        <v>5500</v>
      </c>
      <c r="G173" s="138"/>
      <c r="H173" s="138"/>
      <c r="I173" s="138"/>
      <c r="J173" s="139"/>
      <c r="K173" s="140"/>
      <c r="L173" s="140"/>
      <c r="M173" s="140"/>
      <c r="N173" s="140"/>
      <c r="O173" s="185">
        <f t="shared" si="21"/>
        <v>0</v>
      </c>
      <c r="P173" s="158">
        <f t="shared" si="16"/>
        <v>5500</v>
      </c>
      <c r="Q173" s="148">
        <f t="shared" si="22"/>
        <v>5.5</v>
      </c>
      <c r="R173" s="148">
        <f t="shared" si="23"/>
        <v>5.5</v>
      </c>
      <c r="S173" s="135" t="e">
        <f>VLOOKUP(A173,[1]Index!$E:$M,7,)</f>
        <v>#VALUE!</v>
      </c>
      <c r="T173" s="149" t="e">
        <f t="shared" si="17"/>
        <v>#VALUE!</v>
      </c>
      <c r="U173" s="150" t="e">
        <f t="shared" si="18"/>
        <v>#VALUE!</v>
      </c>
      <c r="V173" s="151">
        <f t="shared" si="19"/>
        <v>0</v>
      </c>
      <c r="W173" s="80" t="e">
        <f t="shared" si="20"/>
        <v>#DIV/0!</v>
      </c>
    </row>
    <row r="174" spans="1:23">
      <c r="A174" s="162" t="s">
        <v>258</v>
      </c>
      <c r="B174" s="133"/>
      <c r="C174" s="136"/>
      <c r="D174" s="136"/>
      <c r="E174" s="136"/>
      <c r="F174" s="137">
        <v>4250</v>
      </c>
      <c r="G174" s="138"/>
      <c r="H174" s="138"/>
      <c r="I174" s="138"/>
      <c r="J174" s="139"/>
      <c r="K174" s="140"/>
      <c r="L174" s="140"/>
      <c r="M174" s="140"/>
      <c r="N174" s="140"/>
      <c r="O174" s="185">
        <f t="shared" si="21"/>
        <v>0</v>
      </c>
      <c r="P174" s="158">
        <f t="shared" si="16"/>
        <v>4250</v>
      </c>
      <c r="Q174" s="148">
        <f t="shared" si="22"/>
        <v>4.2</v>
      </c>
      <c r="R174" s="148">
        <f t="shared" si="23"/>
        <v>4.2</v>
      </c>
      <c r="S174" s="135">
        <f>VLOOKUP(A174,[1]Index!$E:$M,7,)</f>
        <v>211.33607000000001</v>
      </c>
      <c r="T174" s="149">
        <f t="shared" si="17"/>
        <v>-4038.6639300000002</v>
      </c>
      <c r="U174" s="150">
        <f t="shared" si="18"/>
        <v>-19.110149677714741</v>
      </c>
      <c r="V174" s="151">
        <f t="shared" si="19"/>
        <v>0</v>
      </c>
      <c r="W174" s="80" t="e">
        <f t="shared" si="20"/>
        <v>#DIV/0!</v>
      </c>
    </row>
    <row r="175" spans="1:23" ht="14.45" customHeight="1">
      <c r="A175" s="132" t="s">
        <v>259</v>
      </c>
      <c r="B175" s="133"/>
      <c r="C175" s="136">
        <v>65.7</v>
      </c>
      <c r="D175" s="136">
        <v>29.2</v>
      </c>
      <c r="E175" s="136">
        <v>5</v>
      </c>
      <c r="F175" s="137">
        <v>4300</v>
      </c>
      <c r="G175" s="153"/>
      <c r="H175" s="153"/>
      <c r="I175" s="153"/>
      <c r="J175" s="154"/>
      <c r="K175" s="156"/>
      <c r="L175" s="156"/>
      <c r="M175" s="156"/>
      <c r="N175" s="156"/>
      <c r="O175" s="185">
        <f t="shared" si="21"/>
        <v>1.8295011216000001</v>
      </c>
      <c r="P175" s="147">
        <f t="shared" si="16"/>
        <v>4300</v>
      </c>
      <c r="Q175" s="148">
        <f t="shared" si="22"/>
        <v>4.3</v>
      </c>
      <c r="R175" s="148">
        <f t="shared" si="23"/>
        <v>4.3</v>
      </c>
      <c r="S175" s="135">
        <f>VLOOKUP(A175,[1]Index!$E:$M,7,)</f>
        <v>430</v>
      </c>
      <c r="T175" s="149">
        <f t="shared" si="17"/>
        <v>-3870</v>
      </c>
      <c r="U175" s="150">
        <f t="shared" si="18"/>
        <v>-9</v>
      </c>
      <c r="V175" s="151">
        <f t="shared" si="19"/>
        <v>0.338796504</v>
      </c>
      <c r="W175" s="80">
        <f t="shared" si="20"/>
        <v>12.691984566641219</v>
      </c>
    </row>
    <row r="176" spans="1:23">
      <c r="A176" s="132" t="s">
        <v>261</v>
      </c>
      <c r="B176" s="133"/>
      <c r="C176" s="136">
        <v>126</v>
      </c>
      <c r="D176" s="136">
        <v>65</v>
      </c>
      <c r="E176" s="136">
        <v>7</v>
      </c>
      <c r="F176" s="137">
        <v>25000</v>
      </c>
      <c r="G176" s="153"/>
      <c r="H176" s="153"/>
      <c r="I176" s="153"/>
      <c r="J176" s="154"/>
      <c r="K176" s="156"/>
      <c r="L176" s="156"/>
      <c r="M176" s="156"/>
      <c r="N176" s="156"/>
      <c r="O176" s="185">
        <f t="shared" si="21"/>
        <v>10.93443624</v>
      </c>
      <c r="P176" s="147">
        <f t="shared" si="16"/>
        <v>25000</v>
      </c>
      <c r="Q176" s="148">
        <f t="shared" si="22"/>
        <v>25</v>
      </c>
      <c r="R176" s="148">
        <f t="shared" si="23"/>
        <v>25</v>
      </c>
      <c r="S176" s="135">
        <f>VLOOKUP(A176,[1]Index!$E:$M,7,)</f>
        <v>1279.09874969717</v>
      </c>
      <c r="T176" s="149">
        <f t="shared" si="17"/>
        <v>-23720.901250302832</v>
      </c>
      <c r="U176" s="150">
        <f t="shared" si="18"/>
        <v>-18.545011677885558</v>
      </c>
      <c r="V176" s="151">
        <f t="shared" si="19"/>
        <v>2.0248955999999998</v>
      </c>
      <c r="W176" s="80">
        <f t="shared" si="20"/>
        <v>12.346315533502073</v>
      </c>
    </row>
    <row r="177" spans="1:23" ht="14.45" customHeight="1">
      <c r="A177" s="132" t="s">
        <v>262</v>
      </c>
      <c r="B177" s="133"/>
      <c r="C177" s="136">
        <v>126</v>
      </c>
      <c r="D177" s="136">
        <v>65</v>
      </c>
      <c r="E177" s="136">
        <v>7</v>
      </c>
      <c r="F177" s="137">
        <v>30000</v>
      </c>
      <c r="G177" s="153"/>
      <c r="H177" s="153"/>
      <c r="I177" s="153"/>
      <c r="J177" s="154"/>
      <c r="K177" s="156"/>
      <c r="L177" s="156"/>
      <c r="M177" s="156"/>
      <c r="N177" s="156"/>
      <c r="O177" s="185">
        <f t="shared" si="21"/>
        <v>10.93443624</v>
      </c>
      <c r="P177" s="147">
        <f t="shared" si="16"/>
        <v>30000</v>
      </c>
      <c r="Q177" s="148">
        <f t="shared" si="22"/>
        <v>30</v>
      </c>
      <c r="R177" s="148">
        <f t="shared" si="23"/>
        <v>30</v>
      </c>
      <c r="S177" s="135">
        <f>VLOOKUP(A177,[1]Index!$E:$M,7,)</f>
        <v>1661.8753628115214</v>
      </c>
      <c r="T177" s="149">
        <f t="shared" si="17"/>
        <v>-28338.124637188477</v>
      </c>
      <c r="U177" s="150">
        <f t="shared" si="18"/>
        <v>-17.051895269237704</v>
      </c>
      <c r="V177" s="151">
        <f t="shared" si="19"/>
        <v>2.0248955999999998</v>
      </c>
      <c r="W177" s="80">
        <f t="shared" si="20"/>
        <v>14.815578640202489</v>
      </c>
    </row>
    <row r="178" spans="1:23">
      <c r="A178" s="132" t="s">
        <v>263</v>
      </c>
      <c r="B178" s="133"/>
      <c r="C178" s="136">
        <v>115</v>
      </c>
      <c r="D178" s="136">
        <v>39</v>
      </c>
      <c r="E178" s="136">
        <v>7</v>
      </c>
      <c r="F178" s="137">
        <v>11810</v>
      </c>
      <c r="G178" s="153"/>
      <c r="H178" s="153"/>
      <c r="I178" s="153"/>
      <c r="J178" s="154"/>
      <c r="K178" s="156"/>
      <c r="L178" s="156"/>
      <c r="M178" s="156"/>
      <c r="N178" s="156"/>
      <c r="O178" s="185">
        <f t="shared" si="21"/>
        <v>5.9879055599999997</v>
      </c>
      <c r="P178" s="147">
        <f t="shared" si="16"/>
        <v>11810</v>
      </c>
      <c r="Q178" s="148">
        <f t="shared" si="22"/>
        <v>11.8</v>
      </c>
      <c r="R178" s="148">
        <f t="shared" si="23"/>
        <v>11.8</v>
      </c>
      <c r="S178" s="135">
        <f>VLOOKUP(A178,[1]Index!$E:$M,7,)</f>
        <v>639.07406250998065</v>
      </c>
      <c r="T178" s="149">
        <f t="shared" si="17"/>
        <v>-11170.925937490019</v>
      </c>
      <c r="U178" s="150">
        <f t="shared" si="18"/>
        <v>-17.479861244275671</v>
      </c>
      <c r="V178" s="151">
        <f t="shared" si="19"/>
        <v>1.1088714</v>
      </c>
      <c r="W178" s="80">
        <f t="shared" si="20"/>
        <v>10.6414503972237</v>
      </c>
    </row>
    <row r="179" spans="1:23" ht="14.45" customHeight="1">
      <c r="A179" s="132" t="s">
        <v>264</v>
      </c>
      <c r="B179" s="133"/>
      <c r="C179" s="136">
        <v>163.19999999999999</v>
      </c>
      <c r="D179" s="136">
        <v>35.700000000000003</v>
      </c>
      <c r="E179" s="136">
        <v>8</v>
      </c>
      <c r="F179" s="137">
        <v>21570</v>
      </c>
      <c r="G179" s="138"/>
      <c r="H179" s="138"/>
      <c r="I179" s="138"/>
      <c r="J179" s="139"/>
      <c r="K179" s="140"/>
      <c r="L179" s="140"/>
      <c r="M179" s="140"/>
      <c r="N179" s="140"/>
      <c r="O179" s="185">
        <f t="shared" si="21"/>
        <v>8.8898168217600002</v>
      </c>
      <c r="P179" s="147">
        <f t="shared" si="16"/>
        <v>21570</v>
      </c>
      <c r="Q179" s="148">
        <f t="shared" si="22"/>
        <v>21.5</v>
      </c>
      <c r="R179" s="148">
        <f t="shared" si="23"/>
        <v>21.5</v>
      </c>
      <c r="S179" s="135">
        <f>VLOOKUP(A179,[1]Index!$E:$M,7,)</f>
        <v>1084.5885856</v>
      </c>
      <c r="T179" s="149">
        <f t="shared" si="17"/>
        <v>-20485.411414400001</v>
      </c>
      <c r="U179" s="150">
        <f t="shared" si="18"/>
        <v>-18.887725434679332</v>
      </c>
      <c r="V179" s="151">
        <f t="shared" si="19"/>
        <v>1.6462623744</v>
      </c>
      <c r="W179" s="80">
        <f t="shared" si="20"/>
        <v>13.059886646462374</v>
      </c>
    </row>
    <row r="180" spans="1:23" ht="12.95" customHeight="1">
      <c r="A180" s="132" t="s">
        <v>265</v>
      </c>
      <c r="B180" s="133"/>
      <c r="C180" s="136">
        <v>134.69999999999999</v>
      </c>
      <c r="D180" s="136">
        <v>35.700000000000003</v>
      </c>
      <c r="E180" s="136">
        <v>8</v>
      </c>
      <c r="F180" s="137">
        <v>20000</v>
      </c>
      <c r="G180" s="138"/>
      <c r="H180" s="138"/>
      <c r="I180" s="138"/>
      <c r="J180" s="139"/>
      <c r="K180" s="140"/>
      <c r="L180" s="140"/>
      <c r="M180" s="140"/>
      <c r="N180" s="140"/>
      <c r="O180" s="185">
        <f t="shared" si="21"/>
        <v>7.3373671929600013</v>
      </c>
      <c r="P180" s="147">
        <f t="shared" si="16"/>
        <v>20000</v>
      </c>
      <c r="Q180" s="148">
        <f t="shared" si="22"/>
        <v>20</v>
      </c>
      <c r="R180" s="148">
        <f t="shared" si="23"/>
        <v>20</v>
      </c>
      <c r="S180" s="135">
        <f>VLOOKUP(A180,[1]Index!$E:$M,7,)</f>
        <v>903.13854742544777</v>
      </c>
      <c r="T180" s="149">
        <f t="shared" si="17"/>
        <v>-19096.861452574551</v>
      </c>
      <c r="U180" s="150">
        <f t="shared" si="18"/>
        <v>-21.144996531278007</v>
      </c>
      <c r="V180" s="151">
        <f t="shared" si="19"/>
        <v>1.3587717024000001</v>
      </c>
      <c r="W180" s="80">
        <f t="shared" si="20"/>
        <v>14.719176124049371</v>
      </c>
    </row>
    <row r="181" spans="1:23" ht="12.95" customHeight="1">
      <c r="A181" s="132" t="s">
        <v>266</v>
      </c>
      <c r="B181" s="133"/>
      <c r="C181" s="136">
        <v>164.5</v>
      </c>
      <c r="D181" s="136">
        <v>36</v>
      </c>
      <c r="E181" s="136">
        <v>7</v>
      </c>
      <c r="F181" s="137">
        <v>16800</v>
      </c>
      <c r="G181" s="153"/>
      <c r="H181" s="153"/>
      <c r="I181" s="153"/>
      <c r="J181" s="154"/>
      <c r="K181" s="156"/>
      <c r="L181" s="156"/>
      <c r="M181" s="156"/>
      <c r="N181" s="156"/>
      <c r="O181" s="185">
        <f t="shared" si="21"/>
        <v>7.9064385120000003</v>
      </c>
      <c r="P181" s="147">
        <f t="shared" si="16"/>
        <v>16800</v>
      </c>
      <c r="Q181" s="148">
        <f t="shared" si="22"/>
        <v>16.8</v>
      </c>
      <c r="R181" s="148">
        <f t="shared" si="23"/>
        <v>16.8</v>
      </c>
      <c r="S181" s="135">
        <f>VLOOKUP(A181,[1]Index!$E:$M,7,)</f>
        <v>832.23420698595385</v>
      </c>
      <c r="T181" s="149">
        <f t="shared" si="17"/>
        <v>-15967.765793014047</v>
      </c>
      <c r="U181" s="150">
        <f t="shared" si="18"/>
        <v>-19.186625181922551</v>
      </c>
      <c r="V181" s="151">
        <f t="shared" si="19"/>
        <v>1.4641552799999999</v>
      </c>
      <c r="W181" s="80">
        <f t="shared" si="20"/>
        <v>11.474192819220651</v>
      </c>
    </row>
    <row r="182" spans="1:23" ht="12.95" customHeight="1">
      <c r="A182" s="132" t="s">
        <v>367</v>
      </c>
      <c r="B182" s="133"/>
      <c r="C182" s="136">
        <v>134.69999999999999</v>
      </c>
      <c r="D182" s="136">
        <v>35.700000000000003</v>
      </c>
      <c r="E182" s="136">
        <v>6.5</v>
      </c>
      <c r="F182" s="137">
        <v>15400</v>
      </c>
      <c r="G182" s="138"/>
      <c r="H182" s="138"/>
      <c r="I182" s="138"/>
      <c r="J182" s="139"/>
      <c r="K182" s="140"/>
      <c r="L182" s="140"/>
      <c r="M182" s="140"/>
      <c r="N182" s="140"/>
      <c r="O182" s="185">
        <f t="shared" si="21"/>
        <v>5.96161084428</v>
      </c>
      <c r="P182" s="147">
        <f t="shared" si="16"/>
        <v>15400</v>
      </c>
      <c r="Q182" s="148">
        <f t="shared" si="22"/>
        <v>15.4</v>
      </c>
      <c r="R182" s="148">
        <f t="shared" si="23"/>
        <v>15.4</v>
      </c>
      <c r="S182" s="135">
        <f>VLOOKUP(A182,[1]Index!$E:$M,7,)</f>
        <v>817.46304276522324</v>
      </c>
      <c r="T182" s="149">
        <f t="shared" si="17"/>
        <v>-14582.536957234777</v>
      </c>
      <c r="U182" s="150">
        <f t="shared" si="18"/>
        <v>-17.838772145474113</v>
      </c>
      <c r="V182" s="151">
        <f t="shared" si="19"/>
        <v>1.1040020081999999</v>
      </c>
      <c r="W182" s="80">
        <f t="shared" si="20"/>
        <v>13.949249988329868</v>
      </c>
    </row>
    <row r="183" spans="1:23">
      <c r="A183" s="132" t="s">
        <v>267</v>
      </c>
      <c r="B183" s="133"/>
      <c r="C183" s="136">
        <v>163</v>
      </c>
      <c r="D183" s="136">
        <v>37</v>
      </c>
      <c r="E183" s="136">
        <v>8</v>
      </c>
      <c r="F183" s="137">
        <v>21260</v>
      </c>
      <c r="G183" s="138"/>
      <c r="H183" s="138"/>
      <c r="I183" s="138"/>
      <c r="J183" s="139"/>
      <c r="K183" s="140"/>
      <c r="L183" s="140"/>
      <c r="M183" s="140"/>
      <c r="N183" s="140"/>
      <c r="O183" s="185">
        <f t="shared" si="21"/>
        <v>9.2022445440000009</v>
      </c>
      <c r="P183" s="158">
        <f t="shared" si="16"/>
        <v>21260</v>
      </c>
      <c r="Q183" s="148">
        <f t="shared" si="22"/>
        <v>21.2</v>
      </c>
      <c r="R183" s="148">
        <f t="shared" si="23"/>
        <v>21.2</v>
      </c>
      <c r="S183" s="135">
        <f>VLOOKUP(A183,[1]Index!$E:$M,7,)</f>
        <v>988.47881782477282</v>
      </c>
      <c r="T183" s="149">
        <f t="shared" si="17"/>
        <v>-20271.521182175227</v>
      </c>
      <c r="U183" s="150">
        <f t="shared" si="18"/>
        <v>-20.507795226997722</v>
      </c>
      <c r="V183" s="151">
        <f t="shared" si="19"/>
        <v>1.70411936</v>
      </c>
      <c r="W183" s="80">
        <f t="shared" si="20"/>
        <v>12.440443138912523</v>
      </c>
    </row>
    <row r="184" spans="1:23" ht="14.45" customHeight="1">
      <c r="A184" s="157" t="s">
        <v>268</v>
      </c>
      <c r="B184" s="133"/>
      <c r="C184" s="136">
        <v>136</v>
      </c>
      <c r="D184" s="136">
        <v>36</v>
      </c>
      <c r="E184" s="136">
        <v>8</v>
      </c>
      <c r="F184" s="137">
        <v>17260</v>
      </c>
      <c r="G184" s="138"/>
      <c r="H184" s="138"/>
      <c r="I184" s="138"/>
      <c r="J184" s="139"/>
      <c r="K184" s="140"/>
      <c r="L184" s="140"/>
      <c r="M184" s="140"/>
      <c r="N184" s="140"/>
      <c r="O184" s="185">
        <f t="shared" si="21"/>
        <v>7.4704343040000012</v>
      </c>
      <c r="P184" s="158">
        <f t="shared" si="16"/>
        <v>17260</v>
      </c>
      <c r="Q184" s="148">
        <f t="shared" si="22"/>
        <v>17.2</v>
      </c>
      <c r="R184" s="148">
        <f t="shared" si="23"/>
        <v>17.2</v>
      </c>
      <c r="S184" s="135">
        <f>VLOOKUP(A184,[1]Index!$E:$M,7,)</f>
        <v>974.94546008820168</v>
      </c>
      <c r="T184" s="149">
        <f t="shared" si="17"/>
        <v>-16285.054539911798</v>
      </c>
      <c r="U184" s="150">
        <f t="shared" si="18"/>
        <v>-16.70355441056007</v>
      </c>
      <c r="V184" s="151">
        <f t="shared" si="19"/>
        <v>1.38341376</v>
      </c>
      <c r="W184" s="80">
        <f t="shared" si="20"/>
        <v>12.433012087432179</v>
      </c>
    </row>
    <row r="185" spans="1:23" ht="14.45" customHeight="1">
      <c r="A185" s="132" t="s">
        <v>269</v>
      </c>
      <c r="B185" s="133"/>
      <c r="C185" s="136">
        <v>163.19999999999999</v>
      </c>
      <c r="D185" s="136">
        <v>35.700000000000003</v>
      </c>
      <c r="E185" s="136">
        <v>5</v>
      </c>
      <c r="F185" s="137">
        <v>13800</v>
      </c>
      <c r="G185" s="138"/>
      <c r="H185" s="138"/>
      <c r="I185" s="138"/>
      <c r="J185" s="139"/>
      <c r="K185" s="140"/>
      <c r="L185" s="140"/>
      <c r="M185" s="140"/>
      <c r="N185" s="140"/>
      <c r="O185" s="185">
        <f t="shared" si="21"/>
        <v>5.5561355136000001</v>
      </c>
      <c r="P185" s="147">
        <f t="shared" si="16"/>
        <v>13800</v>
      </c>
      <c r="Q185" s="148">
        <f t="shared" si="22"/>
        <v>13.8</v>
      </c>
      <c r="R185" s="148">
        <f t="shared" si="23"/>
        <v>13.8</v>
      </c>
      <c r="S185" s="135">
        <f>VLOOKUP(A185,[1]Index!$E:$M,7,)</f>
        <v>628.3329137517693</v>
      </c>
      <c r="T185" s="149">
        <f t="shared" si="17"/>
        <v>-13171.667086248231</v>
      </c>
      <c r="U185" s="150">
        <f t="shared" si="18"/>
        <v>-20.962879387616898</v>
      </c>
      <c r="V185" s="151">
        <f t="shared" si="19"/>
        <v>1.0289139839999999</v>
      </c>
      <c r="W185" s="80">
        <f t="shared" si="20"/>
        <v>13.412199867622755</v>
      </c>
    </row>
    <row r="186" spans="1:23">
      <c r="A186" s="132" t="s">
        <v>270</v>
      </c>
      <c r="B186" s="133"/>
      <c r="C186" s="136">
        <v>134.69999999999999</v>
      </c>
      <c r="D186" s="136">
        <v>35.700000000000003</v>
      </c>
      <c r="E186" s="136">
        <v>5</v>
      </c>
      <c r="F186" s="137">
        <v>11500</v>
      </c>
      <c r="G186" s="138"/>
      <c r="H186" s="138"/>
      <c r="I186" s="138"/>
      <c r="J186" s="139"/>
      <c r="K186" s="140"/>
      <c r="L186" s="140"/>
      <c r="M186" s="140"/>
      <c r="N186" s="140"/>
      <c r="O186" s="185">
        <f t="shared" si="21"/>
        <v>4.5858544956000005</v>
      </c>
      <c r="P186" s="147">
        <f t="shared" si="16"/>
        <v>11500</v>
      </c>
      <c r="Q186" s="148">
        <f t="shared" si="22"/>
        <v>11.5</v>
      </c>
      <c r="R186" s="148">
        <f t="shared" si="23"/>
        <v>11.5</v>
      </c>
      <c r="S186" s="135">
        <f>VLOOKUP(A186,[1]Index!$E:$M,7,)</f>
        <v>496.67960002984603</v>
      </c>
      <c r="T186" s="149">
        <f t="shared" si="17"/>
        <v>-11003.320399970155</v>
      </c>
      <c r="U186" s="150">
        <f t="shared" si="18"/>
        <v>-22.15375948460326</v>
      </c>
      <c r="V186" s="151">
        <f t="shared" si="19"/>
        <v>0.8492323140000001</v>
      </c>
      <c r="W186" s="80">
        <f t="shared" si="20"/>
        <v>13.541642034125422</v>
      </c>
    </row>
    <row r="187" spans="1:23" ht="14.45" customHeight="1">
      <c r="A187" s="132" t="s">
        <v>271</v>
      </c>
      <c r="B187" s="133"/>
      <c r="C187" s="136">
        <v>136.5</v>
      </c>
      <c r="D187" s="136">
        <v>36</v>
      </c>
      <c r="E187" s="136">
        <v>7</v>
      </c>
      <c r="F187" s="137">
        <v>13700</v>
      </c>
      <c r="G187" s="153"/>
      <c r="H187" s="153"/>
      <c r="I187" s="153"/>
      <c r="J187" s="154"/>
      <c r="K187" s="156"/>
      <c r="L187" s="156"/>
      <c r="M187" s="156"/>
      <c r="N187" s="156"/>
      <c r="O187" s="185">
        <f t="shared" si="21"/>
        <v>6.5606617439999999</v>
      </c>
      <c r="P187" s="147">
        <f t="shared" si="16"/>
        <v>13700</v>
      </c>
      <c r="Q187" s="148">
        <f t="shared" si="22"/>
        <v>13.7</v>
      </c>
      <c r="R187" s="148">
        <f t="shared" si="23"/>
        <v>13.7</v>
      </c>
      <c r="S187" s="135">
        <f>VLOOKUP(A187,[1]Index!$E:$M,7,)</f>
        <v>647.48517946969218</v>
      </c>
      <c r="T187" s="149">
        <f t="shared" si="17"/>
        <v>-13052.514820530308</v>
      </c>
      <c r="U187" s="150">
        <f t="shared" si="18"/>
        <v>-20.158785458565507</v>
      </c>
      <c r="V187" s="151">
        <f t="shared" si="19"/>
        <v>1.21493736</v>
      </c>
      <c r="W187" s="80">
        <f t="shared" si="20"/>
        <v>11.27630152059856</v>
      </c>
    </row>
    <row r="188" spans="1:23" ht="14.45" customHeight="1">
      <c r="A188" s="132" t="s">
        <v>272</v>
      </c>
      <c r="B188" s="133"/>
      <c r="C188" s="136">
        <v>125.2</v>
      </c>
      <c r="D188" s="136">
        <v>28.2</v>
      </c>
      <c r="E188" s="136">
        <v>4.8</v>
      </c>
      <c r="F188" s="137">
        <v>8200</v>
      </c>
      <c r="G188" s="138"/>
      <c r="H188" s="138"/>
      <c r="I188" s="138"/>
      <c r="J188" s="139"/>
      <c r="K188" s="140"/>
      <c r="L188" s="140"/>
      <c r="M188" s="140"/>
      <c r="N188" s="140"/>
      <c r="O188" s="185">
        <f t="shared" si="21"/>
        <v>3.2322811484160003</v>
      </c>
      <c r="P188" s="147">
        <f t="shared" si="16"/>
        <v>8200</v>
      </c>
      <c r="Q188" s="148">
        <f t="shared" si="22"/>
        <v>8.1999999999999993</v>
      </c>
      <c r="R188" s="148">
        <f t="shared" si="23"/>
        <v>8.1999999999999993</v>
      </c>
      <c r="S188" s="135">
        <f>VLOOKUP(A188,[1]Index!$E:$M,7,)</f>
        <v>515.67391910118465</v>
      </c>
      <c r="T188" s="149">
        <f t="shared" si="17"/>
        <v>-7684.3260808988152</v>
      </c>
      <c r="U188" s="150">
        <f t="shared" si="18"/>
        <v>-14.901521671471249</v>
      </c>
      <c r="V188" s="151">
        <f t="shared" si="19"/>
        <v>0.59857058303999999</v>
      </c>
      <c r="W188" s="80">
        <f t="shared" si="20"/>
        <v>13.699303360940521</v>
      </c>
    </row>
    <row r="189" spans="1:23" ht="14.45" customHeight="1">
      <c r="A189" s="132" t="s">
        <v>274</v>
      </c>
      <c r="B189" s="133"/>
      <c r="C189" s="136">
        <v>131</v>
      </c>
      <c r="D189" s="136">
        <v>36</v>
      </c>
      <c r="E189" s="136">
        <v>7</v>
      </c>
      <c r="F189" s="137">
        <v>12740</v>
      </c>
      <c r="G189" s="153"/>
      <c r="H189" s="153"/>
      <c r="I189" s="153"/>
      <c r="J189" s="154"/>
      <c r="K189" s="156"/>
      <c r="L189" s="156"/>
      <c r="M189" s="156"/>
      <c r="N189" s="156"/>
      <c r="O189" s="185">
        <f t="shared" si="21"/>
        <v>6.296312736</v>
      </c>
      <c r="P189" s="147">
        <f t="shared" si="16"/>
        <v>12740</v>
      </c>
      <c r="Q189" s="148">
        <f t="shared" si="22"/>
        <v>12.7</v>
      </c>
      <c r="R189" s="148">
        <f t="shared" si="23"/>
        <v>12.7</v>
      </c>
      <c r="S189" s="135">
        <f>VLOOKUP(A189,[1]Index!$E:$M,7,)</f>
        <v>721.37815917979219</v>
      </c>
      <c r="T189" s="149">
        <f t="shared" si="17"/>
        <v>-12018.621840820208</v>
      </c>
      <c r="U189" s="150">
        <f t="shared" si="18"/>
        <v>-16.660640037238437</v>
      </c>
      <c r="V189" s="151">
        <f t="shared" si="19"/>
        <v>1.16598384</v>
      </c>
      <c r="W189" s="80">
        <f t="shared" si="20"/>
        <v>10.892089207685759</v>
      </c>
    </row>
    <row r="190" spans="1:23" ht="14.45" customHeight="1">
      <c r="A190" s="132" t="s">
        <v>275</v>
      </c>
      <c r="B190" s="133"/>
      <c r="C190" s="136">
        <v>81.5</v>
      </c>
      <c r="D190" s="136">
        <v>36</v>
      </c>
      <c r="E190" s="136">
        <v>7</v>
      </c>
      <c r="F190" s="137">
        <v>8150</v>
      </c>
      <c r="G190" s="153"/>
      <c r="H190" s="153"/>
      <c r="I190" s="153"/>
      <c r="J190" s="154"/>
      <c r="K190" s="156"/>
      <c r="L190" s="156"/>
      <c r="M190" s="156"/>
      <c r="N190" s="156"/>
      <c r="O190" s="185">
        <f t="shared" si="21"/>
        <v>3.9171716640000005</v>
      </c>
      <c r="P190" s="147">
        <f t="shared" si="16"/>
        <v>8150</v>
      </c>
      <c r="Q190" s="148">
        <f t="shared" si="22"/>
        <v>8.1</v>
      </c>
      <c r="R190" s="148">
        <f t="shared" si="23"/>
        <v>8.1</v>
      </c>
      <c r="S190" s="135">
        <f>VLOOKUP(A190,[1]Index!$E:$M,7,)</f>
        <v>494.104050852</v>
      </c>
      <c r="T190" s="149">
        <f t="shared" si="17"/>
        <v>-7655.895949148</v>
      </c>
      <c r="U190" s="150">
        <f t="shared" si="18"/>
        <v>-15.494501483941864</v>
      </c>
      <c r="V190" s="151">
        <f t="shared" si="19"/>
        <v>0.72540216000000002</v>
      </c>
      <c r="W190" s="80">
        <f t="shared" si="20"/>
        <v>11.166219852447089</v>
      </c>
    </row>
    <row r="191" spans="1:23">
      <c r="A191" s="132" t="s">
        <v>276</v>
      </c>
      <c r="B191" s="133"/>
      <c r="C191" s="175">
        <v>189.5</v>
      </c>
      <c r="D191" s="175">
        <v>47</v>
      </c>
      <c r="E191" s="175">
        <v>9</v>
      </c>
      <c r="F191" s="176">
        <v>33900</v>
      </c>
      <c r="G191" s="153">
        <v>148.5</v>
      </c>
      <c r="H191" s="153">
        <v>54</v>
      </c>
      <c r="I191" s="153">
        <v>9</v>
      </c>
      <c r="J191" s="154">
        <v>32200</v>
      </c>
      <c r="K191" s="156"/>
      <c r="L191" s="156"/>
      <c r="M191" s="156"/>
      <c r="N191" s="156"/>
      <c r="O191" s="185">
        <f t="shared" si="21"/>
        <v>29.053500876000001</v>
      </c>
      <c r="P191" s="147">
        <f t="shared" si="16"/>
        <v>66100</v>
      </c>
      <c r="Q191" s="148">
        <f t="shared" si="22"/>
        <v>66.099999999999994</v>
      </c>
      <c r="R191" s="148">
        <f t="shared" si="23"/>
        <v>66.099999999999994</v>
      </c>
      <c r="S191" s="135">
        <f>VLOOKUP(A191,[1]Index!$E:$M,7,)</f>
        <v>3504.9382297384645</v>
      </c>
      <c r="T191" s="149">
        <f t="shared" si="17"/>
        <v>-62595.061770261535</v>
      </c>
      <c r="U191" s="150">
        <f t="shared" si="18"/>
        <v>-17.859105544046155</v>
      </c>
      <c r="V191" s="151">
        <f t="shared" si="19"/>
        <v>5.38027794</v>
      </c>
      <c r="W191" s="80">
        <f t="shared" si="20"/>
        <v>12.285610657504433</v>
      </c>
    </row>
    <row r="192" spans="1:23" ht="14.45" customHeight="1">
      <c r="A192" s="132" t="s">
        <v>277</v>
      </c>
      <c r="B192" s="133"/>
      <c r="C192" s="136">
        <v>155</v>
      </c>
      <c r="D192" s="136">
        <v>45</v>
      </c>
      <c r="E192" s="136">
        <v>12.5</v>
      </c>
      <c r="F192" s="164">
        <v>41300</v>
      </c>
      <c r="G192" s="138"/>
      <c r="H192" s="138"/>
      <c r="I192" s="138"/>
      <c r="J192" s="139"/>
      <c r="K192" s="140"/>
      <c r="L192" s="140"/>
      <c r="M192" s="140"/>
      <c r="N192" s="140"/>
      <c r="O192" s="185">
        <f t="shared" si="21"/>
        <v>16.6290975</v>
      </c>
      <c r="P192" s="158">
        <f t="shared" si="16"/>
        <v>41300</v>
      </c>
      <c r="Q192" s="148">
        <f t="shared" si="22"/>
        <v>41.3</v>
      </c>
      <c r="R192" s="148">
        <f t="shared" si="23"/>
        <v>41.3</v>
      </c>
      <c r="S192" s="135">
        <f>VLOOKUP(A192,[1]Index!$E:$M,7,)</f>
        <v>2235.7617175818486</v>
      </c>
      <c r="T192" s="149">
        <f t="shared" si="17"/>
        <v>-39064.238282418155</v>
      </c>
      <c r="U192" s="150">
        <f t="shared" si="18"/>
        <v>-17.472451547595682</v>
      </c>
      <c r="V192" s="151">
        <f t="shared" si="19"/>
        <v>3.0794625</v>
      </c>
      <c r="W192" s="80">
        <f t="shared" si="20"/>
        <v>13.41143137804081</v>
      </c>
    </row>
    <row r="193" spans="1:23" ht="14.45" customHeight="1">
      <c r="A193" s="132" t="s">
        <v>278</v>
      </c>
      <c r="B193" s="133"/>
      <c r="C193" s="136">
        <v>166</v>
      </c>
      <c r="D193" s="136">
        <v>36</v>
      </c>
      <c r="E193" s="136">
        <v>7</v>
      </c>
      <c r="F193" s="137">
        <v>24600</v>
      </c>
      <c r="G193" s="153"/>
      <c r="H193" s="153"/>
      <c r="I193" s="153"/>
      <c r="J193" s="154"/>
      <c r="K193" s="156"/>
      <c r="L193" s="156"/>
      <c r="M193" s="156"/>
      <c r="N193" s="156"/>
      <c r="O193" s="185">
        <f t="shared" si="21"/>
        <v>7.9785336960000013</v>
      </c>
      <c r="P193" s="147">
        <f t="shared" si="16"/>
        <v>24600</v>
      </c>
      <c r="Q193" s="148">
        <f t="shared" si="22"/>
        <v>24.6</v>
      </c>
      <c r="R193" s="148">
        <f t="shared" si="23"/>
        <v>24.6</v>
      </c>
      <c r="S193" s="135">
        <f>VLOOKUP(A193,[1]Index!$E:$M,7,)</f>
        <v>1367.0228877</v>
      </c>
      <c r="T193" s="149">
        <f t="shared" si="17"/>
        <v>-23232.977112299999</v>
      </c>
      <c r="U193" s="150">
        <f t="shared" si="18"/>
        <v>-16.99530953091006</v>
      </c>
      <c r="V193" s="151">
        <f t="shared" si="19"/>
        <v>1.4775062400000001</v>
      </c>
      <c r="W193" s="80">
        <f t="shared" si="20"/>
        <v>16.649675875480568</v>
      </c>
    </row>
    <row r="194" spans="1:23" ht="14.45" customHeight="1">
      <c r="A194" s="132" t="s">
        <v>279</v>
      </c>
      <c r="B194" s="133"/>
      <c r="C194" s="136">
        <v>138</v>
      </c>
      <c r="D194" s="136">
        <v>36</v>
      </c>
      <c r="E194" s="136">
        <v>10</v>
      </c>
      <c r="F194" s="137">
        <v>19000.29</v>
      </c>
      <c r="G194" s="153"/>
      <c r="H194" s="153"/>
      <c r="I194" s="153"/>
      <c r="J194" s="154"/>
      <c r="K194" s="156"/>
      <c r="L194" s="156"/>
      <c r="M194" s="156"/>
      <c r="N194" s="156"/>
      <c r="O194" s="185">
        <f t="shared" si="21"/>
        <v>9.4753670400000019</v>
      </c>
      <c r="P194" s="147">
        <f t="shared" si="16"/>
        <v>19000.29</v>
      </c>
      <c r="Q194" s="148">
        <f t="shared" si="22"/>
        <v>19</v>
      </c>
      <c r="R194" s="148">
        <f t="shared" si="23"/>
        <v>19</v>
      </c>
      <c r="S194" s="135">
        <f>VLOOKUP(A194,[1]Index!$E:$M,7,)</f>
        <v>1010.8969405549999</v>
      </c>
      <c r="T194" s="149">
        <f t="shared" si="17"/>
        <v>-17989.393059444999</v>
      </c>
      <c r="U194" s="150">
        <f t="shared" si="18"/>
        <v>-17.795476806536293</v>
      </c>
      <c r="V194" s="151">
        <f t="shared" si="19"/>
        <v>1.7546976000000001</v>
      </c>
      <c r="W194" s="80">
        <f t="shared" si="20"/>
        <v>10.82807658709968</v>
      </c>
    </row>
    <row r="195" spans="1:23" ht="14.45" customHeight="1">
      <c r="A195" s="157" t="s">
        <v>280</v>
      </c>
      <c r="B195" s="133"/>
      <c r="C195" s="167">
        <v>154</v>
      </c>
      <c r="D195" s="167">
        <v>42</v>
      </c>
      <c r="E195" s="167">
        <v>9</v>
      </c>
      <c r="F195" s="137">
        <v>27500</v>
      </c>
      <c r="G195" s="138"/>
      <c r="H195" s="138"/>
      <c r="I195" s="138"/>
      <c r="J195" s="139"/>
      <c r="K195" s="140"/>
      <c r="L195" s="140"/>
      <c r="M195" s="140"/>
      <c r="N195" s="140"/>
      <c r="O195" s="185">
        <f t="shared" si="21"/>
        <v>11.102658336000001</v>
      </c>
      <c r="P195" s="158">
        <f t="shared" si="16"/>
        <v>27500</v>
      </c>
      <c r="Q195" s="148">
        <f t="shared" si="22"/>
        <v>27.5</v>
      </c>
      <c r="R195" s="148">
        <f t="shared" si="23"/>
        <v>27.5</v>
      </c>
      <c r="S195" s="135">
        <f>VLOOKUP(A195,[1]Index!$E:$M,7,)</f>
        <v>1499.7569243115688</v>
      </c>
      <c r="T195" s="149">
        <f t="shared" si="17"/>
        <v>-26000.243075688431</v>
      </c>
      <c r="U195" s="150">
        <f t="shared" si="18"/>
        <v>-17.336304739931961</v>
      </c>
      <c r="V195" s="151">
        <f t="shared" si="19"/>
        <v>2.0560478400000002</v>
      </c>
      <c r="W195" s="80">
        <f t="shared" si="20"/>
        <v>13.37517516129391</v>
      </c>
    </row>
    <row r="196" spans="1:23" ht="14.45" customHeight="1">
      <c r="A196" s="162" t="s">
        <v>282</v>
      </c>
      <c r="B196" s="133"/>
      <c r="C196" s="136">
        <v>83.5</v>
      </c>
      <c r="D196" s="136">
        <v>28.7</v>
      </c>
      <c r="E196" s="136">
        <v>6.5</v>
      </c>
      <c r="F196" s="137">
        <v>8500</v>
      </c>
      <c r="G196" s="138"/>
      <c r="H196" s="138"/>
      <c r="I196" s="138"/>
      <c r="J196" s="139"/>
      <c r="K196" s="140"/>
      <c r="L196" s="140"/>
      <c r="M196" s="140"/>
      <c r="N196" s="140"/>
      <c r="O196" s="185">
        <f t="shared" si="21"/>
        <v>2.9709557514</v>
      </c>
      <c r="P196" s="158">
        <f t="shared" ref="P196:P259" si="24">F196+J196+N196</f>
        <v>8500</v>
      </c>
      <c r="Q196" s="148">
        <f t="shared" si="22"/>
        <v>8.5</v>
      </c>
      <c r="R196" s="148">
        <f t="shared" si="23"/>
        <v>8.5</v>
      </c>
      <c r="S196" s="135">
        <f>VLOOKUP(A196,[1]Index!$E:$M,7,)</f>
        <v>466.06961703000002</v>
      </c>
      <c r="T196" s="149">
        <f t="shared" ref="T196:T259" si="25">S196-P196</f>
        <v>-8033.9303829700002</v>
      </c>
      <c r="U196" s="150">
        <f t="shared" ref="U196:U259" si="26">T196/S196</f>
        <v>-17.237618779283935</v>
      </c>
      <c r="V196" s="151">
        <f t="shared" ref="V196:V259" si="27">(((C196*D196*E196)+(G196*H196*I196)+(K196*L196*M196))/1000000)*35.32</f>
        <v>0.55017699099999995</v>
      </c>
      <c r="W196" s="80">
        <f t="shared" ref="W196:W259" si="28">Q196/V196</f>
        <v>15.449573753621406</v>
      </c>
    </row>
    <row r="197" spans="1:23" ht="14.45" customHeight="1">
      <c r="A197" s="132" t="s">
        <v>283</v>
      </c>
      <c r="B197" s="133"/>
      <c r="C197" s="136">
        <v>58</v>
      </c>
      <c r="D197" s="136">
        <v>30</v>
      </c>
      <c r="E197" s="136">
        <v>9</v>
      </c>
      <c r="F197" s="137">
        <v>6505</v>
      </c>
      <c r="G197" s="138"/>
      <c r="H197" s="138"/>
      <c r="I197" s="138"/>
      <c r="J197" s="139"/>
      <c r="K197" s="140"/>
      <c r="L197" s="140"/>
      <c r="M197" s="140"/>
      <c r="N197" s="140"/>
      <c r="O197" s="185">
        <f t="shared" ref="O197:O260" si="29">V197*$O$2</f>
        <v>2.9868004800000003</v>
      </c>
      <c r="P197" s="158">
        <f t="shared" si="24"/>
        <v>6505</v>
      </c>
      <c r="Q197" s="148">
        <f t="shared" ref="Q197:Q260" si="30">ROUNDDOWN(P197/1000,1)</f>
        <v>6.5</v>
      </c>
      <c r="R197" s="148">
        <f t="shared" ref="R197:R260" si="31">MAX(O197,Q197)</f>
        <v>6.5</v>
      </c>
      <c r="S197" s="135">
        <f>VLOOKUP(A197,[1]Index!$E:$M,7,)</f>
        <v>382.40216135999987</v>
      </c>
      <c r="T197" s="149">
        <f t="shared" si="25"/>
        <v>-6122.5978386400002</v>
      </c>
      <c r="U197" s="150">
        <f t="shared" si="26"/>
        <v>-16.010887116498495</v>
      </c>
      <c r="V197" s="151">
        <f t="shared" si="27"/>
        <v>0.55311120000000003</v>
      </c>
      <c r="W197" s="80">
        <f t="shared" si="28"/>
        <v>11.75170562447479</v>
      </c>
    </row>
    <row r="198" spans="1:23" ht="14.45" customHeight="1">
      <c r="A198" s="132" t="s">
        <v>284</v>
      </c>
      <c r="B198" s="133"/>
      <c r="C198" s="160">
        <v>44.5</v>
      </c>
      <c r="D198" s="160">
        <v>24.5</v>
      </c>
      <c r="E198" s="160">
        <v>5</v>
      </c>
      <c r="F198" s="161">
        <v>2070</v>
      </c>
      <c r="G198" s="153"/>
      <c r="H198" s="153"/>
      <c r="I198" s="153"/>
      <c r="J198" s="154"/>
      <c r="K198" s="156"/>
      <c r="L198" s="156"/>
      <c r="M198" s="156"/>
      <c r="N198" s="156"/>
      <c r="O198" s="185">
        <f t="shared" si="29"/>
        <v>1.0397060100000002</v>
      </c>
      <c r="P198" s="147">
        <f t="shared" si="24"/>
        <v>2070</v>
      </c>
      <c r="Q198" s="148">
        <f t="shared" si="30"/>
        <v>2</v>
      </c>
      <c r="R198" s="148">
        <f t="shared" si="31"/>
        <v>2</v>
      </c>
      <c r="S198" s="135">
        <f>VLOOKUP(A198,[1]Index!$E:$M,7,)</f>
        <v>132.49858305461538</v>
      </c>
      <c r="T198" s="149">
        <f t="shared" si="25"/>
        <v>-1937.5014169453846</v>
      </c>
      <c r="U198" s="150">
        <f t="shared" si="26"/>
        <v>-14.622808578615171</v>
      </c>
      <c r="V198" s="151">
        <f t="shared" si="27"/>
        <v>0.19253815000000002</v>
      </c>
      <c r="W198" s="80">
        <f t="shared" si="28"/>
        <v>10.387551765715001</v>
      </c>
    </row>
    <row r="199" spans="1:23" ht="14.45" customHeight="1">
      <c r="A199" s="132" t="s">
        <v>285</v>
      </c>
      <c r="B199" s="133"/>
      <c r="C199" s="160">
        <v>57.4</v>
      </c>
      <c r="D199" s="160">
        <v>32.5</v>
      </c>
      <c r="E199" s="160">
        <v>4.5</v>
      </c>
      <c r="F199" s="161">
        <v>2960</v>
      </c>
      <c r="G199" s="153"/>
      <c r="H199" s="153"/>
      <c r="I199" s="153"/>
      <c r="J199" s="154"/>
      <c r="K199" s="156"/>
      <c r="L199" s="156"/>
      <c r="M199" s="156"/>
      <c r="N199" s="156"/>
      <c r="O199" s="185">
        <f t="shared" si="29"/>
        <v>1.6011138779999998</v>
      </c>
      <c r="P199" s="147">
        <f t="shared" si="24"/>
        <v>2960</v>
      </c>
      <c r="Q199" s="148">
        <f t="shared" si="30"/>
        <v>2.9</v>
      </c>
      <c r="R199" s="148">
        <f t="shared" si="31"/>
        <v>2.9</v>
      </c>
      <c r="S199" s="135">
        <f>VLOOKUP(A199,[1]Index!$E:$M,7,)</f>
        <v>173.9793991769231</v>
      </c>
      <c r="T199" s="149">
        <f t="shared" si="25"/>
        <v>-2786.0206008230771</v>
      </c>
      <c r="U199" s="150">
        <f t="shared" si="26"/>
        <v>-16.013508576322405</v>
      </c>
      <c r="V199" s="151">
        <f t="shared" si="27"/>
        <v>0.29650256999999997</v>
      </c>
      <c r="W199" s="80">
        <f t="shared" si="28"/>
        <v>9.7806909397109116</v>
      </c>
    </row>
    <row r="200" spans="1:23" ht="14.45" customHeight="1">
      <c r="A200" s="132" t="s">
        <v>286</v>
      </c>
      <c r="B200" s="133"/>
      <c r="C200" s="160">
        <v>41</v>
      </c>
      <c r="D200" s="160">
        <v>25</v>
      </c>
      <c r="E200" s="160">
        <v>4</v>
      </c>
      <c r="F200" s="161">
        <v>1560</v>
      </c>
      <c r="G200" s="153"/>
      <c r="H200" s="153"/>
      <c r="I200" s="153"/>
      <c r="J200" s="154"/>
      <c r="K200" s="156"/>
      <c r="L200" s="156"/>
      <c r="M200" s="156"/>
      <c r="N200" s="156"/>
      <c r="O200" s="185">
        <f t="shared" si="29"/>
        <v>0.78198480000000015</v>
      </c>
      <c r="P200" s="147">
        <f t="shared" si="24"/>
        <v>1560</v>
      </c>
      <c r="Q200" s="148">
        <f t="shared" si="30"/>
        <v>1.5</v>
      </c>
      <c r="R200" s="148">
        <f t="shared" si="31"/>
        <v>1.5</v>
      </c>
      <c r="S200" s="135">
        <f>VLOOKUP(A200,[1]Index!$E:$M,7,)</f>
        <v>102.99373733269228</v>
      </c>
      <c r="T200" s="149">
        <f t="shared" si="25"/>
        <v>-1457.0062626673077</v>
      </c>
      <c r="U200" s="150">
        <f t="shared" si="26"/>
        <v>-14.146552017632482</v>
      </c>
      <c r="V200" s="151">
        <f t="shared" si="27"/>
        <v>0.14481200000000002</v>
      </c>
      <c r="W200" s="80">
        <f t="shared" si="28"/>
        <v>10.358257602961078</v>
      </c>
    </row>
    <row r="201" spans="1:23">
      <c r="A201" s="132" t="s">
        <v>287</v>
      </c>
      <c r="B201" s="133"/>
      <c r="C201" s="136">
        <v>107</v>
      </c>
      <c r="D201" s="136">
        <v>46</v>
      </c>
      <c r="E201" s="136">
        <v>8</v>
      </c>
      <c r="F201" s="137">
        <v>17685</v>
      </c>
      <c r="G201" s="153"/>
      <c r="H201" s="153"/>
      <c r="I201" s="153"/>
      <c r="J201" s="154"/>
      <c r="K201" s="156"/>
      <c r="L201" s="156"/>
      <c r="M201" s="156"/>
      <c r="N201" s="156"/>
      <c r="O201" s="185">
        <f t="shared" si="29"/>
        <v>7.510105728000001</v>
      </c>
      <c r="P201" s="147">
        <f t="shared" si="24"/>
        <v>17685</v>
      </c>
      <c r="Q201" s="148">
        <f t="shared" si="30"/>
        <v>17.600000000000001</v>
      </c>
      <c r="R201" s="148">
        <f t="shared" si="31"/>
        <v>17.600000000000001</v>
      </c>
      <c r="S201" s="135">
        <f>VLOOKUP(A201,[1]Index!$E:$M,7,)</f>
        <v>0</v>
      </c>
      <c r="T201" s="149">
        <f t="shared" si="25"/>
        <v>-17685</v>
      </c>
      <c r="U201" s="150" t="e">
        <f t="shared" si="26"/>
        <v>#DIV/0!</v>
      </c>
      <c r="V201" s="151">
        <f t="shared" si="27"/>
        <v>1.39076032</v>
      </c>
      <c r="W201" s="80">
        <f t="shared" si="28"/>
        <v>12.654948337899086</v>
      </c>
    </row>
    <row r="202" spans="1:23" ht="14.45" customHeight="1">
      <c r="A202" s="132" t="s">
        <v>289</v>
      </c>
      <c r="B202" s="133"/>
      <c r="C202" s="136">
        <v>19.2</v>
      </c>
      <c r="D202" s="136">
        <v>19.2</v>
      </c>
      <c r="E202" s="136">
        <v>2.1</v>
      </c>
      <c r="F202" s="137">
        <v>1000</v>
      </c>
      <c r="G202" s="138"/>
      <c r="H202" s="138"/>
      <c r="I202" s="138"/>
      <c r="J202" s="139"/>
      <c r="K202" s="140"/>
      <c r="L202" s="140"/>
      <c r="M202" s="140"/>
      <c r="N202" s="140"/>
      <c r="O202" s="185">
        <f t="shared" si="29"/>
        <v>0.14765093683200001</v>
      </c>
      <c r="P202" s="158">
        <f t="shared" si="24"/>
        <v>1000</v>
      </c>
      <c r="Q202" s="148">
        <f t="shared" si="30"/>
        <v>1</v>
      </c>
      <c r="R202" s="148">
        <f t="shared" si="31"/>
        <v>1</v>
      </c>
      <c r="S202" s="135">
        <f>VLOOKUP(A202,[1]Index!$E:$M,7,)</f>
        <v>86.095201385999999</v>
      </c>
      <c r="T202" s="149">
        <f t="shared" si="25"/>
        <v>-913.90479861400001</v>
      </c>
      <c r="U202" s="150">
        <f t="shared" si="26"/>
        <v>-10.615049200205608</v>
      </c>
      <c r="V202" s="151">
        <f t="shared" si="27"/>
        <v>2.7342766080000001E-2</v>
      </c>
      <c r="W202" s="80">
        <f t="shared" si="28"/>
        <v>36.572744581663038</v>
      </c>
    </row>
    <row r="203" spans="1:23">
      <c r="A203" s="157" t="s">
        <v>292</v>
      </c>
      <c r="B203" s="133"/>
      <c r="C203" s="167">
        <v>186</v>
      </c>
      <c r="D203" s="167">
        <v>51</v>
      </c>
      <c r="E203" s="167">
        <v>9</v>
      </c>
      <c r="F203" s="137">
        <v>45370</v>
      </c>
      <c r="G203" s="138"/>
      <c r="H203" s="138"/>
      <c r="I203" s="138"/>
      <c r="J203" s="139"/>
      <c r="K203" s="140"/>
      <c r="L203" s="140"/>
      <c r="M203" s="140"/>
      <c r="N203" s="140"/>
      <c r="O203" s="185">
        <f t="shared" si="29"/>
        <v>16.283212272000004</v>
      </c>
      <c r="P203" s="158">
        <f t="shared" si="24"/>
        <v>45370</v>
      </c>
      <c r="Q203" s="148">
        <f t="shared" si="30"/>
        <v>45.3</v>
      </c>
      <c r="R203" s="148">
        <f t="shared" si="31"/>
        <v>45.3</v>
      </c>
      <c r="S203" s="135">
        <f>VLOOKUP(A203,[1]Index!$E:$M,7,)</f>
        <v>2344.4419144089338</v>
      </c>
      <c r="T203" s="149">
        <f t="shared" si="25"/>
        <v>-43025.558085591067</v>
      </c>
      <c r="U203" s="150">
        <f t="shared" si="26"/>
        <v>-18.352153585531848</v>
      </c>
      <c r="V203" s="151">
        <f t="shared" si="27"/>
        <v>3.0154096800000003</v>
      </c>
      <c r="W203" s="80">
        <f t="shared" si="28"/>
        <v>15.02283431019562</v>
      </c>
    </row>
    <row r="204" spans="1:23">
      <c r="A204" s="157" t="s">
        <v>293</v>
      </c>
      <c r="B204" s="133"/>
      <c r="C204" s="167">
        <v>185</v>
      </c>
      <c r="D204" s="167">
        <v>51</v>
      </c>
      <c r="E204" s="167">
        <v>10</v>
      </c>
      <c r="F204" s="137">
        <v>47800</v>
      </c>
      <c r="G204" s="138"/>
      <c r="H204" s="138"/>
      <c r="I204" s="138"/>
      <c r="J204" s="139"/>
      <c r="K204" s="140"/>
      <c r="L204" s="140"/>
      <c r="M204" s="140"/>
      <c r="N204" s="140"/>
      <c r="O204" s="185">
        <f t="shared" si="29"/>
        <v>17.995186800000003</v>
      </c>
      <c r="P204" s="158">
        <f t="shared" si="24"/>
        <v>47800</v>
      </c>
      <c r="Q204" s="148">
        <f t="shared" si="30"/>
        <v>47.8</v>
      </c>
      <c r="R204" s="148">
        <f t="shared" si="31"/>
        <v>47.8</v>
      </c>
      <c r="S204" s="135">
        <f>VLOOKUP(A204,[1]Index!$E:$M,7,)</f>
        <v>2782.9399555000005</v>
      </c>
      <c r="T204" s="149">
        <f t="shared" si="25"/>
        <v>-45017.060044500002</v>
      </c>
      <c r="U204" s="150">
        <f t="shared" si="26"/>
        <v>-16.176080247628612</v>
      </c>
      <c r="V204" s="151">
        <f t="shared" si="27"/>
        <v>3.3324420000000003</v>
      </c>
      <c r="W204" s="80">
        <f t="shared" si="28"/>
        <v>14.343835541623827</v>
      </c>
    </row>
    <row r="205" spans="1:23">
      <c r="A205" s="157" t="s">
        <v>294</v>
      </c>
      <c r="B205" s="133"/>
      <c r="C205" s="167">
        <v>186</v>
      </c>
      <c r="D205" s="167">
        <v>51</v>
      </c>
      <c r="E205" s="167">
        <v>10</v>
      </c>
      <c r="F205" s="137">
        <v>49000</v>
      </c>
      <c r="G205" s="138"/>
      <c r="H205" s="138"/>
      <c r="I205" s="138"/>
      <c r="J205" s="139"/>
      <c r="K205" s="140"/>
      <c r="L205" s="140"/>
      <c r="M205" s="140"/>
      <c r="N205" s="140"/>
      <c r="O205" s="185">
        <f t="shared" si="29"/>
        <v>18.09245808</v>
      </c>
      <c r="P205" s="158">
        <f t="shared" si="24"/>
        <v>49000</v>
      </c>
      <c r="Q205" s="148">
        <f t="shared" si="30"/>
        <v>49</v>
      </c>
      <c r="R205" s="148">
        <f t="shared" si="31"/>
        <v>49</v>
      </c>
      <c r="S205" s="135">
        <f>VLOOKUP(A205,[1]Index!$E:$M,7,)</f>
        <v>2827.9237754899991</v>
      </c>
      <c r="T205" s="149">
        <f t="shared" si="25"/>
        <v>-46172.076224509998</v>
      </c>
      <c r="U205" s="150">
        <f t="shared" si="26"/>
        <v>-16.327199702018024</v>
      </c>
      <c r="V205" s="151">
        <f t="shared" si="27"/>
        <v>3.3504551999999999</v>
      </c>
      <c r="W205" s="80">
        <f t="shared" si="28"/>
        <v>14.624878434428851</v>
      </c>
    </row>
    <row r="206" spans="1:23">
      <c r="A206" s="132" t="s">
        <v>295</v>
      </c>
      <c r="B206" s="133"/>
      <c r="C206" s="136">
        <v>127.5</v>
      </c>
      <c r="D206" s="136">
        <v>67</v>
      </c>
      <c r="E206" s="136">
        <v>9</v>
      </c>
      <c r="F206" s="137">
        <v>33200</v>
      </c>
      <c r="G206" s="153">
        <v>186.5</v>
      </c>
      <c r="H206" s="153">
        <v>51</v>
      </c>
      <c r="I206" s="153">
        <v>10</v>
      </c>
      <c r="J206" s="154">
        <v>43700</v>
      </c>
      <c r="K206" s="156"/>
      <c r="L206" s="156"/>
      <c r="M206" s="156"/>
      <c r="N206" s="156"/>
      <c r="O206" s="185">
        <f t="shared" si="29"/>
        <v>32.804739179999999</v>
      </c>
      <c r="P206" s="147">
        <f t="shared" si="24"/>
        <v>76900</v>
      </c>
      <c r="Q206" s="148">
        <f t="shared" si="30"/>
        <v>76.900000000000006</v>
      </c>
      <c r="R206" s="148">
        <f t="shared" si="31"/>
        <v>76.900000000000006</v>
      </c>
      <c r="S206" s="135">
        <f>VLOOKUP(A206,[1]Index!$E:$M,7,)</f>
        <v>4791.4162716714109</v>
      </c>
      <c r="T206" s="149">
        <f t="shared" si="25"/>
        <v>-72108.583728328595</v>
      </c>
      <c r="U206" s="150">
        <f t="shared" si="26"/>
        <v>-15.049534342207057</v>
      </c>
      <c r="V206" s="151">
        <f t="shared" si="27"/>
        <v>6.0749516999999997</v>
      </c>
      <c r="W206" s="80">
        <f t="shared" si="28"/>
        <v>12.658536857173697</v>
      </c>
    </row>
    <row r="207" spans="1:23">
      <c r="A207" s="132" t="s">
        <v>769</v>
      </c>
      <c r="B207" s="133"/>
      <c r="C207" s="136"/>
      <c r="D207" s="136"/>
      <c r="E207" s="136"/>
      <c r="F207" s="177">
        <v>70700</v>
      </c>
      <c r="G207" s="138"/>
      <c r="H207" s="138"/>
      <c r="I207" s="138"/>
      <c r="J207" s="139"/>
      <c r="K207" s="140"/>
      <c r="L207" s="140"/>
      <c r="M207" s="140"/>
      <c r="N207" s="140"/>
      <c r="O207" s="185">
        <f t="shared" si="29"/>
        <v>0</v>
      </c>
      <c r="P207" s="158">
        <f t="shared" si="24"/>
        <v>70700</v>
      </c>
      <c r="Q207" s="148">
        <f t="shared" si="30"/>
        <v>70.7</v>
      </c>
      <c r="R207" s="148">
        <f t="shared" si="31"/>
        <v>70.7</v>
      </c>
      <c r="S207" s="135" t="e">
        <f>VLOOKUP(A207,[1]Index!$E:$M,7,)</f>
        <v>#N/A</v>
      </c>
      <c r="T207" s="149" t="e">
        <f t="shared" si="25"/>
        <v>#N/A</v>
      </c>
      <c r="U207" s="150" t="e">
        <f t="shared" si="26"/>
        <v>#N/A</v>
      </c>
      <c r="V207" s="151">
        <f t="shared" si="27"/>
        <v>0</v>
      </c>
      <c r="W207" s="80" t="e">
        <f t="shared" si="28"/>
        <v>#DIV/0!</v>
      </c>
    </row>
    <row r="208" spans="1:23">
      <c r="A208" s="132" t="s">
        <v>296</v>
      </c>
      <c r="B208" s="133"/>
      <c r="C208" s="136">
        <v>127.5</v>
      </c>
      <c r="D208" s="136">
        <v>67</v>
      </c>
      <c r="E208" s="136">
        <v>9</v>
      </c>
      <c r="F208" s="137">
        <v>33200</v>
      </c>
      <c r="G208" s="153">
        <v>186.5</v>
      </c>
      <c r="H208" s="153">
        <v>51</v>
      </c>
      <c r="I208" s="153">
        <v>10</v>
      </c>
      <c r="J208" s="154">
        <v>39900</v>
      </c>
      <c r="K208" s="156"/>
      <c r="L208" s="156"/>
      <c r="M208" s="156"/>
      <c r="N208" s="156"/>
      <c r="O208" s="185">
        <f t="shared" si="29"/>
        <v>32.804739179999999</v>
      </c>
      <c r="P208" s="147">
        <f t="shared" si="24"/>
        <v>73100</v>
      </c>
      <c r="Q208" s="148">
        <f t="shared" si="30"/>
        <v>73.099999999999994</v>
      </c>
      <c r="R208" s="148">
        <f t="shared" si="31"/>
        <v>73.099999999999994</v>
      </c>
      <c r="S208" s="135">
        <f>VLOOKUP(A208,[1]Index!$E:$M,7,)</f>
        <v>4357.8105186040584</v>
      </c>
      <c r="T208" s="149">
        <f t="shared" si="25"/>
        <v>-68742.189481395937</v>
      </c>
      <c r="U208" s="150">
        <f t="shared" si="26"/>
        <v>-15.774478763573271</v>
      </c>
      <c r="V208" s="151">
        <f t="shared" si="27"/>
        <v>6.0749516999999997</v>
      </c>
      <c r="W208" s="80">
        <f t="shared" si="28"/>
        <v>12.033017480616348</v>
      </c>
    </row>
    <row r="209" spans="1:23">
      <c r="A209" s="132" t="s">
        <v>770</v>
      </c>
      <c r="B209" s="133"/>
      <c r="C209" s="136"/>
      <c r="D209" s="136"/>
      <c r="E209" s="136"/>
      <c r="F209" s="177">
        <v>70700</v>
      </c>
      <c r="G209" s="138"/>
      <c r="H209" s="138"/>
      <c r="I209" s="138"/>
      <c r="J209" s="139"/>
      <c r="K209" s="140"/>
      <c r="L209" s="140"/>
      <c r="M209" s="140"/>
      <c r="N209" s="140"/>
      <c r="O209" s="185">
        <f t="shared" si="29"/>
        <v>0</v>
      </c>
      <c r="P209" s="158">
        <f t="shared" si="24"/>
        <v>70700</v>
      </c>
      <c r="Q209" s="148">
        <f t="shared" si="30"/>
        <v>70.7</v>
      </c>
      <c r="R209" s="148">
        <f t="shared" si="31"/>
        <v>70.7</v>
      </c>
      <c r="S209" s="135" t="e">
        <f>VLOOKUP(A209,[1]Index!$E:$M,7,)</f>
        <v>#N/A</v>
      </c>
      <c r="T209" s="149" t="e">
        <f t="shared" si="25"/>
        <v>#N/A</v>
      </c>
      <c r="U209" s="150" t="e">
        <f t="shared" si="26"/>
        <v>#N/A</v>
      </c>
      <c r="V209" s="151">
        <f t="shared" si="27"/>
        <v>0</v>
      </c>
      <c r="W209" s="80" t="e">
        <f t="shared" si="28"/>
        <v>#DIV/0!</v>
      </c>
    </row>
    <row r="210" spans="1:23">
      <c r="A210" s="132" t="s">
        <v>297</v>
      </c>
      <c r="B210" s="133"/>
      <c r="C210" s="136">
        <v>131</v>
      </c>
      <c r="D210" s="136">
        <v>53</v>
      </c>
      <c r="E210" s="136">
        <v>10</v>
      </c>
      <c r="F210" s="137">
        <v>29200</v>
      </c>
      <c r="G210" s="153">
        <v>180</v>
      </c>
      <c r="H210" s="153">
        <v>46</v>
      </c>
      <c r="I210" s="153">
        <v>8</v>
      </c>
      <c r="J210" s="154">
        <v>35800</v>
      </c>
      <c r="K210" s="156">
        <v>186.5</v>
      </c>
      <c r="L210" s="156">
        <v>50</v>
      </c>
      <c r="M210" s="156">
        <v>7</v>
      </c>
      <c r="N210" s="156">
        <v>34000</v>
      </c>
      <c r="O210" s="185">
        <f t="shared" si="29"/>
        <v>38.325837960000001</v>
      </c>
      <c r="P210" s="147">
        <f t="shared" si="24"/>
        <v>99000</v>
      </c>
      <c r="Q210" s="148">
        <f t="shared" si="30"/>
        <v>99</v>
      </c>
      <c r="R210" s="148">
        <f t="shared" si="31"/>
        <v>99</v>
      </c>
      <c r="S210" s="135">
        <f>VLOOKUP(A210,[1]Index!$E:$M,7,)</f>
        <v>6200.3101780003035</v>
      </c>
      <c r="T210" s="149">
        <f t="shared" si="25"/>
        <v>-92799.689821999695</v>
      </c>
      <c r="U210" s="150">
        <f t="shared" si="26"/>
        <v>-14.966943129920807</v>
      </c>
      <c r="V210" s="151">
        <f t="shared" si="27"/>
        <v>7.0973774000000001</v>
      </c>
      <c r="W210" s="80">
        <f t="shared" si="28"/>
        <v>13.948814388819171</v>
      </c>
    </row>
    <row r="211" spans="1:23">
      <c r="A211" s="132" t="s">
        <v>771</v>
      </c>
      <c r="B211" s="133"/>
      <c r="C211" s="136"/>
      <c r="D211" s="136"/>
      <c r="E211" s="136"/>
      <c r="F211" s="177">
        <v>91400</v>
      </c>
      <c r="G211" s="138"/>
      <c r="H211" s="138"/>
      <c r="I211" s="138"/>
      <c r="J211" s="139"/>
      <c r="K211" s="140"/>
      <c r="L211" s="140"/>
      <c r="M211" s="140"/>
      <c r="N211" s="140"/>
      <c r="O211" s="185">
        <f t="shared" si="29"/>
        <v>0</v>
      </c>
      <c r="P211" s="158">
        <f t="shared" si="24"/>
        <v>91400</v>
      </c>
      <c r="Q211" s="148">
        <f t="shared" si="30"/>
        <v>91.4</v>
      </c>
      <c r="R211" s="148">
        <f t="shared" si="31"/>
        <v>91.4</v>
      </c>
      <c r="S211" s="135" t="e">
        <f>VLOOKUP(A211,[1]Index!$E:$M,7,)</f>
        <v>#N/A</v>
      </c>
      <c r="T211" s="149" t="e">
        <f t="shared" si="25"/>
        <v>#N/A</v>
      </c>
      <c r="U211" s="150" t="e">
        <f t="shared" si="26"/>
        <v>#N/A</v>
      </c>
      <c r="V211" s="151">
        <f t="shared" si="27"/>
        <v>0</v>
      </c>
      <c r="W211" s="80" t="e">
        <f t="shared" si="28"/>
        <v>#DIV/0!</v>
      </c>
    </row>
    <row r="212" spans="1:23">
      <c r="A212" s="132" t="s">
        <v>298</v>
      </c>
      <c r="B212" s="133"/>
      <c r="C212" s="136">
        <v>131</v>
      </c>
      <c r="D212" s="136">
        <v>53</v>
      </c>
      <c r="E212" s="136">
        <v>10</v>
      </c>
      <c r="F212" s="137">
        <v>29200</v>
      </c>
      <c r="G212" s="153">
        <v>180</v>
      </c>
      <c r="H212" s="153">
        <v>46</v>
      </c>
      <c r="I212" s="153">
        <v>8</v>
      </c>
      <c r="J212" s="154">
        <v>35800</v>
      </c>
      <c r="K212" s="156">
        <v>186.5</v>
      </c>
      <c r="L212" s="156">
        <v>50</v>
      </c>
      <c r="M212" s="156">
        <v>7</v>
      </c>
      <c r="N212" s="156">
        <v>30000</v>
      </c>
      <c r="O212" s="185">
        <f t="shared" si="29"/>
        <v>38.325837960000001</v>
      </c>
      <c r="P212" s="147">
        <f t="shared" si="24"/>
        <v>95000</v>
      </c>
      <c r="Q212" s="148">
        <f t="shared" si="30"/>
        <v>95</v>
      </c>
      <c r="R212" s="148">
        <f t="shared" si="31"/>
        <v>95</v>
      </c>
      <c r="S212" s="135">
        <f>VLOOKUP(A212,[1]Index!$E:$M,7,)</f>
        <v>5893.1214654903024</v>
      </c>
      <c r="T212" s="149">
        <f t="shared" si="25"/>
        <v>-89106.878534509699</v>
      </c>
      <c r="U212" s="150">
        <f t="shared" si="26"/>
        <v>-15.120489040708426</v>
      </c>
      <c r="V212" s="151">
        <f t="shared" si="27"/>
        <v>7.0973774000000001</v>
      </c>
      <c r="W212" s="80">
        <f t="shared" si="28"/>
        <v>13.385225928664861</v>
      </c>
    </row>
    <row r="213" spans="1:23">
      <c r="A213" s="132" t="s">
        <v>772</v>
      </c>
      <c r="B213" s="133"/>
      <c r="C213" s="136"/>
      <c r="D213" s="136"/>
      <c r="E213" s="136"/>
      <c r="F213" s="177">
        <v>88300</v>
      </c>
      <c r="G213" s="138"/>
      <c r="H213" s="138"/>
      <c r="I213" s="138"/>
      <c r="J213" s="139"/>
      <c r="K213" s="140"/>
      <c r="L213" s="140"/>
      <c r="M213" s="140"/>
      <c r="N213" s="140"/>
      <c r="O213" s="185">
        <f t="shared" si="29"/>
        <v>0</v>
      </c>
      <c r="P213" s="158">
        <f t="shared" si="24"/>
        <v>88300</v>
      </c>
      <c r="Q213" s="148">
        <f t="shared" si="30"/>
        <v>88.3</v>
      </c>
      <c r="R213" s="148">
        <f t="shared" si="31"/>
        <v>88.3</v>
      </c>
      <c r="S213" s="135" t="e">
        <f>VLOOKUP(A213,[1]Index!$E:$M,7,)</f>
        <v>#N/A</v>
      </c>
      <c r="T213" s="149" t="e">
        <f t="shared" si="25"/>
        <v>#N/A</v>
      </c>
      <c r="U213" s="150" t="e">
        <f t="shared" si="26"/>
        <v>#N/A</v>
      </c>
      <c r="V213" s="151">
        <f t="shared" si="27"/>
        <v>0</v>
      </c>
      <c r="W213" s="80" t="e">
        <f t="shared" si="28"/>
        <v>#DIV/0!</v>
      </c>
    </row>
    <row r="214" spans="1:23">
      <c r="A214" s="132" t="s">
        <v>299</v>
      </c>
      <c r="B214" s="133"/>
      <c r="C214" s="136">
        <v>169</v>
      </c>
      <c r="D214" s="136">
        <v>56</v>
      </c>
      <c r="E214" s="136">
        <v>11</v>
      </c>
      <c r="F214" s="137">
        <v>42700</v>
      </c>
      <c r="G214" s="153">
        <v>180</v>
      </c>
      <c r="H214" s="153">
        <v>46</v>
      </c>
      <c r="I214" s="153">
        <v>9</v>
      </c>
      <c r="J214" s="154">
        <v>43200</v>
      </c>
      <c r="K214" s="156">
        <v>187</v>
      </c>
      <c r="L214" s="156">
        <v>50</v>
      </c>
      <c r="M214" s="156">
        <v>9</v>
      </c>
      <c r="N214" s="156">
        <v>45800</v>
      </c>
      <c r="O214" s="185">
        <f t="shared" si="29"/>
        <v>50.118359472000009</v>
      </c>
      <c r="P214" s="158">
        <f t="shared" si="24"/>
        <v>131700</v>
      </c>
      <c r="Q214" s="148">
        <f t="shared" si="30"/>
        <v>131.69999999999999</v>
      </c>
      <c r="R214" s="148">
        <f t="shared" si="31"/>
        <v>131.69999999999999</v>
      </c>
      <c r="S214" s="135">
        <f>VLOOKUP(A214,[1]Index!$E:$M,7,)</f>
        <v>8373.4441905933163</v>
      </c>
      <c r="T214" s="149">
        <f t="shared" si="25"/>
        <v>-123326.55580940668</v>
      </c>
      <c r="U214" s="150">
        <f t="shared" si="26"/>
        <v>-14.728294952744903</v>
      </c>
      <c r="V214" s="151">
        <f t="shared" si="27"/>
        <v>9.2811776800000008</v>
      </c>
      <c r="W214" s="80">
        <f t="shared" si="28"/>
        <v>14.190009559217918</v>
      </c>
    </row>
    <row r="215" spans="1:23">
      <c r="A215" s="132" t="s">
        <v>773</v>
      </c>
      <c r="B215" s="133"/>
      <c r="C215" s="136"/>
      <c r="D215" s="136"/>
      <c r="E215" s="136"/>
      <c r="F215" s="177">
        <v>120000</v>
      </c>
      <c r="G215" s="138"/>
      <c r="H215" s="138"/>
      <c r="I215" s="138"/>
      <c r="J215" s="139"/>
      <c r="K215" s="140"/>
      <c r="L215" s="140"/>
      <c r="M215" s="140"/>
      <c r="N215" s="140"/>
      <c r="O215" s="185">
        <f t="shared" si="29"/>
        <v>0</v>
      </c>
      <c r="P215" s="158">
        <f t="shared" si="24"/>
        <v>120000</v>
      </c>
      <c r="Q215" s="148">
        <f t="shared" si="30"/>
        <v>120</v>
      </c>
      <c r="R215" s="148">
        <f t="shared" si="31"/>
        <v>120</v>
      </c>
      <c r="S215" s="135" t="e">
        <f>VLOOKUP(A215,[1]Index!$E:$M,7,)</f>
        <v>#N/A</v>
      </c>
      <c r="T215" s="149" t="e">
        <f t="shared" si="25"/>
        <v>#N/A</v>
      </c>
      <c r="U215" s="150" t="e">
        <f t="shared" si="26"/>
        <v>#N/A</v>
      </c>
      <c r="V215" s="151">
        <f t="shared" si="27"/>
        <v>0</v>
      </c>
      <c r="W215" s="80" t="e">
        <f t="shared" si="28"/>
        <v>#DIV/0!</v>
      </c>
    </row>
    <row r="216" spans="1:23">
      <c r="A216" s="132" t="s">
        <v>300</v>
      </c>
      <c r="B216" s="133"/>
      <c r="C216" s="136">
        <v>169</v>
      </c>
      <c r="D216" s="136">
        <v>56</v>
      </c>
      <c r="E216" s="136">
        <v>11</v>
      </c>
      <c r="F216" s="137">
        <v>42700</v>
      </c>
      <c r="G216" s="153">
        <v>180</v>
      </c>
      <c r="H216" s="153">
        <v>46</v>
      </c>
      <c r="I216" s="153">
        <v>9</v>
      </c>
      <c r="J216" s="154">
        <v>43200</v>
      </c>
      <c r="K216" s="156">
        <v>187</v>
      </c>
      <c r="L216" s="156">
        <v>50</v>
      </c>
      <c r="M216" s="156">
        <v>9</v>
      </c>
      <c r="N216" s="156">
        <v>41800</v>
      </c>
      <c r="O216" s="185">
        <f t="shared" si="29"/>
        <v>50.118359472000009</v>
      </c>
      <c r="P216" s="158">
        <f t="shared" si="24"/>
        <v>127700</v>
      </c>
      <c r="Q216" s="148">
        <f t="shared" si="30"/>
        <v>127.7</v>
      </c>
      <c r="R216" s="148">
        <f t="shared" si="31"/>
        <v>127.7</v>
      </c>
      <c r="S216" s="135">
        <f>VLOOKUP(A216,[1]Index!$E:$M,7,)</f>
        <v>8043.2775974306896</v>
      </c>
      <c r="T216" s="149">
        <f t="shared" si="25"/>
        <v>-119656.72240256931</v>
      </c>
      <c r="U216" s="150">
        <f t="shared" si="26"/>
        <v>-14.876612295563683</v>
      </c>
      <c r="V216" s="151">
        <f t="shared" si="27"/>
        <v>9.2811776800000008</v>
      </c>
      <c r="W216" s="80">
        <f t="shared" si="28"/>
        <v>13.759029770023753</v>
      </c>
    </row>
    <row r="217" spans="1:23">
      <c r="A217" s="132" t="s">
        <v>774</v>
      </c>
      <c r="B217" s="133"/>
      <c r="C217" s="136"/>
      <c r="D217" s="136"/>
      <c r="E217" s="136"/>
      <c r="F217" s="177">
        <v>117200</v>
      </c>
      <c r="G217" s="138"/>
      <c r="H217" s="138"/>
      <c r="I217" s="138"/>
      <c r="J217" s="139"/>
      <c r="K217" s="140"/>
      <c r="L217" s="140"/>
      <c r="M217" s="140"/>
      <c r="N217" s="140"/>
      <c r="O217" s="185">
        <f t="shared" si="29"/>
        <v>0</v>
      </c>
      <c r="P217" s="158">
        <f t="shared" si="24"/>
        <v>117200</v>
      </c>
      <c r="Q217" s="148">
        <f t="shared" si="30"/>
        <v>117.2</v>
      </c>
      <c r="R217" s="148">
        <f t="shared" si="31"/>
        <v>117.2</v>
      </c>
      <c r="S217" s="135" t="e">
        <f>VLOOKUP(A217,[1]Index!$E:$M,7,)</f>
        <v>#N/A</v>
      </c>
      <c r="T217" s="149" t="e">
        <f t="shared" si="25"/>
        <v>#N/A</v>
      </c>
      <c r="U217" s="150" t="e">
        <f t="shared" si="26"/>
        <v>#N/A</v>
      </c>
      <c r="V217" s="151">
        <f t="shared" si="27"/>
        <v>0</v>
      </c>
      <c r="W217" s="80" t="e">
        <f t="shared" si="28"/>
        <v>#DIV/0!</v>
      </c>
    </row>
    <row r="218" spans="1:23">
      <c r="A218" s="132" t="s">
        <v>301</v>
      </c>
      <c r="B218" s="133"/>
      <c r="C218" s="136">
        <v>186</v>
      </c>
      <c r="D218" s="136">
        <v>52.5</v>
      </c>
      <c r="E218" s="136">
        <v>10.5</v>
      </c>
      <c r="F218" s="137">
        <v>51500</v>
      </c>
      <c r="G218" s="153"/>
      <c r="H218" s="153"/>
      <c r="I218" s="153"/>
      <c r="J218" s="154"/>
      <c r="K218" s="156"/>
      <c r="L218" s="156"/>
      <c r="M218" s="156"/>
      <c r="N218" s="156"/>
      <c r="O218" s="185">
        <f t="shared" si="29"/>
        <v>19.555818660000003</v>
      </c>
      <c r="P218" s="158">
        <f t="shared" si="24"/>
        <v>51500</v>
      </c>
      <c r="Q218" s="148">
        <f t="shared" si="30"/>
        <v>51.5</v>
      </c>
      <c r="R218" s="148">
        <f t="shared" si="31"/>
        <v>51.5</v>
      </c>
      <c r="S218" s="135">
        <f>VLOOKUP(A218,[1]Index!$E:$M,7,)</f>
        <v>2740.2462611999999</v>
      </c>
      <c r="T218" s="149">
        <f t="shared" si="25"/>
        <v>-48759.753738799998</v>
      </c>
      <c r="U218" s="150">
        <f t="shared" si="26"/>
        <v>-17.79393130800123</v>
      </c>
      <c r="V218" s="151">
        <f t="shared" si="27"/>
        <v>3.6214479000000002</v>
      </c>
      <c r="W218" s="80">
        <f t="shared" si="28"/>
        <v>14.220831397298301</v>
      </c>
    </row>
    <row r="219" spans="1:23">
      <c r="A219" s="132" t="s">
        <v>302</v>
      </c>
      <c r="B219" s="133"/>
      <c r="C219" s="136">
        <v>185</v>
      </c>
      <c r="D219" s="136">
        <v>52</v>
      </c>
      <c r="E219" s="136">
        <v>10</v>
      </c>
      <c r="F219" s="137">
        <v>49000</v>
      </c>
      <c r="G219" s="153">
        <v>178</v>
      </c>
      <c r="H219" s="153">
        <v>43</v>
      </c>
      <c r="I219" s="153">
        <v>6</v>
      </c>
      <c r="J219" s="154">
        <v>29500</v>
      </c>
      <c r="K219" s="156"/>
      <c r="L219" s="156"/>
      <c r="M219" s="156"/>
      <c r="N219" s="156"/>
      <c r="O219" s="185">
        <f t="shared" si="29"/>
        <v>27.107026272000002</v>
      </c>
      <c r="P219" s="158">
        <f t="shared" si="24"/>
        <v>78500</v>
      </c>
      <c r="Q219" s="148">
        <f t="shared" si="30"/>
        <v>78.5</v>
      </c>
      <c r="R219" s="148">
        <f t="shared" si="31"/>
        <v>78.5</v>
      </c>
      <c r="S219" s="135">
        <f>VLOOKUP(A219,[1]Index!$E:$M,7,)</f>
        <v>3801.1903910000001</v>
      </c>
      <c r="T219" s="149">
        <f t="shared" si="25"/>
        <v>-74698.809609000004</v>
      </c>
      <c r="U219" s="150">
        <f t="shared" si="26"/>
        <v>-19.651425455000314</v>
      </c>
      <c r="V219" s="151">
        <f t="shared" si="27"/>
        <v>5.0198196800000003</v>
      </c>
      <c r="W219" s="80">
        <f t="shared" si="28"/>
        <v>15.638011921575636</v>
      </c>
    </row>
    <row r="220" spans="1:23">
      <c r="A220" s="132" t="s">
        <v>303</v>
      </c>
      <c r="B220" s="133"/>
      <c r="C220" s="136">
        <v>152</v>
      </c>
      <c r="D220" s="136">
        <v>53</v>
      </c>
      <c r="E220" s="136">
        <v>10</v>
      </c>
      <c r="F220" s="137">
        <v>33500</v>
      </c>
      <c r="G220" s="153">
        <v>180</v>
      </c>
      <c r="H220" s="153">
        <v>45</v>
      </c>
      <c r="I220" s="153">
        <v>9</v>
      </c>
      <c r="J220" s="154">
        <v>38600</v>
      </c>
      <c r="K220" s="156">
        <v>186</v>
      </c>
      <c r="L220" s="156">
        <v>50</v>
      </c>
      <c r="M220" s="156">
        <v>8</v>
      </c>
      <c r="N220" s="156">
        <v>41800</v>
      </c>
      <c r="O220" s="185">
        <f t="shared" si="29"/>
        <v>43.459282080000001</v>
      </c>
      <c r="P220" s="158">
        <f t="shared" si="24"/>
        <v>113900</v>
      </c>
      <c r="Q220" s="148">
        <f t="shared" si="30"/>
        <v>113.9</v>
      </c>
      <c r="R220" s="148">
        <f t="shared" si="31"/>
        <v>113.9</v>
      </c>
      <c r="S220" s="135">
        <f>VLOOKUP(A220,[1]Index!$E:$M,7,)</f>
        <v>5812.7847533599997</v>
      </c>
      <c r="T220" s="149">
        <f t="shared" si="25"/>
        <v>-108087.21524664</v>
      </c>
      <c r="U220" s="150">
        <f t="shared" si="26"/>
        <v>-18.594738981890167</v>
      </c>
      <c r="V220" s="151">
        <f t="shared" si="27"/>
        <v>8.0480152</v>
      </c>
      <c r="W220" s="80">
        <f t="shared" si="28"/>
        <v>14.152557763558896</v>
      </c>
    </row>
    <row r="221" spans="1:23">
      <c r="A221" s="132" t="s">
        <v>188</v>
      </c>
      <c r="B221" s="133"/>
      <c r="C221" s="136"/>
      <c r="D221" s="136"/>
      <c r="E221" s="136"/>
      <c r="F221" s="137"/>
      <c r="G221" s="138"/>
      <c r="H221" s="138"/>
      <c r="I221" s="138"/>
      <c r="J221" s="139"/>
      <c r="K221" s="140"/>
      <c r="L221" s="140"/>
      <c r="M221" s="140"/>
      <c r="N221" s="140"/>
      <c r="O221" s="185">
        <f t="shared" si="29"/>
        <v>0</v>
      </c>
      <c r="P221" s="158">
        <f t="shared" si="24"/>
        <v>0</v>
      </c>
      <c r="Q221" s="148">
        <f t="shared" si="30"/>
        <v>0</v>
      </c>
      <c r="R221" s="148">
        <f t="shared" si="31"/>
        <v>0</v>
      </c>
      <c r="S221" s="135" t="e">
        <f>VLOOKUP(A221,[1]Index!$E:$M,7,)</f>
        <v>#N/A</v>
      </c>
      <c r="T221" s="149" t="e">
        <f t="shared" si="25"/>
        <v>#N/A</v>
      </c>
      <c r="U221" s="150" t="e">
        <f t="shared" si="26"/>
        <v>#N/A</v>
      </c>
      <c r="V221" s="151">
        <f t="shared" si="27"/>
        <v>0</v>
      </c>
      <c r="W221" s="80" t="e">
        <f t="shared" si="28"/>
        <v>#DIV/0!</v>
      </c>
    </row>
    <row r="222" spans="1:23">
      <c r="A222" s="132" t="s">
        <v>304</v>
      </c>
      <c r="B222" s="133"/>
      <c r="C222" s="160">
        <v>114</v>
      </c>
      <c r="D222" s="160">
        <v>57</v>
      </c>
      <c r="E222" s="160">
        <v>4</v>
      </c>
      <c r="F222" s="161">
        <v>9000</v>
      </c>
      <c r="G222" s="153"/>
      <c r="H222" s="153"/>
      <c r="I222" s="153"/>
      <c r="J222" s="154"/>
      <c r="K222" s="156"/>
      <c r="L222" s="156"/>
      <c r="M222" s="156"/>
      <c r="N222" s="156"/>
      <c r="O222" s="185">
        <f t="shared" si="29"/>
        <v>4.9574021760000004</v>
      </c>
      <c r="P222" s="158">
        <f t="shared" si="24"/>
        <v>9000</v>
      </c>
      <c r="Q222" s="148">
        <f t="shared" si="30"/>
        <v>9</v>
      </c>
      <c r="R222" s="148">
        <f t="shared" si="31"/>
        <v>9</v>
      </c>
      <c r="S222" s="135">
        <f>VLOOKUP(A222,[1]Index!$E:$M,7,)</f>
        <v>1119.1970500076923</v>
      </c>
      <c r="T222" s="149">
        <f t="shared" si="25"/>
        <v>-7880.8029499923077</v>
      </c>
      <c r="U222" s="150">
        <f t="shared" si="26"/>
        <v>-7.0414793801843407</v>
      </c>
      <c r="V222" s="151">
        <f t="shared" si="27"/>
        <v>0.91803744000000009</v>
      </c>
      <c r="W222" s="80">
        <f t="shared" si="28"/>
        <v>9.8035217387212441</v>
      </c>
    </row>
    <row r="223" spans="1:23">
      <c r="A223" s="132" t="s">
        <v>561</v>
      </c>
      <c r="B223" s="133"/>
      <c r="C223" s="136"/>
      <c r="D223" s="136"/>
      <c r="E223" s="136"/>
      <c r="F223" s="137">
        <v>19000</v>
      </c>
      <c r="G223" s="138"/>
      <c r="H223" s="138"/>
      <c r="I223" s="138"/>
      <c r="J223" s="139"/>
      <c r="K223" s="140"/>
      <c r="L223" s="140"/>
      <c r="M223" s="140"/>
      <c r="N223" s="140"/>
      <c r="O223" s="185">
        <f t="shared" si="29"/>
        <v>0</v>
      </c>
      <c r="P223" s="158">
        <f t="shared" si="24"/>
        <v>19000</v>
      </c>
      <c r="Q223" s="148">
        <f t="shared" si="30"/>
        <v>19</v>
      </c>
      <c r="R223" s="148">
        <f t="shared" si="31"/>
        <v>19</v>
      </c>
      <c r="S223" s="135">
        <f>VLOOKUP(A223,[1]Index!$E:$M,7,)</f>
        <v>904.79078631415393</v>
      </c>
      <c r="T223" s="149">
        <f t="shared" si="25"/>
        <v>-18095.209213685845</v>
      </c>
      <c r="U223" s="150">
        <f t="shared" si="26"/>
        <v>-19.999329665369711</v>
      </c>
      <c r="V223" s="151">
        <f t="shared" si="27"/>
        <v>0</v>
      </c>
      <c r="W223" s="80" t="e">
        <f t="shared" si="28"/>
        <v>#DIV/0!</v>
      </c>
    </row>
    <row r="224" spans="1:23">
      <c r="A224" s="132" t="s">
        <v>90</v>
      </c>
      <c r="B224" s="133"/>
      <c r="C224" s="136"/>
      <c r="D224" s="136"/>
      <c r="E224" s="136"/>
      <c r="F224" s="137">
        <v>17000</v>
      </c>
      <c r="G224" s="138"/>
      <c r="H224" s="138"/>
      <c r="I224" s="138"/>
      <c r="J224" s="139"/>
      <c r="K224" s="140"/>
      <c r="L224" s="140"/>
      <c r="M224" s="140"/>
      <c r="N224" s="140"/>
      <c r="O224" s="185">
        <f t="shared" si="29"/>
        <v>0</v>
      </c>
      <c r="P224" s="158">
        <f t="shared" si="24"/>
        <v>17000</v>
      </c>
      <c r="Q224" s="148">
        <f t="shared" si="30"/>
        <v>17</v>
      </c>
      <c r="R224" s="148">
        <f t="shared" si="31"/>
        <v>17</v>
      </c>
      <c r="S224" s="135" t="e">
        <f>VLOOKUP(A224,[1]Index!$E:$M,7,)</f>
        <v>#N/A</v>
      </c>
      <c r="T224" s="149" t="e">
        <f t="shared" si="25"/>
        <v>#N/A</v>
      </c>
      <c r="U224" s="150" t="e">
        <f t="shared" si="26"/>
        <v>#N/A</v>
      </c>
      <c r="V224" s="151">
        <f t="shared" si="27"/>
        <v>0</v>
      </c>
      <c r="W224" s="80" t="e">
        <f t="shared" si="28"/>
        <v>#DIV/0!</v>
      </c>
    </row>
    <row r="225" spans="1:23">
      <c r="A225" s="132" t="s">
        <v>92</v>
      </c>
      <c r="B225" s="133"/>
      <c r="C225" s="136"/>
      <c r="D225" s="136"/>
      <c r="E225" s="136"/>
      <c r="F225" s="137">
        <v>17000</v>
      </c>
      <c r="G225" s="138"/>
      <c r="H225" s="138"/>
      <c r="I225" s="138"/>
      <c r="J225" s="139"/>
      <c r="K225" s="140"/>
      <c r="L225" s="140"/>
      <c r="M225" s="140"/>
      <c r="N225" s="140"/>
      <c r="O225" s="185">
        <f t="shared" si="29"/>
        <v>0</v>
      </c>
      <c r="P225" s="158">
        <f t="shared" si="24"/>
        <v>17000</v>
      </c>
      <c r="Q225" s="148">
        <f t="shared" si="30"/>
        <v>17</v>
      </c>
      <c r="R225" s="148">
        <f t="shared" si="31"/>
        <v>17</v>
      </c>
      <c r="S225" s="135">
        <f>VLOOKUP(A225,[1]Index!$E:$M,7,)</f>
        <v>725.1632734981539</v>
      </c>
      <c r="T225" s="149">
        <f t="shared" si="25"/>
        <v>-16274.836726501846</v>
      </c>
      <c r="U225" s="150">
        <f t="shared" si="26"/>
        <v>-22.442996386169408</v>
      </c>
      <c r="V225" s="151">
        <f t="shared" si="27"/>
        <v>0</v>
      </c>
      <c r="W225" s="80" t="e">
        <f t="shared" si="28"/>
        <v>#DIV/0!</v>
      </c>
    </row>
    <row r="226" spans="1:23">
      <c r="A226" s="178" t="s">
        <v>97</v>
      </c>
      <c r="B226" s="133"/>
      <c r="C226" s="136"/>
      <c r="D226" s="136"/>
      <c r="E226" s="136"/>
      <c r="F226" s="137">
        <v>40000</v>
      </c>
      <c r="G226" s="138"/>
      <c r="H226" s="138"/>
      <c r="I226" s="138"/>
      <c r="J226" s="139"/>
      <c r="K226" s="140"/>
      <c r="L226" s="140"/>
      <c r="M226" s="140"/>
      <c r="N226" s="140"/>
      <c r="O226" s="185">
        <f t="shared" si="29"/>
        <v>0</v>
      </c>
      <c r="P226" s="158">
        <f t="shared" si="24"/>
        <v>40000</v>
      </c>
      <c r="Q226" s="148">
        <f t="shared" si="30"/>
        <v>40</v>
      </c>
      <c r="R226" s="148">
        <f t="shared" si="31"/>
        <v>40</v>
      </c>
      <c r="S226" s="135">
        <f>VLOOKUP(A226,[1]Index!$E:$M,7,)</f>
        <v>2452.8950360285689</v>
      </c>
      <c r="T226" s="149">
        <f t="shared" si="25"/>
        <v>-37547.104963971433</v>
      </c>
      <c r="U226" s="150">
        <f t="shared" si="26"/>
        <v>-15.307261180145387</v>
      </c>
      <c r="V226" s="151">
        <f t="shared" si="27"/>
        <v>0</v>
      </c>
      <c r="W226" s="80" t="e">
        <f t="shared" si="28"/>
        <v>#DIV/0!</v>
      </c>
    </row>
    <row r="227" spans="1:23">
      <c r="A227" s="178" t="s">
        <v>98</v>
      </c>
      <c r="B227" s="133"/>
      <c r="C227" s="136"/>
      <c r="D227" s="136"/>
      <c r="E227" s="136"/>
      <c r="F227" s="137">
        <v>60000</v>
      </c>
      <c r="G227" s="138"/>
      <c r="H227" s="138"/>
      <c r="I227" s="138"/>
      <c r="J227" s="139"/>
      <c r="K227" s="140"/>
      <c r="L227" s="140"/>
      <c r="M227" s="140"/>
      <c r="N227" s="140"/>
      <c r="O227" s="185">
        <f t="shared" si="29"/>
        <v>0</v>
      </c>
      <c r="P227" s="158">
        <f t="shared" si="24"/>
        <v>60000</v>
      </c>
      <c r="Q227" s="148">
        <f t="shared" si="30"/>
        <v>60</v>
      </c>
      <c r="R227" s="148">
        <f t="shared" si="31"/>
        <v>60</v>
      </c>
      <c r="S227" s="135">
        <f>VLOOKUP(A227,[1]Index!$E:$M,7,)</f>
        <v>3951.2687659467028</v>
      </c>
      <c r="T227" s="149">
        <f t="shared" si="25"/>
        <v>-56048.731234053295</v>
      </c>
      <c r="U227" s="150">
        <f t="shared" si="26"/>
        <v>-14.184995897292326</v>
      </c>
      <c r="V227" s="151">
        <f t="shared" si="27"/>
        <v>0</v>
      </c>
      <c r="W227" s="80" t="e">
        <f t="shared" si="28"/>
        <v>#DIV/0!</v>
      </c>
    </row>
    <row r="228" spans="1:23">
      <c r="A228" s="178" t="s">
        <v>99</v>
      </c>
      <c r="B228" s="133"/>
      <c r="C228" s="136"/>
      <c r="D228" s="136"/>
      <c r="E228" s="136"/>
      <c r="F228" s="137">
        <v>40000</v>
      </c>
      <c r="G228" s="138"/>
      <c r="H228" s="138"/>
      <c r="I228" s="138"/>
      <c r="J228" s="139"/>
      <c r="K228" s="140"/>
      <c r="L228" s="140"/>
      <c r="M228" s="140"/>
      <c r="N228" s="140"/>
      <c r="O228" s="185">
        <f t="shared" si="29"/>
        <v>0</v>
      </c>
      <c r="P228" s="158">
        <f t="shared" si="24"/>
        <v>40000</v>
      </c>
      <c r="Q228" s="148">
        <f t="shared" si="30"/>
        <v>40</v>
      </c>
      <c r="R228" s="148">
        <f t="shared" si="31"/>
        <v>40</v>
      </c>
      <c r="S228" s="135">
        <f>VLOOKUP(A228,[1]Index!$E:$M,7,)</f>
        <v>2606.9001997075693</v>
      </c>
      <c r="T228" s="149">
        <f t="shared" si="25"/>
        <v>-37393.099800292432</v>
      </c>
      <c r="U228" s="150">
        <f t="shared" si="26"/>
        <v>-14.3438938723036</v>
      </c>
      <c r="V228" s="151">
        <f t="shared" si="27"/>
        <v>0</v>
      </c>
      <c r="W228" s="80" t="e">
        <f t="shared" si="28"/>
        <v>#DIV/0!</v>
      </c>
    </row>
    <row r="229" spans="1:23">
      <c r="A229" s="178" t="s">
        <v>104</v>
      </c>
      <c r="B229" s="133"/>
      <c r="C229" s="136"/>
      <c r="D229" s="136"/>
      <c r="E229" s="136"/>
      <c r="F229" s="137">
        <v>10000</v>
      </c>
      <c r="G229" s="138"/>
      <c r="H229" s="138"/>
      <c r="I229" s="138"/>
      <c r="J229" s="139"/>
      <c r="K229" s="140"/>
      <c r="L229" s="140"/>
      <c r="M229" s="140"/>
      <c r="N229" s="140"/>
      <c r="O229" s="185">
        <f t="shared" si="29"/>
        <v>0</v>
      </c>
      <c r="P229" s="158">
        <f t="shared" si="24"/>
        <v>10000</v>
      </c>
      <c r="Q229" s="148">
        <f t="shared" si="30"/>
        <v>10</v>
      </c>
      <c r="R229" s="148">
        <f t="shared" si="31"/>
        <v>10</v>
      </c>
      <c r="S229" s="135">
        <f>VLOOKUP(A229,[1]Index!$E:$M,7,)</f>
        <v>555.53734741415826</v>
      </c>
      <c r="T229" s="149">
        <f t="shared" si="25"/>
        <v>-9444.4626525858421</v>
      </c>
      <c r="U229" s="150">
        <f t="shared" si="26"/>
        <v>-17.000589963117111</v>
      </c>
      <c r="V229" s="151">
        <f t="shared" si="27"/>
        <v>0</v>
      </c>
      <c r="W229" s="80" t="e">
        <f t="shared" si="28"/>
        <v>#DIV/0!</v>
      </c>
    </row>
    <row r="230" spans="1:23">
      <c r="A230" s="178" t="s">
        <v>108</v>
      </c>
      <c r="B230" s="133"/>
      <c r="C230" s="136"/>
      <c r="D230" s="136"/>
      <c r="E230" s="136"/>
      <c r="F230" s="137">
        <v>1000</v>
      </c>
      <c r="G230" s="138"/>
      <c r="H230" s="138"/>
      <c r="I230" s="138"/>
      <c r="J230" s="139"/>
      <c r="K230" s="140"/>
      <c r="L230" s="140"/>
      <c r="M230" s="140"/>
      <c r="N230" s="140"/>
      <c r="O230" s="185">
        <f t="shared" si="29"/>
        <v>0</v>
      </c>
      <c r="P230" s="158">
        <f t="shared" si="24"/>
        <v>1000</v>
      </c>
      <c r="Q230" s="148">
        <f t="shared" si="30"/>
        <v>1</v>
      </c>
      <c r="R230" s="148">
        <f t="shared" si="31"/>
        <v>1</v>
      </c>
      <c r="S230" s="135">
        <f>VLOOKUP(A230,[1]Index!$E:$M,7,)</f>
        <v>70.896224377182776</v>
      </c>
      <c r="T230" s="149">
        <f t="shared" si="25"/>
        <v>-929.10377562281724</v>
      </c>
      <c r="U230" s="150">
        <f t="shared" si="26"/>
        <v>-13.105123492610698</v>
      </c>
      <c r="V230" s="151">
        <f t="shared" si="27"/>
        <v>0</v>
      </c>
      <c r="W230" s="80" t="e">
        <f t="shared" si="28"/>
        <v>#DIV/0!</v>
      </c>
    </row>
    <row r="231" spans="1:23">
      <c r="A231" s="170" t="s">
        <v>120</v>
      </c>
      <c r="B231" s="133"/>
      <c r="C231" s="136"/>
      <c r="D231" s="136"/>
      <c r="E231" s="136"/>
      <c r="F231" s="137">
        <v>3500</v>
      </c>
      <c r="G231" s="138"/>
      <c r="H231" s="138"/>
      <c r="I231" s="138"/>
      <c r="J231" s="139"/>
      <c r="K231" s="140"/>
      <c r="L231" s="140"/>
      <c r="M231" s="140"/>
      <c r="N231" s="140"/>
      <c r="O231" s="185">
        <f t="shared" si="29"/>
        <v>0</v>
      </c>
      <c r="P231" s="158">
        <f t="shared" si="24"/>
        <v>3500</v>
      </c>
      <c r="Q231" s="148">
        <f t="shared" si="30"/>
        <v>3.5</v>
      </c>
      <c r="R231" s="148">
        <f t="shared" si="31"/>
        <v>3.5</v>
      </c>
      <c r="S231" s="135">
        <f>VLOOKUP(A231,[1]Index!$E:$M,7,)</f>
        <v>215.94309655670941</v>
      </c>
      <c r="T231" s="149">
        <f t="shared" si="25"/>
        <v>-3284.0569034432906</v>
      </c>
      <c r="U231" s="150">
        <f t="shared" si="26"/>
        <v>-15.207973562520696</v>
      </c>
      <c r="V231" s="151">
        <f t="shared" si="27"/>
        <v>0</v>
      </c>
      <c r="W231" s="80" t="e">
        <f t="shared" si="28"/>
        <v>#DIV/0!</v>
      </c>
    </row>
    <row r="232" spans="1:23">
      <c r="A232" s="132" t="s">
        <v>151</v>
      </c>
      <c r="B232" s="133"/>
      <c r="C232" s="136"/>
      <c r="D232" s="136"/>
      <c r="E232" s="136"/>
      <c r="F232" s="137">
        <v>23000</v>
      </c>
      <c r="G232" s="138"/>
      <c r="H232" s="138"/>
      <c r="I232" s="138"/>
      <c r="J232" s="139"/>
      <c r="K232" s="140"/>
      <c r="L232" s="140"/>
      <c r="M232" s="140"/>
      <c r="N232" s="140"/>
      <c r="O232" s="185">
        <f t="shared" si="29"/>
        <v>0</v>
      </c>
      <c r="P232" s="158">
        <f t="shared" si="24"/>
        <v>23000</v>
      </c>
      <c r="Q232" s="148">
        <f t="shared" si="30"/>
        <v>23</v>
      </c>
      <c r="R232" s="148">
        <f t="shared" si="31"/>
        <v>23</v>
      </c>
      <c r="S232" s="135" t="e">
        <f>VLOOKUP(A232,[1]Index!$E:$M,7,)</f>
        <v>#N/A</v>
      </c>
      <c r="T232" s="149" t="e">
        <f t="shared" si="25"/>
        <v>#N/A</v>
      </c>
      <c r="U232" s="150" t="e">
        <f t="shared" si="26"/>
        <v>#N/A</v>
      </c>
      <c r="V232" s="151">
        <f t="shared" si="27"/>
        <v>0</v>
      </c>
      <c r="W232" s="80" t="e">
        <f t="shared" si="28"/>
        <v>#DIV/0!</v>
      </c>
    </row>
    <row r="233" spans="1:23">
      <c r="A233" s="178" t="s">
        <v>155</v>
      </c>
      <c r="B233" s="133"/>
      <c r="C233" s="136"/>
      <c r="D233" s="136"/>
      <c r="E233" s="136"/>
      <c r="F233" s="137">
        <v>14000</v>
      </c>
      <c r="G233" s="138"/>
      <c r="H233" s="138"/>
      <c r="I233" s="138"/>
      <c r="J233" s="139"/>
      <c r="K233" s="140"/>
      <c r="L233" s="140"/>
      <c r="M233" s="140"/>
      <c r="N233" s="140"/>
      <c r="O233" s="185">
        <f t="shared" si="29"/>
        <v>0</v>
      </c>
      <c r="P233" s="158">
        <f t="shared" si="24"/>
        <v>14000</v>
      </c>
      <c r="Q233" s="148">
        <f t="shared" si="30"/>
        <v>14</v>
      </c>
      <c r="R233" s="148">
        <f t="shared" si="31"/>
        <v>14</v>
      </c>
      <c r="S233" s="135">
        <f>VLOOKUP(A233,[1]Index!$E:$M,7,)</f>
        <v>631.62160699046353</v>
      </c>
      <c r="T233" s="149">
        <f t="shared" si="25"/>
        <v>-13368.378393009536</v>
      </c>
      <c r="U233" s="150">
        <f t="shared" si="26"/>
        <v>-21.165169533554884</v>
      </c>
      <c r="V233" s="151">
        <f t="shared" si="27"/>
        <v>0</v>
      </c>
      <c r="W233" s="80" t="e">
        <f t="shared" si="28"/>
        <v>#DIV/0!</v>
      </c>
    </row>
    <row r="234" spans="1:23">
      <c r="A234" s="178" t="s">
        <v>160</v>
      </c>
      <c r="B234" s="133"/>
      <c r="C234" s="136"/>
      <c r="D234" s="136"/>
      <c r="E234" s="136"/>
      <c r="F234" s="137">
        <v>27000</v>
      </c>
      <c r="G234" s="138"/>
      <c r="H234" s="138"/>
      <c r="I234" s="138"/>
      <c r="J234" s="139"/>
      <c r="K234" s="140"/>
      <c r="L234" s="140"/>
      <c r="M234" s="140"/>
      <c r="N234" s="140"/>
      <c r="O234" s="185">
        <f t="shared" si="29"/>
        <v>0</v>
      </c>
      <c r="P234" s="158">
        <f t="shared" si="24"/>
        <v>27000</v>
      </c>
      <c r="Q234" s="148">
        <f t="shared" si="30"/>
        <v>27</v>
      </c>
      <c r="R234" s="148">
        <f t="shared" si="31"/>
        <v>27</v>
      </c>
      <c r="S234" s="135">
        <f>VLOOKUP(A234,[1]Index!$E:$M,7,)</f>
        <v>1041.160582</v>
      </c>
      <c r="T234" s="149">
        <f t="shared" si="25"/>
        <v>-25958.839418</v>
      </c>
      <c r="U234" s="150">
        <f t="shared" si="26"/>
        <v>-24.932599127153665</v>
      </c>
      <c r="V234" s="151">
        <f t="shared" si="27"/>
        <v>0</v>
      </c>
      <c r="W234" s="80" t="e">
        <f t="shared" si="28"/>
        <v>#DIV/0!</v>
      </c>
    </row>
    <row r="235" spans="1:23">
      <c r="A235" s="178" t="s">
        <v>175</v>
      </c>
      <c r="B235" s="133"/>
      <c r="C235" s="136"/>
      <c r="D235" s="136"/>
      <c r="E235" s="136"/>
      <c r="F235" s="137">
        <v>11000</v>
      </c>
      <c r="G235" s="138"/>
      <c r="H235" s="138"/>
      <c r="I235" s="138"/>
      <c r="J235" s="139"/>
      <c r="K235" s="140"/>
      <c r="L235" s="140"/>
      <c r="M235" s="140"/>
      <c r="N235" s="140"/>
      <c r="O235" s="185">
        <f t="shared" si="29"/>
        <v>0</v>
      </c>
      <c r="P235" s="158">
        <f t="shared" si="24"/>
        <v>11000</v>
      </c>
      <c r="Q235" s="148">
        <f t="shared" si="30"/>
        <v>11</v>
      </c>
      <c r="R235" s="148">
        <f t="shared" si="31"/>
        <v>11</v>
      </c>
      <c r="S235" s="135">
        <f>VLOOKUP(A235,[1]Index!$E:$M,7,)</f>
        <v>645.83933999999999</v>
      </c>
      <c r="T235" s="149">
        <f t="shared" si="25"/>
        <v>-10354.16066</v>
      </c>
      <c r="U235" s="150">
        <f t="shared" si="26"/>
        <v>-16.032099655000884</v>
      </c>
      <c r="V235" s="151">
        <f t="shared" si="27"/>
        <v>0</v>
      </c>
      <c r="W235" s="80" t="e">
        <f t="shared" si="28"/>
        <v>#DIV/0!</v>
      </c>
    </row>
    <row r="236" spans="1:23">
      <c r="A236" s="178" t="s">
        <v>204</v>
      </c>
      <c r="B236" s="133"/>
      <c r="C236" s="136"/>
      <c r="D236" s="136"/>
      <c r="E236" s="136"/>
      <c r="F236" s="137">
        <v>26000</v>
      </c>
      <c r="G236" s="138"/>
      <c r="H236" s="138"/>
      <c r="I236" s="138"/>
      <c r="J236" s="139"/>
      <c r="K236" s="140"/>
      <c r="L236" s="140"/>
      <c r="M236" s="140"/>
      <c r="N236" s="140"/>
      <c r="O236" s="185">
        <f t="shared" si="29"/>
        <v>0</v>
      </c>
      <c r="P236" s="158">
        <f t="shared" si="24"/>
        <v>26000</v>
      </c>
      <c r="Q236" s="148">
        <f t="shared" si="30"/>
        <v>26</v>
      </c>
      <c r="R236" s="148">
        <f t="shared" si="31"/>
        <v>26</v>
      </c>
      <c r="S236" s="135">
        <f>VLOOKUP(A236,[1]Index!$E:$M,7,)</f>
        <v>2005.5570122275176</v>
      </c>
      <c r="T236" s="149">
        <f t="shared" si="25"/>
        <v>-23994.442987772483</v>
      </c>
      <c r="U236" s="150">
        <f t="shared" si="26"/>
        <v>-11.963979503690354</v>
      </c>
      <c r="V236" s="151">
        <f t="shared" si="27"/>
        <v>0</v>
      </c>
      <c r="W236" s="80" t="e">
        <f t="shared" si="28"/>
        <v>#DIV/0!</v>
      </c>
    </row>
    <row r="237" spans="1:23">
      <c r="A237" s="178" t="s">
        <v>227</v>
      </c>
      <c r="B237" s="133"/>
      <c r="C237" s="136"/>
      <c r="D237" s="136"/>
      <c r="E237" s="136"/>
      <c r="F237" s="137">
        <v>44000</v>
      </c>
      <c r="G237" s="138"/>
      <c r="H237" s="138"/>
      <c r="I237" s="138"/>
      <c r="J237" s="139"/>
      <c r="K237" s="140"/>
      <c r="L237" s="140"/>
      <c r="M237" s="140"/>
      <c r="N237" s="140"/>
      <c r="O237" s="185">
        <f t="shared" si="29"/>
        <v>0</v>
      </c>
      <c r="P237" s="158">
        <f t="shared" si="24"/>
        <v>44000</v>
      </c>
      <c r="Q237" s="148">
        <f t="shared" si="30"/>
        <v>44</v>
      </c>
      <c r="R237" s="148">
        <f t="shared" si="31"/>
        <v>44</v>
      </c>
      <c r="S237" s="135">
        <f>VLOOKUP(A237,[1]Index!$E:$M,7,)</f>
        <v>2538.2561403886448</v>
      </c>
      <c r="T237" s="149">
        <f t="shared" si="25"/>
        <v>-41461.743859611357</v>
      </c>
      <c r="U237" s="150">
        <f t="shared" si="26"/>
        <v>-16.334735962960359</v>
      </c>
      <c r="V237" s="151">
        <f t="shared" si="27"/>
        <v>0</v>
      </c>
      <c r="W237" s="80" t="e">
        <f t="shared" si="28"/>
        <v>#DIV/0!</v>
      </c>
    </row>
    <row r="238" spans="1:23">
      <c r="A238" s="178" t="s">
        <v>244</v>
      </c>
      <c r="B238" s="133"/>
      <c r="C238" s="136"/>
      <c r="D238" s="136"/>
      <c r="E238" s="136"/>
      <c r="F238" s="137">
        <v>17000</v>
      </c>
      <c r="G238" s="138"/>
      <c r="H238" s="138"/>
      <c r="I238" s="138"/>
      <c r="J238" s="139"/>
      <c r="K238" s="140"/>
      <c r="L238" s="140"/>
      <c r="M238" s="140"/>
      <c r="N238" s="140"/>
      <c r="O238" s="185">
        <f t="shared" si="29"/>
        <v>0</v>
      </c>
      <c r="P238" s="158">
        <f t="shared" si="24"/>
        <v>17000</v>
      </c>
      <c r="Q238" s="148">
        <f t="shared" si="30"/>
        <v>17</v>
      </c>
      <c r="R238" s="148">
        <f t="shared" si="31"/>
        <v>17</v>
      </c>
      <c r="S238" s="135">
        <f>VLOOKUP(A238,[1]Index!$E:$M,7,)</f>
        <v>951.60595293630752</v>
      </c>
      <c r="T238" s="149">
        <f t="shared" si="25"/>
        <v>-16048.394047063692</v>
      </c>
      <c r="U238" s="150">
        <f t="shared" si="26"/>
        <v>-16.864537256775481</v>
      </c>
      <c r="V238" s="151">
        <f t="shared" si="27"/>
        <v>0</v>
      </c>
      <c r="W238" s="80" t="e">
        <f t="shared" si="28"/>
        <v>#DIV/0!</v>
      </c>
    </row>
    <row r="239" spans="1:23">
      <c r="A239" s="132" t="s">
        <v>608</v>
      </c>
      <c r="B239" s="133"/>
      <c r="C239" s="136"/>
      <c r="D239" s="136"/>
      <c r="E239" s="136"/>
      <c r="F239" s="137">
        <v>8300</v>
      </c>
      <c r="G239" s="138"/>
      <c r="H239" s="138"/>
      <c r="I239" s="138"/>
      <c r="J239" s="139"/>
      <c r="K239" s="140"/>
      <c r="L239" s="140"/>
      <c r="M239" s="140"/>
      <c r="N239" s="140"/>
      <c r="O239" s="185">
        <f t="shared" si="29"/>
        <v>0</v>
      </c>
      <c r="P239" s="158">
        <f t="shared" si="24"/>
        <v>8300</v>
      </c>
      <c r="Q239" s="148">
        <f t="shared" si="30"/>
        <v>8.3000000000000007</v>
      </c>
      <c r="R239" s="148">
        <f t="shared" si="31"/>
        <v>8.3000000000000007</v>
      </c>
      <c r="S239" s="135" t="e">
        <f>VLOOKUP(A239,[1]Index!$E:$M,7,)</f>
        <v>#N/A</v>
      </c>
      <c r="T239" s="149" t="e">
        <f t="shared" si="25"/>
        <v>#N/A</v>
      </c>
      <c r="U239" s="150" t="e">
        <f t="shared" si="26"/>
        <v>#N/A</v>
      </c>
      <c r="V239" s="151">
        <f t="shared" si="27"/>
        <v>0</v>
      </c>
      <c r="W239" s="80" t="e">
        <f t="shared" si="28"/>
        <v>#DIV/0!</v>
      </c>
    </row>
    <row r="240" spans="1:23">
      <c r="A240" s="178" t="s">
        <v>260</v>
      </c>
      <c r="B240" s="133"/>
      <c r="C240" s="136"/>
      <c r="D240" s="136"/>
      <c r="E240" s="136"/>
      <c r="F240" s="137">
        <v>45000</v>
      </c>
      <c r="G240" s="138"/>
      <c r="H240" s="138"/>
      <c r="I240" s="138"/>
      <c r="J240" s="139"/>
      <c r="K240" s="140"/>
      <c r="L240" s="140"/>
      <c r="M240" s="140"/>
      <c r="N240" s="140"/>
      <c r="O240" s="185">
        <f t="shared" si="29"/>
        <v>0</v>
      </c>
      <c r="P240" s="158">
        <f t="shared" si="24"/>
        <v>45000</v>
      </c>
      <c r="Q240" s="148">
        <f t="shared" si="30"/>
        <v>45</v>
      </c>
      <c r="R240" s="148">
        <f t="shared" si="31"/>
        <v>45</v>
      </c>
      <c r="S240" s="135">
        <f>VLOOKUP(A240,[1]Index!$E:$M,7,)</f>
        <v>2784.797293378313</v>
      </c>
      <c r="T240" s="149">
        <f t="shared" si="25"/>
        <v>-42215.202706621683</v>
      </c>
      <c r="U240" s="150">
        <f t="shared" si="26"/>
        <v>-15.159165375160674</v>
      </c>
      <c r="V240" s="151">
        <f t="shared" si="27"/>
        <v>0</v>
      </c>
      <c r="W240" s="80" t="e">
        <f t="shared" si="28"/>
        <v>#DIV/0!</v>
      </c>
    </row>
    <row r="241" spans="1:23">
      <c r="A241" s="178" t="s">
        <v>281</v>
      </c>
      <c r="B241" s="133"/>
      <c r="C241" s="136"/>
      <c r="D241" s="136"/>
      <c r="E241" s="136"/>
      <c r="F241" s="137">
        <v>17000</v>
      </c>
      <c r="G241" s="138"/>
      <c r="H241" s="138"/>
      <c r="I241" s="138"/>
      <c r="J241" s="139"/>
      <c r="K241" s="140"/>
      <c r="L241" s="140"/>
      <c r="M241" s="140"/>
      <c r="N241" s="140"/>
      <c r="O241" s="185">
        <f t="shared" si="29"/>
        <v>0</v>
      </c>
      <c r="P241" s="158">
        <f t="shared" si="24"/>
        <v>17000</v>
      </c>
      <c r="Q241" s="148">
        <f t="shared" si="30"/>
        <v>17</v>
      </c>
      <c r="R241" s="148">
        <f t="shared" si="31"/>
        <v>17</v>
      </c>
      <c r="S241" s="135">
        <f>VLOOKUP(A241,[1]Index!$E:$M,7,)</f>
        <v>766.00236325638468</v>
      </c>
      <c r="T241" s="149">
        <f t="shared" si="25"/>
        <v>-16233.997636743616</v>
      </c>
      <c r="U241" s="150">
        <f t="shared" si="26"/>
        <v>-21.193143018163273</v>
      </c>
      <c r="V241" s="151">
        <f t="shared" si="27"/>
        <v>0</v>
      </c>
      <c r="W241" s="80" t="e">
        <f t="shared" si="28"/>
        <v>#DIV/0!</v>
      </c>
    </row>
    <row r="242" spans="1:23">
      <c r="A242" s="178" t="s">
        <v>374</v>
      </c>
      <c r="B242" s="133"/>
      <c r="C242" s="136"/>
      <c r="D242" s="136"/>
      <c r="E242" s="136"/>
      <c r="F242" s="137">
        <v>14000</v>
      </c>
      <c r="G242" s="138"/>
      <c r="H242" s="138"/>
      <c r="I242" s="138"/>
      <c r="J242" s="139"/>
      <c r="K242" s="140"/>
      <c r="L242" s="140"/>
      <c r="M242" s="140"/>
      <c r="N242" s="140"/>
      <c r="O242" s="185">
        <f t="shared" si="29"/>
        <v>0</v>
      </c>
      <c r="P242" s="158">
        <f t="shared" si="24"/>
        <v>14000</v>
      </c>
      <c r="Q242" s="148">
        <f t="shared" si="30"/>
        <v>14</v>
      </c>
      <c r="R242" s="148">
        <f t="shared" si="31"/>
        <v>14</v>
      </c>
      <c r="S242" s="135">
        <f>VLOOKUP(A242,[1]Index!$E:$M,7,)</f>
        <v>706.10776407692299</v>
      </c>
      <c r="T242" s="149">
        <f t="shared" si="25"/>
        <v>-13293.892235923076</v>
      </c>
      <c r="U242" s="150">
        <f t="shared" si="26"/>
        <v>-18.827001928383904</v>
      </c>
      <c r="V242" s="151">
        <f t="shared" si="27"/>
        <v>0</v>
      </c>
      <c r="W242" s="80" t="e">
        <f t="shared" si="28"/>
        <v>#DIV/0!</v>
      </c>
    </row>
    <row r="243" spans="1:23">
      <c r="A243" s="178" t="s">
        <v>288</v>
      </c>
      <c r="B243" s="133"/>
      <c r="C243" s="136"/>
      <c r="D243" s="136"/>
      <c r="E243" s="136"/>
      <c r="F243" s="137">
        <v>30000</v>
      </c>
      <c r="G243" s="138"/>
      <c r="H243" s="138"/>
      <c r="I243" s="138"/>
      <c r="J243" s="139"/>
      <c r="K243" s="140"/>
      <c r="L243" s="140"/>
      <c r="M243" s="140"/>
      <c r="N243" s="140"/>
      <c r="O243" s="185">
        <f t="shared" si="29"/>
        <v>0</v>
      </c>
      <c r="P243" s="158">
        <f t="shared" si="24"/>
        <v>30000</v>
      </c>
      <c r="Q243" s="148">
        <f t="shared" si="30"/>
        <v>30</v>
      </c>
      <c r="R243" s="148">
        <f t="shared" si="31"/>
        <v>30</v>
      </c>
      <c r="S243" s="135">
        <f>VLOOKUP(A243,[1]Index!$E:$M,7,)</f>
        <v>1739.011266253671</v>
      </c>
      <c r="T243" s="149">
        <f t="shared" si="25"/>
        <v>-28260.98873374633</v>
      </c>
      <c r="U243" s="150">
        <f t="shared" si="26"/>
        <v>-16.251182083845038</v>
      </c>
      <c r="V243" s="151">
        <f t="shared" si="27"/>
        <v>0</v>
      </c>
      <c r="W243" s="80" t="e">
        <f t="shared" si="28"/>
        <v>#DIV/0!</v>
      </c>
    </row>
    <row r="244" spans="1:23">
      <c r="A244" s="132" t="s">
        <v>290</v>
      </c>
      <c r="B244" s="133"/>
      <c r="C244" s="136"/>
      <c r="D244" s="136"/>
      <c r="E244" s="136"/>
      <c r="F244" s="137">
        <v>1000</v>
      </c>
      <c r="G244" s="138"/>
      <c r="H244" s="138"/>
      <c r="I244" s="138"/>
      <c r="J244" s="139"/>
      <c r="K244" s="140"/>
      <c r="L244" s="140"/>
      <c r="M244" s="140"/>
      <c r="N244" s="140"/>
      <c r="O244" s="185">
        <f t="shared" si="29"/>
        <v>0</v>
      </c>
      <c r="P244" s="158">
        <f t="shared" si="24"/>
        <v>1000</v>
      </c>
      <c r="Q244" s="148">
        <f t="shared" si="30"/>
        <v>1</v>
      </c>
      <c r="R244" s="148">
        <f t="shared" si="31"/>
        <v>1</v>
      </c>
      <c r="S244" s="135">
        <f>VLOOKUP(A244,[1]Index!$E:$M,7,)</f>
        <v>172.3850578303078</v>
      </c>
      <c r="T244" s="149">
        <f t="shared" si="25"/>
        <v>-827.6149421696922</v>
      </c>
      <c r="U244" s="150">
        <f t="shared" si="26"/>
        <v>-4.8009668157223864</v>
      </c>
      <c r="V244" s="151">
        <f t="shared" si="27"/>
        <v>0</v>
      </c>
      <c r="W244" s="80" t="e">
        <f t="shared" si="28"/>
        <v>#DIV/0!</v>
      </c>
    </row>
    <row r="245" spans="1:23">
      <c r="A245" s="132" t="s">
        <v>291</v>
      </c>
      <c r="B245" s="133"/>
      <c r="C245" s="136"/>
      <c r="D245" s="136"/>
      <c r="E245" s="136"/>
      <c r="F245" s="137">
        <v>1000</v>
      </c>
      <c r="G245" s="138"/>
      <c r="H245" s="138"/>
      <c r="I245" s="138"/>
      <c r="J245" s="139"/>
      <c r="K245" s="140"/>
      <c r="L245" s="140"/>
      <c r="M245" s="140"/>
      <c r="N245" s="140"/>
      <c r="O245" s="185">
        <f t="shared" si="29"/>
        <v>0</v>
      </c>
      <c r="P245" s="158">
        <f t="shared" si="24"/>
        <v>1000</v>
      </c>
      <c r="Q245" s="148">
        <f t="shared" si="30"/>
        <v>1</v>
      </c>
      <c r="R245" s="148">
        <f t="shared" si="31"/>
        <v>1</v>
      </c>
      <c r="S245" s="135">
        <f>VLOOKUP(A245,[1]Index!$E:$M,7,)</f>
        <v>107.81275783030777</v>
      </c>
      <c r="T245" s="149">
        <f t="shared" si="25"/>
        <v>-892.18724216969224</v>
      </c>
      <c r="U245" s="150">
        <f t="shared" si="26"/>
        <v>-8.2753401371473405</v>
      </c>
      <c r="V245" s="151">
        <f t="shared" si="27"/>
        <v>0</v>
      </c>
      <c r="W245" s="80" t="e">
        <f t="shared" si="28"/>
        <v>#DIV/0!</v>
      </c>
    </row>
    <row r="246" spans="1:23" ht="15">
      <c r="A246" s="129" t="s">
        <v>190</v>
      </c>
      <c r="B246" s="133"/>
      <c r="C246" s="136"/>
      <c r="D246" s="136"/>
      <c r="E246" s="136"/>
      <c r="F246" s="137">
        <v>24000</v>
      </c>
      <c r="G246" s="138"/>
      <c r="H246" s="138"/>
      <c r="I246" s="138"/>
      <c r="J246" s="139"/>
      <c r="K246" s="140"/>
      <c r="L246" s="140"/>
      <c r="M246" s="140"/>
      <c r="N246" s="140"/>
      <c r="O246" s="185">
        <f t="shared" si="29"/>
        <v>0</v>
      </c>
      <c r="P246" s="158">
        <f t="shared" si="24"/>
        <v>24000</v>
      </c>
      <c r="Q246" s="148">
        <f t="shared" si="30"/>
        <v>24</v>
      </c>
      <c r="R246" s="148">
        <f t="shared" si="31"/>
        <v>24</v>
      </c>
      <c r="S246" s="135">
        <f>VLOOKUP(A246,[1]Index!$E:$M,7,)</f>
        <v>1130.8553717500001</v>
      </c>
      <c r="T246" s="149">
        <f t="shared" si="25"/>
        <v>-22869.14462825</v>
      </c>
      <c r="U246" s="150">
        <f t="shared" si="26"/>
        <v>-20.222873056578376</v>
      </c>
      <c r="V246" s="151">
        <f t="shared" si="27"/>
        <v>0</v>
      </c>
      <c r="W246" s="80" t="e">
        <f t="shared" si="28"/>
        <v>#DIV/0!</v>
      </c>
    </row>
    <row r="247" spans="1:23" ht="15">
      <c r="A247" s="129" t="s">
        <v>236</v>
      </c>
      <c r="B247" s="133"/>
      <c r="C247" s="136"/>
      <c r="D247" s="136"/>
      <c r="E247" s="136"/>
      <c r="F247" s="137">
        <v>16000</v>
      </c>
      <c r="G247" s="138"/>
      <c r="H247" s="138"/>
      <c r="I247" s="138"/>
      <c r="J247" s="139"/>
      <c r="K247" s="140"/>
      <c r="L247" s="140"/>
      <c r="M247" s="140"/>
      <c r="N247" s="140"/>
      <c r="O247" s="185">
        <f t="shared" si="29"/>
        <v>0</v>
      </c>
      <c r="P247" s="158">
        <f t="shared" si="24"/>
        <v>16000</v>
      </c>
      <c r="Q247" s="148">
        <f t="shared" si="30"/>
        <v>16</v>
      </c>
      <c r="R247" s="148">
        <f t="shared" si="31"/>
        <v>16</v>
      </c>
      <c r="S247" s="135">
        <f>VLOOKUP(A247,[1]Index!$E:$M,7,)</f>
        <v>907.6363274073077</v>
      </c>
      <c r="T247" s="149">
        <f t="shared" si="25"/>
        <v>-15092.363672592692</v>
      </c>
      <c r="U247" s="150">
        <f t="shared" si="26"/>
        <v>-16.628205831849538</v>
      </c>
      <c r="V247" s="151">
        <f t="shared" si="27"/>
        <v>0</v>
      </c>
      <c r="W247" s="80" t="e">
        <f t="shared" si="28"/>
        <v>#DIV/0!</v>
      </c>
    </row>
    <row r="248" spans="1:23" ht="15">
      <c r="A248" s="129" t="s">
        <v>198</v>
      </c>
      <c r="B248" s="133"/>
      <c r="C248" s="136"/>
      <c r="D248" s="136"/>
      <c r="E248" s="136"/>
      <c r="F248" s="137">
        <v>25000</v>
      </c>
      <c r="G248" s="138"/>
      <c r="H248" s="138"/>
      <c r="I248" s="138"/>
      <c r="J248" s="139"/>
      <c r="K248" s="140"/>
      <c r="L248" s="140"/>
      <c r="M248" s="140"/>
      <c r="N248" s="140"/>
      <c r="O248" s="185">
        <f t="shared" si="29"/>
        <v>0</v>
      </c>
      <c r="P248" s="158">
        <f t="shared" si="24"/>
        <v>25000</v>
      </c>
      <c r="Q248" s="148">
        <f t="shared" si="30"/>
        <v>25</v>
      </c>
      <c r="R248" s="148">
        <f t="shared" si="31"/>
        <v>25</v>
      </c>
      <c r="S248" s="135">
        <f>VLOOKUP(A248,[1]Index!$E:$M,7,)</f>
        <v>1771.5850696031898</v>
      </c>
      <c r="T248" s="149">
        <f t="shared" si="25"/>
        <v>-23228.414930396812</v>
      </c>
      <c r="U248" s="150">
        <f t="shared" si="26"/>
        <v>-13.111656521015753</v>
      </c>
      <c r="V248" s="151">
        <f t="shared" si="27"/>
        <v>0</v>
      </c>
      <c r="W248" s="80" t="e">
        <f t="shared" si="28"/>
        <v>#DIV/0!</v>
      </c>
    </row>
    <row r="249" spans="1:23" ht="15">
      <c r="A249" s="129" t="s">
        <v>72</v>
      </c>
      <c r="B249" s="133"/>
      <c r="C249" s="136"/>
      <c r="D249" s="136"/>
      <c r="E249" s="136"/>
      <c r="F249" s="137">
        <v>14000</v>
      </c>
      <c r="G249" s="138"/>
      <c r="H249" s="138"/>
      <c r="I249" s="138"/>
      <c r="J249" s="139"/>
      <c r="K249" s="140"/>
      <c r="L249" s="140"/>
      <c r="M249" s="140"/>
      <c r="N249" s="140"/>
      <c r="O249" s="185">
        <f t="shared" si="29"/>
        <v>0</v>
      </c>
      <c r="P249" s="158">
        <f t="shared" si="24"/>
        <v>14000</v>
      </c>
      <c r="Q249" s="148">
        <f t="shared" si="30"/>
        <v>14</v>
      </c>
      <c r="R249" s="148">
        <f t="shared" si="31"/>
        <v>14</v>
      </c>
      <c r="S249" s="135">
        <f>VLOOKUP(A249,[1]Index!$E:$M,7,)</f>
        <v>653.76665262999984</v>
      </c>
      <c r="T249" s="149">
        <f t="shared" si="25"/>
        <v>-13346.23334737</v>
      </c>
      <c r="U249" s="150">
        <f t="shared" si="26"/>
        <v>-20.414368480986624</v>
      </c>
      <c r="V249" s="151">
        <f t="shared" si="27"/>
        <v>0</v>
      </c>
      <c r="W249" s="80" t="e">
        <f t="shared" si="28"/>
        <v>#DIV/0!</v>
      </c>
    </row>
    <row r="250" spans="1:23" ht="15">
      <c r="A250" s="129" t="s">
        <v>394</v>
      </c>
      <c r="B250" s="133"/>
      <c r="C250" s="136"/>
      <c r="D250" s="136"/>
      <c r="E250" s="136"/>
      <c r="F250" s="137">
        <v>17000</v>
      </c>
      <c r="G250" s="138"/>
      <c r="H250" s="138"/>
      <c r="I250" s="138"/>
      <c r="J250" s="139"/>
      <c r="K250" s="140"/>
      <c r="L250" s="140"/>
      <c r="M250" s="140"/>
      <c r="N250" s="140"/>
      <c r="O250" s="185">
        <f t="shared" si="29"/>
        <v>0</v>
      </c>
      <c r="P250" s="158">
        <f t="shared" si="24"/>
        <v>17000</v>
      </c>
      <c r="Q250" s="148">
        <f t="shared" si="30"/>
        <v>17</v>
      </c>
      <c r="R250" s="148">
        <f t="shared" si="31"/>
        <v>17</v>
      </c>
      <c r="S250" s="135" t="e">
        <f>VLOOKUP(A250,[1]Index!$E:$M,7,)</f>
        <v>#N/A</v>
      </c>
      <c r="T250" s="149" t="e">
        <f t="shared" si="25"/>
        <v>#N/A</v>
      </c>
      <c r="U250" s="150" t="e">
        <f t="shared" si="26"/>
        <v>#N/A</v>
      </c>
      <c r="V250" s="151">
        <f t="shared" si="27"/>
        <v>0</v>
      </c>
      <c r="W250" s="80" t="e">
        <f t="shared" si="28"/>
        <v>#DIV/0!</v>
      </c>
    </row>
    <row r="251" spans="1:23" ht="15">
      <c r="A251" s="129" t="s">
        <v>196</v>
      </c>
      <c r="B251" s="133"/>
      <c r="C251" s="136"/>
      <c r="D251" s="136"/>
      <c r="E251" s="136"/>
      <c r="F251" s="137">
        <v>31000</v>
      </c>
      <c r="G251" s="138"/>
      <c r="H251" s="138"/>
      <c r="I251" s="138"/>
      <c r="J251" s="139"/>
      <c r="K251" s="140"/>
      <c r="L251" s="140"/>
      <c r="M251" s="140"/>
      <c r="N251" s="140"/>
      <c r="O251" s="185">
        <f t="shared" si="29"/>
        <v>0</v>
      </c>
      <c r="P251" s="158">
        <f t="shared" si="24"/>
        <v>31000</v>
      </c>
      <c r="Q251" s="148">
        <f t="shared" si="30"/>
        <v>31</v>
      </c>
      <c r="R251" s="148">
        <f t="shared" si="31"/>
        <v>31</v>
      </c>
      <c r="S251" s="135">
        <f>VLOOKUP(A251,[1]Index!$E:$M,7,)</f>
        <v>1777.4011179038462</v>
      </c>
      <c r="T251" s="149">
        <f t="shared" si="25"/>
        <v>-29222.598882096154</v>
      </c>
      <c r="U251" s="150">
        <f t="shared" si="26"/>
        <v>-16.441195286610053</v>
      </c>
      <c r="V251" s="151">
        <f t="shared" si="27"/>
        <v>0</v>
      </c>
      <c r="W251" s="80" t="e">
        <f t="shared" si="28"/>
        <v>#DIV/0!</v>
      </c>
    </row>
    <row r="252" spans="1:23" ht="15">
      <c r="A252" s="129" t="s">
        <v>206</v>
      </c>
      <c r="B252" s="133"/>
      <c r="C252" s="136"/>
      <c r="D252" s="136"/>
      <c r="E252" s="136"/>
      <c r="F252" s="137">
        <v>12000</v>
      </c>
      <c r="G252" s="138"/>
      <c r="H252" s="138"/>
      <c r="I252" s="138"/>
      <c r="J252" s="139"/>
      <c r="K252" s="140"/>
      <c r="L252" s="140"/>
      <c r="M252" s="140"/>
      <c r="N252" s="140"/>
      <c r="O252" s="185">
        <f t="shared" si="29"/>
        <v>0</v>
      </c>
      <c r="P252" s="158">
        <f t="shared" si="24"/>
        <v>12000</v>
      </c>
      <c r="Q252" s="148">
        <f t="shared" si="30"/>
        <v>12</v>
      </c>
      <c r="R252" s="148">
        <f t="shared" si="31"/>
        <v>12</v>
      </c>
      <c r="S252" s="135">
        <f>VLOOKUP(A252,[1]Index!$E:$M,7,)</f>
        <v>764.70313838846175</v>
      </c>
      <c r="T252" s="149">
        <f t="shared" si="25"/>
        <v>-11235.296861611538</v>
      </c>
      <c r="U252" s="150">
        <f t="shared" si="26"/>
        <v>-14.692364000609235</v>
      </c>
      <c r="V252" s="151">
        <f t="shared" si="27"/>
        <v>0</v>
      </c>
      <c r="W252" s="80" t="e">
        <f t="shared" si="28"/>
        <v>#DIV/0!</v>
      </c>
    </row>
    <row r="253" spans="1:23">
      <c r="A253" s="159" t="s">
        <v>55</v>
      </c>
      <c r="B253" s="133"/>
      <c r="C253" s="136"/>
      <c r="D253" s="136"/>
      <c r="E253" s="136"/>
      <c r="F253" s="137"/>
      <c r="G253" s="138"/>
      <c r="H253" s="138"/>
      <c r="I253" s="138"/>
      <c r="J253" s="139"/>
      <c r="K253" s="140"/>
      <c r="L253" s="140"/>
      <c r="M253" s="140"/>
      <c r="N253" s="140"/>
      <c r="O253" s="185">
        <f t="shared" si="29"/>
        <v>0</v>
      </c>
      <c r="P253" s="158">
        <f t="shared" si="24"/>
        <v>0</v>
      </c>
      <c r="Q253" s="148">
        <f t="shared" si="30"/>
        <v>0</v>
      </c>
      <c r="R253" s="148">
        <f t="shared" si="31"/>
        <v>0</v>
      </c>
      <c r="S253" s="135">
        <f>VLOOKUP(A253,[1]Index!$E:$M,7,)</f>
        <v>2366.41036638165</v>
      </c>
      <c r="T253" s="149">
        <f t="shared" si="25"/>
        <v>2366.41036638165</v>
      </c>
      <c r="U253" s="150">
        <f t="shared" si="26"/>
        <v>1</v>
      </c>
      <c r="V253" s="151">
        <f t="shared" si="27"/>
        <v>0</v>
      </c>
      <c r="W253" s="80" t="e">
        <f t="shared" si="28"/>
        <v>#DIV/0!</v>
      </c>
    </row>
    <row r="254" spans="1:23">
      <c r="A254" s="159" t="s">
        <v>53</v>
      </c>
      <c r="B254" s="133"/>
      <c r="C254" s="136"/>
      <c r="D254" s="136"/>
      <c r="E254" s="136"/>
      <c r="F254" s="137"/>
      <c r="G254" s="138"/>
      <c r="H254" s="138"/>
      <c r="I254" s="138"/>
      <c r="J254" s="139"/>
      <c r="K254" s="140"/>
      <c r="L254" s="140"/>
      <c r="M254" s="140"/>
      <c r="N254" s="140"/>
      <c r="O254" s="185">
        <f t="shared" si="29"/>
        <v>0</v>
      </c>
      <c r="P254" s="158">
        <f t="shared" si="24"/>
        <v>0</v>
      </c>
      <c r="Q254" s="148">
        <f t="shared" si="30"/>
        <v>0</v>
      </c>
      <c r="R254" s="148">
        <f t="shared" si="31"/>
        <v>0</v>
      </c>
      <c r="S254" s="135" t="e">
        <f>VLOOKUP(A254,[1]Index!$E:$M,7,)</f>
        <v>#N/A</v>
      </c>
      <c r="T254" s="149" t="e">
        <f t="shared" si="25"/>
        <v>#N/A</v>
      </c>
      <c r="U254" s="150" t="e">
        <f t="shared" si="26"/>
        <v>#N/A</v>
      </c>
      <c r="V254" s="151">
        <f t="shared" si="27"/>
        <v>0</v>
      </c>
      <c r="W254" s="80" t="e">
        <f t="shared" si="28"/>
        <v>#DIV/0!</v>
      </c>
    </row>
    <row r="255" spans="1:23">
      <c r="A255" s="179" t="s">
        <v>375</v>
      </c>
      <c r="B255" s="133"/>
      <c r="C255" s="164">
        <v>114</v>
      </c>
      <c r="D255" s="164">
        <v>53</v>
      </c>
      <c r="E255" s="164">
        <v>6</v>
      </c>
      <c r="F255" s="137">
        <v>15500</v>
      </c>
      <c r="G255" s="138"/>
      <c r="H255" s="138"/>
      <c r="I255" s="138"/>
      <c r="J255" s="139"/>
      <c r="K255" s="140"/>
      <c r="L255" s="140"/>
      <c r="M255" s="140"/>
      <c r="N255" s="140"/>
      <c r="O255" s="185">
        <f t="shared" si="29"/>
        <v>6.9142714560000007</v>
      </c>
      <c r="P255" s="158">
        <f t="shared" si="24"/>
        <v>15500</v>
      </c>
      <c r="Q255" s="148">
        <f t="shared" si="30"/>
        <v>15.5</v>
      </c>
      <c r="R255" s="148">
        <f t="shared" si="31"/>
        <v>15.5</v>
      </c>
      <c r="S255" s="135" t="e">
        <f>VLOOKUP(A255,[1]Index!$E:$M,7,)</f>
        <v>#N/A</v>
      </c>
      <c r="T255" s="149" t="e">
        <f t="shared" si="25"/>
        <v>#N/A</v>
      </c>
      <c r="U255" s="150" t="e">
        <f t="shared" si="26"/>
        <v>#N/A</v>
      </c>
      <c r="V255" s="151">
        <f t="shared" si="27"/>
        <v>1.28042064</v>
      </c>
      <c r="W255" s="80">
        <f t="shared" si="28"/>
        <v>12.105396863955583</v>
      </c>
    </row>
    <row r="256" spans="1:23" ht="15">
      <c r="A256" s="129" t="s">
        <v>245</v>
      </c>
      <c r="B256" s="133"/>
      <c r="C256" s="136"/>
      <c r="D256" s="136"/>
      <c r="E256" s="136"/>
      <c r="F256" s="137">
        <v>28500</v>
      </c>
      <c r="G256" s="138"/>
      <c r="H256" s="138"/>
      <c r="I256" s="138"/>
      <c r="J256" s="139"/>
      <c r="K256" s="140"/>
      <c r="L256" s="140"/>
      <c r="M256" s="140"/>
      <c r="N256" s="140"/>
      <c r="O256" s="185">
        <f t="shared" si="29"/>
        <v>0</v>
      </c>
      <c r="P256" s="158">
        <f t="shared" si="24"/>
        <v>28500</v>
      </c>
      <c r="Q256" s="148">
        <f t="shared" si="30"/>
        <v>28.5</v>
      </c>
      <c r="R256" s="148">
        <f t="shared" si="31"/>
        <v>28.5</v>
      </c>
      <c r="S256" s="135" t="e">
        <f>VLOOKUP(A256,[1]Index!$E:$M,7,)</f>
        <v>#N/A</v>
      </c>
      <c r="T256" s="149" t="e">
        <f t="shared" si="25"/>
        <v>#N/A</v>
      </c>
      <c r="U256" s="150" t="e">
        <f t="shared" si="26"/>
        <v>#N/A</v>
      </c>
      <c r="V256" s="151">
        <f t="shared" si="27"/>
        <v>0</v>
      </c>
      <c r="W256" s="80" t="e">
        <f t="shared" si="28"/>
        <v>#DIV/0!</v>
      </c>
    </row>
    <row r="257" spans="1:23" ht="15">
      <c r="A257" s="129" t="s">
        <v>229</v>
      </c>
      <c r="B257" s="133"/>
      <c r="C257" s="136"/>
      <c r="D257" s="136"/>
      <c r="E257" s="136"/>
      <c r="F257" s="137">
        <v>16000</v>
      </c>
      <c r="G257" s="138"/>
      <c r="H257" s="138"/>
      <c r="I257" s="138"/>
      <c r="J257" s="139"/>
      <c r="K257" s="140"/>
      <c r="L257" s="140"/>
      <c r="M257" s="140"/>
      <c r="N257" s="140"/>
      <c r="O257" s="185">
        <f t="shared" si="29"/>
        <v>0</v>
      </c>
      <c r="P257" s="158">
        <f t="shared" si="24"/>
        <v>16000</v>
      </c>
      <c r="Q257" s="148">
        <f t="shared" si="30"/>
        <v>16</v>
      </c>
      <c r="R257" s="148">
        <f t="shared" si="31"/>
        <v>16</v>
      </c>
      <c r="S257" s="135" t="e">
        <f>VLOOKUP(A257,[1]Index!$E:$M,7,)</f>
        <v>#N/A</v>
      </c>
      <c r="T257" s="149" t="e">
        <f t="shared" si="25"/>
        <v>#N/A</v>
      </c>
      <c r="U257" s="150" t="e">
        <f t="shared" si="26"/>
        <v>#N/A</v>
      </c>
      <c r="V257" s="151">
        <f t="shared" si="27"/>
        <v>0</v>
      </c>
      <c r="W257" s="80" t="e">
        <f t="shared" si="28"/>
        <v>#DIV/0!</v>
      </c>
    </row>
    <row r="258" spans="1:23" ht="15">
      <c r="A258" s="129" t="s">
        <v>238</v>
      </c>
      <c r="B258" s="133"/>
      <c r="C258" s="136"/>
      <c r="D258" s="136"/>
      <c r="E258" s="136"/>
      <c r="F258" s="137">
        <v>27400</v>
      </c>
      <c r="G258" s="138"/>
      <c r="H258" s="138"/>
      <c r="I258" s="138"/>
      <c r="J258" s="139"/>
      <c r="K258" s="140"/>
      <c r="L258" s="140"/>
      <c r="M258" s="140"/>
      <c r="N258" s="140"/>
      <c r="O258" s="185">
        <f t="shared" si="29"/>
        <v>0</v>
      </c>
      <c r="P258" s="158">
        <f t="shared" si="24"/>
        <v>27400</v>
      </c>
      <c r="Q258" s="148">
        <f t="shared" si="30"/>
        <v>27.4</v>
      </c>
      <c r="R258" s="148">
        <f t="shared" si="31"/>
        <v>27.4</v>
      </c>
      <c r="S258" s="135" t="e">
        <f>VLOOKUP(A258,[1]Index!$E:$M,7,)</f>
        <v>#N/A</v>
      </c>
      <c r="T258" s="149" t="e">
        <f t="shared" si="25"/>
        <v>#N/A</v>
      </c>
      <c r="U258" s="150" t="e">
        <f t="shared" si="26"/>
        <v>#N/A</v>
      </c>
      <c r="V258" s="151">
        <f t="shared" si="27"/>
        <v>0</v>
      </c>
      <c r="W258" s="80" t="e">
        <f t="shared" si="28"/>
        <v>#DIV/0!</v>
      </c>
    </row>
    <row r="259" spans="1:23" ht="15">
      <c r="A259" s="129" t="s">
        <v>205</v>
      </c>
      <c r="B259" s="133"/>
      <c r="C259" s="136"/>
      <c r="D259" s="136"/>
      <c r="E259" s="136"/>
      <c r="F259" s="137">
        <v>17600</v>
      </c>
      <c r="G259" s="138"/>
      <c r="H259" s="138"/>
      <c r="I259" s="138"/>
      <c r="J259" s="139"/>
      <c r="K259" s="140"/>
      <c r="L259" s="140"/>
      <c r="M259" s="140"/>
      <c r="N259" s="140"/>
      <c r="O259" s="185">
        <f t="shared" si="29"/>
        <v>0</v>
      </c>
      <c r="P259" s="158">
        <f t="shared" si="24"/>
        <v>17600</v>
      </c>
      <c r="Q259" s="148">
        <f t="shared" si="30"/>
        <v>17.600000000000001</v>
      </c>
      <c r="R259" s="148">
        <f t="shared" si="31"/>
        <v>17.600000000000001</v>
      </c>
      <c r="S259" s="135" t="e">
        <f>VLOOKUP(A259,[1]Index!$E:$M,7,)</f>
        <v>#N/A</v>
      </c>
      <c r="T259" s="149" t="e">
        <f t="shared" si="25"/>
        <v>#N/A</v>
      </c>
      <c r="U259" s="150" t="e">
        <f t="shared" si="26"/>
        <v>#N/A</v>
      </c>
      <c r="V259" s="151">
        <f t="shared" si="27"/>
        <v>0</v>
      </c>
      <c r="W259" s="80" t="e">
        <f t="shared" si="28"/>
        <v>#DIV/0!</v>
      </c>
    </row>
    <row r="260" spans="1:23" ht="15">
      <c r="A260" s="129" t="s">
        <v>179</v>
      </c>
      <c r="B260" s="133"/>
      <c r="C260" s="136"/>
      <c r="D260" s="136"/>
      <c r="E260" s="136"/>
      <c r="F260" s="137">
        <v>1260</v>
      </c>
      <c r="G260" s="138"/>
      <c r="H260" s="138"/>
      <c r="I260" s="138"/>
      <c r="J260" s="139"/>
      <c r="K260" s="140"/>
      <c r="L260" s="140"/>
      <c r="M260" s="140"/>
      <c r="N260" s="140"/>
      <c r="O260" s="185">
        <f t="shared" si="29"/>
        <v>0</v>
      </c>
      <c r="P260" s="158">
        <f t="shared" ref="P260:P277" si="32">F260+J260+N260</f>
        <v>1260</v>
      </c>
      <c r="Q260" s="148">
        <f t="shared" si="30"/>
        <v>1.2</v>
      </c>
      <c r="R260" s="148">
        <f t="shared" si="31"/>
        <v>1.2</v>
      </c>
      <c r="S260" s="135" t="e">
        <f>VLOOKUP(A260,[1]Index!$E:$M,7,)</f>
        <v>#N/A</v>
      </c>
      <c r="T260" s="149" t="e">
        <f t="shared" ref="T260:T277" si="33">S260-P260</f>
        <v>#N/A</v>
      </c>
      <c r="U260" s="150" t="e">
        <f t="shared" ref="U260:U277" si="34">T260/S260</f>
        <v>#N/A</v>
      </c>
      <c r="V260" s="151">
        <f t="shared" ref="V260:V277" si="35">(((C260*D260*E260)+(G260*H260*I260)+(K260*L260*M260))/1000000)*35.32</f>
        <v>0</v>
      </c>
      <c r="W260" s="80" t="e">
        <f t="shared" ref="W260:W277" si="36">Q260/V260</f>
        <v>#DIV/0!</v>
      </c>
    </row>
    <row r="261" spans="1:23" ht="15">
      <c r="A261" s="129" t="s">
        <v>109</v>
      </c>
      <c r="B261" s="133"/>
      <c r="C261" s="136"/>
      <c r="D261" s="136"/>
      <c r="E261" s="136"/>
      <c r="F261" s="137">
        <v>390</v>
      </c>
      <c r="G261" s="138"/>
      <c r="H261" s="138"/>
      <c r="I261" s="138"/>
      <c r="J261" s="139"/>
      <c r="K261" s="140"/>
      <c r="L261" s="140"/>
      <c r="M261" s="140"/>
      <c r="N261" s="140"/>
      <c r="O261" s="185">
        <f t="shared" ref="O261:O301" si="37">V261*$O$2</f>
        <v>0</v>
      </c>
      <c r="P261" s="158">
        <f t="shared" si="32"/>
        <v>390</v>
      </c>
      <c r="Q261" s="148">
        <f t="shared" ref="Q261:Q277" si="38">ROUNDDOWN(P261/1000,1)</f>
        <v>0.3</v>
      </c>
      <c r="R261" s="148">
        <f t="shared" ref="R261:R301" si="39">MAX(O261,Q261)</f>
        <v>0.3</v>
      </c>
      <c r="S261" s="135">
        <f>VLOOKUP(A261,[1]Index!$E:$M,7,)</f>
        <v>69.017691999999997</v>
      </c>
      <c r="T261" s="149">
        <f t="shared" si="33"/>
        <v>-320.98230799999999</v>
      </c>
      <c r="U261" s="150">
        <f t="shared" si="34"/>
        <v>-4.6507250343868352</v>
      </c>
      <c r="V261" s="151">
        <f t="shared" si="35"/>
        <v>0</v>
      </c>
      <c r="W261" s="80" t="e">
        <f t="shared" si="36"/>
        <v>#DIV/0!</v>
      </c>
    </row>
    <row r="262" spans="1:23" ht="15">
      <c r="A262" s="129" t="s">
        <v>107</v>
      </c>
      <c r="B262" s="133"/>
      <c r="C262" s="136"/>
      <c r="D262" s="136"/>
      <c r="E262" s="136"/>
      <c r="F262" s="137">
        <v>380</v>
      </c>
      <c r="G262" s="138"/>
      <c r="H262" s="138"/>
      <c r="I262" s="138"/>
      <c r="J262" s="139"/>
      <c r="K262" s="140"/>
      <c r="L262" s="140"/>
      <c r="M262" s="140"/>
      <c r="N262" s="140"/>
      <c r="O262" s="185">
        <f t="shared" si="37"/>
        <v>0</v>
      </c>
      <c r="P262" s="158">
        <f t="shared" si="32"/>
        <v>380</v>
      </c>
      <c r="Q262" s="148">
        <f t="shared" si="38"/>
        <v>0.3</v>
      </c>
      <c r="R262" s="148">
        <f t="shared" si="39"/>
        <v>0.3</v>
      </c>
      <c r="S262" s="135" t="e">
        <f>VLOOKUP(A262,[1]Index!$E:$M,7,)</f>
        <v>#VALUE!</v>
      </c>
      <c r="T262" s="149" t="e">
        <f t="shared" si="33"/>
        <v>#VALUE!</v>
      </c>
      <c r="U262" s="150" t="e">
        <f t="shared" si="34"/>
        <v>#VALUE!</v>
      </c>
      <c r="V262" s="151">
        <f t="shared" si="35"/>
        <v>0</v>
      </c>
      <c r="W262" s="80" t="e">
        <f t="shared" si="36"/>
        <v>#DIV/0!</v>
      </c>
    </row>
    <row r="263" spans="1:23" ht="13.5" customHeight="1">
      <c r="A263" s="130" t="s">
        <v>77</v>
      </c>
      <c r="B263" s="133"/>
      <c r="C263" s="136"/>
      <c r="D263" s="136"/>
      <c r="E263" s="136"/>
      <c r="F263" s="137">
        <v>16000</v>
      </c>
      <c r="G263" s="138"/>
      <c r="H263" s="138"/>
      <c r="I263" s="138"/>
      <c r="J263" s="139"/>
      <c r="K263" s="140"/>
      <c r="L263" s="140"/>
      <c r="M263" s="140"/>
      <c r="N263" s="140"/>
      <c r="O263" s="185">
        <f t="shared" si="37"/>
        <v>0</v>
      </c>
      <c r="P263" s="158">
        <f t="shared" si="32"/>
        <v>16000</v>
      </c>
      <c r="Q263" s="148">
        <f t="shared" si="38"/>
        <v>16</v>
      </c>
      <c r="R263" s="148">
        <f t="shared" si="39"/>
        <v>16</v>
      </c>
      <c r="S263" s="135">
        <f>VLOOKUP(A263,[1]Index!$E:$M,7,)</f>
        <v>994.16146432237497</v>
      </c>
      <c r="T263" s="149">
        <f t="shared" si="33"/>
        <v>-15005.838535677625</v>
      </c>
      <c r="U263" s="150">
        <f t="shared" si="34"/>
        <v>-15.093965189956014</v>
      </c>
      <c r="V263" s="151">
        <f t="shared" si="35"/>
        <v>0</v>
      </c>
      <c r="W263" s="80" t="e">
        <f t="shared" si="36"/>
        <v>#DIV/0!</v>
      </c>
    </row>
    <row r="264" spans="1:23">
      <c r="A264" s="170" t="s">
        <v>608</v>
      </c>
      <c r="B264" s="133"/>
      <c r="C264" s="136"/>
      <c r="D264" s="136"/>
      <c r="E264" s="136"/>
      <c r="F264" s="137">
        <v>8300</v>
      </c>
      <c r="G264" s="138"/>
      <c r="H264" s="138"/>
      <c r="I264" s="138"/>
      <c r="J264" s="139"/>
      <c r="K264" s="140"/>
      <c r="L264" s="140"/>
      <c r="M264" s="140"/>
      <c r="N264" s="140"/>
      <c r="O264" s="185">
        <f t="shared" si="37"/>
        <v>0</v>
      </c>
      <c r="P264" s="158">
        <f t="shared" si="32"/>
        <v>8300</v>
      </c>
      <c r="Q264" s="148">
        <f t="shared" si="38"/>
        <v>8.3000000000000007</v>
      </c>
      <c r="R264" s="148">
        <f t="shared" si="39"/>
        <v>8.3000000000000007</v>
      </c>
      <c r="S264" s="135" t="e">
        <f>VLOOKUP(A264,[1]Index!$E:$M,7,)</f>
        <v>#N/A</v>
      </c>
      <c r="T264" s="149" t="e">
        <f t="shared" si="33"/>
        <v>#N/A</v>
      </c>
      <c r="U264" s="150" t="e">
        <f t="shared" si="34"/>
        <v>#N/A</v>
      </c>
      <c r="V264" s="151">
        <f t="shared" si="35"/>
        <v>0</v>
      </c>
      <c r="W264" s="80" t="e">
        <f t="shared" si="36"/>
        <v>#DIV/0!</v>
      </c>
    </row>
    <row r="265" spans="1:23" ht="15">
      <c r="A265" s="131" t="s">
        <v>123</v>
      </c>
      <c r="B265" s="133"/>
      <c r="C265" s="136">
        <v>39</v>
      </c>
      <c r="D265" s="136">
        <v>27</v>
      </c>
      <c r="E265" s="136">
        <v>25</v>
      </c>
      <c r="F265" s="137">
        <v>1500</v>
      </c>
      <c r="G265" s="138"/>
      <c r="H265" s="138"/>
      <c r="I265" s="138"/>
      <c r="J265" s="139"/>
      <c r="K265" s="140"/>
      <c r="L265" s="140"/>
      <c r="M265" s="140"/>
      <c r="N265" s="140"/>
      <c r="O265" s="185">
        <f t="shared" si="37"/>
        <v>5.0209146000000002</v>
      </c>
      <c r="P265" s="158">
        <f t="shared" si="32"/>
        <v>1500</v>
      </c>
      <c r="Q265" s="148">
        <f t="shared" si="38"/>
        <v>1.5</v>
      </c>
      <c r="R265" s="148">
        <f t="shared" si="39"/>
        <v>5.0209146000000002</v>
      </c>
      <c r="S265" s="135" t="e">
        <f>VLOOKUP(A265,[1]Index!$E:$M,7,)</f>
        <v>#N/A</v>
      </c>
      <c r="T265" s="149" t="e">
        <f t="shared" si="33"/>
        <v>#N/A</v>
      </c>
      <c r="U265" s="150" t="e">
        <f t="shared" si="34"/>
        <v>#N/A</v>
      </c>
      <c r="V265" s="151">
        <f t="shared" si="35"/>
        <v>0.92979900000000004</v>
      </c>
      <c r="W265" s="80">
        <f t="shared" si="36"/>
        <v>1.6132518963776041</v>
      </c>
    </row>
    <row r="266" spans="1:23" ht="15">
      <c r="A266" s="131" t="s">
        <v>124</v>
      </c>
      <c r="B266" s="133"/>
      <c r="C266" s="136">
        <v>40</v>
      </c>
      <c r="D266" s="136">
        <v>35</v>
      </c>
      <c r="E266" s="136">
        <v>35</v>
      </c>
      <c r="F266" s="137">
        <v>1700</v>
      </c>
      <c r="G266" s="138"/>
      <c r="H266" s="138"/>
      <c r="I266" s="138"/>
      <c r="J266" s="139"/>
      <c r="K266" s="140"/>
      <c r="L266" s="140"/>
      <c r="M266" s="140"/>
      <c r="N266" s="140"/>
      <c r="O266" s="185">
        <f t="shared" si="37"/>
        <v>9.3456720000000004</v>
      </c>
      <c r="P266" s="158">
        <f t="shared" si="32"/>
        <v>1700</v>
      </c>
      <c r="Q266" s="148">
        <f t="shared" si="38"/>
        <v>1.7</v>
      </c>
      <c r="R266" s="148">
        <f t="shared" si="39"/>
        <v>9.3456720000000004</v>
      </c>
      <c r="S266" s="135" t="e">
        <f>VLOOKUP(A266,[1]Index!$E:$M,7,)</f>
        <v>#N/A</v>
      </c>
      <c r="T266" s="149" t="e">
        <f t="shared" si="33"/>
        <v>#N/A</v>
      </c>
      <c r="U266" s="150" t="e">
        <f t="shared" si="34"/>
        <v>#N/A</v>
      </c>
      <c r="V266" s="151">
        <f t="shared" si="35"/>
        <v>1.73068</v>
      </c>
      <c r="W266" s="80">
        <f t="shared" si="36"/>
        <v>0.98227286384542489</v>
      </c>
    </row>
    <row r="267" spans="1:23" ht="15">
      <c r="A267" s="131" t="s">
        <v>224</v>
      </c>
      <c r="B267" s="133"/>
      <c r="C267" s="136"/>
      <c r="D267" s="136"/>
      <c r="E267" s="136"/>
      <c r="F267" s="137">
        <v>23400</v>
      </c>
      <c r="G267" s="138"/>
      <c r="H267" s="138"/>
      <c r="I267" s="138"/>
      <c r="J267" s="139"/>
      <c r="K267" s="140"/>
      <c r="L267" s="140"/>
      <c r="M267" s="140"/>
      <c r="N267" s="140"/>
      <c r="O267" s="185">
        <f t="shared" si="37"/>
        <v>0</v>
      </c>
      <c r="P267" s="158">
        <f t="shared" si="32"/>
        <v>23400</v>
      </c>
      <c r="Q267" s="148">
        <f t="shared" si="38"/>
        <v>23.4</v>
      </c>
      <c r="R267" s="148">
        <f t="shared" si="39"/>
        <v>23.4</v>
      </c>
      <c r="S267" s="135">
        <f>VLOOKUP(A267,[1]Index!$E:$M,7,)</f>
        <v>1314.5083637199041</v>
      </c>
      <c r="T267" s="149">
        <f t="shared" si="33"/>
        <v>-22085.491636280094</v>
      </c>
      <c r="U267" s="150">
        <f t="shared" si="34"/>
        <v>-16.801332152638992</v>
      </c>
      <c r="V267" s="151">
        <f t="shared" si="35"/>
        <v>0</v>
      </c>
      <c r="W267" s="80" t="e">
        <f t="shared" si="36"/>
        <v>#DIV/0!</v>
      </c>
    </row>
    <row r="268" spans="1:23" ht="15">
      <c r="A268" s="131" t="s">
        <v>221</v>
      </c>
      <c r="B268" s="133"/>
      <c r="C268" s="136"/>
      <c r="D268" s="136"/>
      <c r="E268" s="136"/>
      <c r="F268" s="137">
        <v>23300</v>
      </c>
      <c r="G268" s="138"/>
      <c r="H268" s="138"/>
      <c r="I268" s="138"/>
      <c r="J268" s="139"/>
      <c r="K268" s="140"/>
      <c r="L268" s="140"/>
      <c r="M268" s="140"/>
      <c r="N268" s="140"/>
      <c r="O268" s="185">
        <f t="shared" si="37"/>
        <v>0</v>
      </c>
      <c r="P268" s="158">
        <f t="shared" si="32"/>
        <v>23300</v>
      </c>
      <c r="Q268" s="148">
        <f t="shared" si="38"/>
        <v>23.3</v>
      </c>
      <c r="R268" s="148">
        <f t="shared" si="39"/>
        <v>23.3</v>
      </c>
      <c r="S268" s="135">
        <f>VLOOKUP(A268,[1]Index!$E:$M,7,)</f>
        <v>1388.2027522882793</v>
      </c>
      <c r="T268" s="149">
        <f t="shared" si="33"/>
        <v>-21911.797247711722</v>
      </c>
      <c r="U268" s="150">
        <f t="shared" si="34"/>
        <v>-15.78429174815628</v>
      </c>
      <c r="V268" s="151">
        <f t="shared" si="35"/>
        <v>0</v>
      </c>
      <c r="W268" s="80" t="e">
        <f t="shared" si="36"/>
        <v>#DIV/0!</v>
      </c>
    </row>
    <row r="269" spans="1:23" ht="15">
      <c r="A269" s="131" t="s">
        <v>273</v>
      </c>
      <c r="B269" s="133"/>
      <c r="C269" s="136"/>
      <c r="D269" s="136"/>
      <c r="E269" s="136"/>
      <c r="F269" s="137">
        <v>20500</v>
      </c>
      <c r="G269" s="138"/>
      <c r="H269" s="138"/>
      <c r="I269" s="138"/>
      <c r="J269" s="139"/>
      <c r="K269" s="140"/>
      <c r="L269" s="140"/>
      <c r="M269" s="140"/>
      <c r="N269" s="140"/>
      <c r="O269" s="185">
        <f t="shared" si="37"/>
        <v>0</v>
      </c>
      <c r="P269" s="158">
        <f t="shared" si="32"/>
        <v>20500</v>
      </c>
      <c r="Q269" s="148">
        <f t="shared" si="38"/>
        <v>20.5</v>
      </c>
      <c r="R269" s="148">
        <f t="shared" si="39"/>
        <v>20.5</v>
      </c>
      <c r="S269" s="135" t="e">
        <f>VLOOKUP(A269,[1]Index!$E:$M,7,)</f>
        <v>#N/A</v>
      </c>
      <c r="T269" s="149" t="e">
        <f t="shared" si="33"/>
        <v>#N/A</v>
      </c>
      <c r="U269" s="150" t="e">
        <f t="shared" si="34"/>
        <v>#N/A</v>
      </c>
      <c r="V269" s="151">
        <f t="shared" si="35"/>
        <v>0</v>
      </c>
      <c r="W269" s="80" t="e">
        <f t="shared" si="36"/>
        <v>#DIV/0!</v>
      </c>
    </row>
    <row r="270" spans="1:23" ht="15">
      <c r="A270" s="131" t="s">
        <v>239</v>
      </c>
      <c r="B270" s="133"/>
      <c r="C270" s="136"/>
      <c r="D270" s="136"/>
      <c r="E270" s="136"/>
      <c r="F270" s="137">
        <v>29000</v>
      </c>
      <c r="G270" s="138"/>
      <c r="H270" s="138"/>
      <c r="I270" s="138"/>
      <c r="J270" s="139"/>
      <c r="K270" s="140"/>
      <c r="L270" s="140"/>
      <c r="M270" s="140"/>
      <c r="N270" s="140"/>
      <c r="O270" s="185">
        <f t="shared" si="37"/>
        <v>0</v>
      </c>
      <c r="P270" s="158">
        <f t="shared" si="32"/>
        <v>29000</v>
      </c>
      <c r="Q270" s="148">
        <f t="shared" si="38"/>
        <v>29</v>
      </c>
      <c r="R270" s="148">
        <f t="shared" si="39"/>
        <v>29</v>
      </c>
      <c r="S270" s="135" t="e">
        <f>VLOOKUP(A270,[1]Index!$E:$M,7,)</f>
        <v>#N/A</v>
      </c>
      <c r="T270" s="149" t="e">
        <f t="shared" si="33"/>
        <v>#N/A</v>
      </c>
      <c r="U270" s="150" t="e">
        <f t="shared" si="34"/>
        <v>#N/A</v>
      </c>
      <c r="V270" s="151">
        <f t="shared" si="35"/>
        <v>0</v>
      </c>
      <c r="W270" s="80" t="e">
        <f t="shared" si="36"/>
        <v>#DIV/0!</v>
      </c>
    </row>
    <row r="271" spans="1:23" ht="15">
      <c r="A271" s="131" t="s">
        <v>122</v>
      </c>
      <c r="B271" s="133"/>
      <c r="C271" s="136"/>
      <c r="D271" s="136"/>
      <c r="E271" s="136"/>
      <c r="F271" s="137">
        <v>7600</v>
      </c>
      <c r="G271" s="138"/>
      <c r="H271" s="138"/>
      <c r="I271" s="138"/>
      <c r="J271" s="139"/>
      <c r="K271" s="140"/>
      <c r="L271" s="140"/>
      <c r="M271" s="140"/>
      <c r="N271" s="140"/>
      <c r="O271" s="185">
        <f t="shared" si="37"/>
        <v>0</v>
      </c>
      <c r="P271" s="158">
        <f t="shared" si="32"/>
        <v>7600</v>
      </c>
      <c r="Q271" s="148">
        <f t="shared" si="38"/>
        <v>7.6</v>
      </c>
      <c r="R271" s="148">
        <f t="shared" si="39"/>
        <v>7.6</v>
      </c>
      <c r="S271" s="135" t="e">
        <f>VLOOKUP(A271,[1]Index!$E:$M,7,)</f>
        <v>#N/A</v>
      </c>
      <c r="T271" s="149" t="e">
        <f t="shared" si="33"/>
        <v>#N/A</v>
      </c>
      <c r="U271" s="150" t="e">
        <f t="shared" si="34"/>
        <v>#N/A</v>
      </c>
      <c r="V271" s="151">
        <f t="shared" si="35"/>
        <v>0</v>
      </c>
      <c r="W271" s="80" t="e">
        <f t="shared" si="36"/>
        <v>#DIV/0!</v>
      </c>
    </row>
    <row r="272" spans="1:23" ht="15">
      <c r="A272" s="131" t="s">
        <v>121</v>
      </c>
      <c r="B272" s="133"/>
      <c r="C272" s="136"/>
      <c r="D272" s="136"/>
      <c r="E272" s="136"/>
      <c r="F272" s="137">
        <v>11200</v>
      </c>
      <c r="G272" s="138"/>
      <c r="H272" s="138"/>
      <c r="I272" s="138"/>
      <c r="J272" s="139"/>
      <c r="K272" s="140"/>
      <c r="L272" s="140"/>
      <c r="M272" s="140"/>
      <c r="N272" s="140"/>
      <c r="O272" s="185">
        <f t="shared" si="37"/>
        <v>0</v>
      </c>
      <c r="P272" s="158">
        <f t="shared" si="32"/>
        <v>11200</v>
      </c>
      <c r="Q272" s="148">
        <f t="shared" si="38"/>
        <v>11.2</v>
      </c>
      <c r="R272" s="148">
        <f t="shared" si="39"/>
        <v>11.2</v>
      </c>
      <c r="S272" s="135" t="e">
        <f>VLOOKUP(A272,[1]Index!$E:$M,7,)</f>
        <v>#N/A</v>
      </c>
      <c r="T272" s="149" t="e">
        <f t="shared" si="33"/>
        <v>#N/A</v>
      </c>
      <c r="U272" s="150" t="e">
        <f t="shared" si="34"/>
        <v>#N/A</v>
      </c>
      <c r="V272" s="151">
        <f t="shared" si="35"/>
        <v>0</v>
      </c>
      <c r="W272" s="80" t="e">
        <f t="shared" si="36"/>
        <v>#DIV/0!</v>
      </c>
    </row>
    <row r="273" spans="1:23" ht="15">
      <c r="A273" s="131" t="s">
        <v>395</v>
      </c>
      <c r="B273" s="133"/>
      <c r="C273" s="136"/>
      <c r="D273" s="136"/>
      <c r="E273" s="136"/>
      <c r="F273" s="137">
        <v>30600</v>
      </c>
      <c r="G273" s="138"/>
      <c r="H273" s="138"/>
      <c r="I273" s="138"/>
      <c r="J273" s="139"/>
      <c r="K273" s="140"/>
      <c r="L273" s="140"/>
      <c r="M273" s="140"/>
      <c r="N273" s="140"/>
      <c r="O273" s="185">
        <f t="shared" si="37"/>
        <v>0</v>
      </c>
      <c r="P273" s="158">
        <f t="shared" si="32"/>
        <v>30600</v>
      </c>
      <c r="Q273" s="148">
        <f t="shared" si="38"/>
        <v>30.6</v>
      </c>
      <c r="R273" s="148">
        <f t="shared" si="39"/>
        <v>30.6</v>
      </c>
      <c r="S273" s="135" t="e">
        <f>VLOOKUP(A273,[1]Index!$E:$M,7,)</f>
        <v>#N/A</v>
      </c>
      <c r="T273" s="149" t="e">
        <f t="shared" si="33"/>
        <v>#N/A</v>
      </c>
      <c r="U273" s="150" t="e">
        <f t="shared" si="34"/>
        <v>#N/A</v>
      </c>
      <c r="V273" s="151">
        <f t="shared" si="35"/>
        <v>0</v>
      </c>
      <c r="W273" s="80" t="e">
        <f t="shared" si="36"/>
        <v>#DIV/0!</v>
      </c>
    </row>
    <row r="274" spans="1:23" ht="15">
      <c r="A274" s="131" t="s">
        <v>154</v>
      </c>
      <c r="B274" s="133"/>
      <c r="C274" s="136"/>
      <c r="D274" s="136"/>
      <c r="E274" s="136"/>
      <c r="F274" s="137">
        <v>22000</v>
      </c>
      <c r="G274" s="138"/>
      <c r="H274" s="138"/>
      <c r="I274" s="138"/>
      <c r="J274" s="139"/>
      <c r="K274" s="140"/>
      <c r="L274" s="140"/>
      <c r="M274" s="140"/>
      <c r="N274" s="140"/>
      <c r="O274" s="185">
        <f t="shared" si="37"/>
        <v>0</v>
      </c>
      <c r="P274" s="158">
        <f t="shared" si="32"/>
        <v>22000</v>
      </c>
      <c r="Q274" s="148">
        <f t="shared" si="38"/>
        <v>22</v>
      </c>
      <c r="R274" s="148">
        <f t="shared" si="39"/>
        <v>22</v>
      </c>
      <c r="S274" s="135" t="e">
        <f>VLOOKUP(A274,[1]Index!$E:$M,7,)</f>
        <v>#N/A</v>
      </c>
      <c r="T274" s="149" t="e">
        <f t="shared" si="33"/>
        <v>#N/A</v>
      </c>
      <c r="U274" s="150" t="e">
        <f t="shared" si="34"/>
        <v>#N/A</v>
      </c>
      <c r="V274" s="151">
        <f t="shared" si="35"/>
        <v>0</v>
      </c>
      <c r="W274" s="80" t="e">
        <f t="shared" si="36"/>
        <v>#DIV/0!</v>
      </c>
    </row>
    <row r="275" spans="1:23" ht="15">
      <c r="A275" s="131" t="s">
        <v>118</v>
      </c>
      <c r="B275" s="133"/>
      <c r="C275" s="136"/>
      <c r="D275" s="136"/>
      <c r="E275" s="136"/>
      <c r="F275" s="137">
        <v>190</v>
      </c>
      <c r="G275" s="138"/>
      <c r="H275" s="138"/>
      <c r="I275" s="138"/>
      <c r="J275" s="139"/>
      <c r="K275" s="140"/>
      <c r="L275" s="140"/>
      <c r="M275" s="140"/>
      <c r="N275" s="140"/>
      <c r="O275" s="185">
        <f t="shared" si="37"/>
        <v>0</v>
      </c>
      <c r="P275" s="158">
        <f t="shared" si="32"/>
        <v>190</v>
      </c>
      <c r="Q275" s="148">
        <f t="shared" si="38"/>
        <v>0.1</v>
      </c>
      <c r="R275" s="148">
        <f t="shared" si="39"/>
        <v>0.1</v>
      </c>
      <c r="S275" s="135">
        <f>VLOOKUP(A275,[1]Index!$E:$M,7,)</f>
        <v>34.231403999999998</v>
      </c>
      <c r="T275" s="149">
        <f t="shared" si="33"/>
        <v>-155.768596</v>
      </c>
      <c r="U275" s="150">
        <f t="shared" si="34"/>
        <v>-4.5504588710413403</v>
      </c>
      <c r="V275" s="151">
        <f t="shared" si="35"/>
        <v>0</v>
      </c>
      <c r="W275" s="80" t="e">
        <f t="shared" si="36"/>
        <v>#DIV/0!</v>
      </c>
    </row>
    <row r="276" spans="1:23">
      <c r="A276" s="159" t="s">
        <v>145</v>
      </c>
      <c r="B276" s="133"/>
      <c r="C276" s="136"/>
      <c r="D276" s="136"/>
      <c r="E276" s="136"/>
      <c r="F276" s="137">
        <v>15000</v>
      </c>
      <c r="G276" s="138"/>
      <c r="H276" s="138"/>
      <c r="I276" s="138"/>
      <c r="J276" s="139"/>
      <c r="K276" s="140"/>
      <c r="L276" s="140"/>
      <c r="M276" s="140"/>
      <c r="N276" s="140"/>
      <c r="O276" s="185">
        <f t="shared" si="37"/>
        <v>0</v>
      </c>
      <c r="P276" s="158">
        <f t="shared" si="32"/>
        <v>15000</v>
      </c>
      <c r="Q276" s="148">
        <f t="shared" si="38"/>
        <v>15</v>
      </c>
      <c r="R276" s="148">
        <f t="shared" si="39"/>
        <v>15</v>
      </c>
      <c r="S276" s="135">
        <f>VLOOKUP(A276,[1]Index!$E:$M,7,)</f>
        <v>827.38322400427307</v>
      </c>
      <c r="T276" s="149">
        <f t="shared" si="33"/>
        <v>-14172.616775995726</v>
      </c>
      <c r="U276" s="150">
        <f t="shared" si="34"/>
        <v>-17.129446627410143</v>
      </c>
      <c r="V276" s="151">
        <f t="shared" si="35"/>
        <v>0</v>
      </c>
      <c r="W276" s="80" t="e">
        <f t="shared" si="36"/>
        <v>#DIV/0!</v>
      </c>
    </row>
    <row r="277" spans="1:23">
      <c r="A277" s="159" t="s">
        <v>237</v>
      </c>
      <c r="B277" s="133"/>
      <c r="C277" s="136"/>
      <c r="D277" s="136"/>
      <c r="E277" s="136"/>
      <c r="F277" s="137">
        <f>F258+F257</f>
        <v>43400</v>
      </c>
      <c r="G277" s="138"/>
      <c r="H277" s="138"/>
      <c r="I277" s="138"/>
      <c r="J277" s="139"/>
      <c r="K277" s="140"/>
      <c r="L277" s="140"/>
      <c r="M277" s="140"/>
      <c r="N277" s="140"/>
      <c r="O277" s="185">
        <f t="shared" si="37"/>
        <v>0</v>
      </c>
      <c r="P277" s="158">
        <f t="shared" si="32"/>
        <v>43400</v>
      </c>
      <c r="Q277" s="148">
        <f t="shared" si="38"/>
        <v>43.4</v>
      </c>
      <c r="R277" s="148">
        <f t="shared" si="39"/>
        <v>43.4</v>
      </c>
      <c r="S277" s="135" t="e">
        <f>VLOOKUP(A277,[1]Index!$E:$M,7,)</f>
        <v>#N/A</v>
      </c>
      <c r="T277" s="149" t="e">
        <f t="shared" si="33"/>
        <v>#N/A</v>
      </c>
      <c r="U277" s="150" t="e">
        <f t="shared" si="34"/>
        <v>#N/A</v>
      </c>
      <c r="V277" s="151">
        <f t="shared" si="35"/>
        <v>0</v>
      </c>
      <c r="W277" s="80" t="e">
        <f t="shared" si="36"/>
        <v>#DIV/0!</v>
      </c>
    </row>
    <row r="278" spans="1:23">
      <c r="O278" s="185">
        <f t="shared" si="37"/>
        <v>0</v>
      </c>
      <c r="R278" s="148">
        <f t="shared" si="39"/>
        <v>0</v>
      </c>
    </row>
    <row r="279" spans="1:23">
      <c r="O279" s="185">
        <f t="shared" si="37"/>
        <v>0</v>
      </c>
      <c r="R279" s="148">
        <f t="shared" si="39"/>
        <v>0</v>
      </c>
    </row>
    <row r="280" spans="1:23">
      <c r="O280" s="185">
        <f t="shared" si="37"/>
        <v>0</v>
      </c>
      <c r="R280" s="148">
        <f t="shared" si="39"/>
        <v>0</v>
      </c>
    </row>
    <row r="281" spans="1:23">
      <c r="O281" s="185">
        <f t="shared" si="37"/>
        <v>0</v>
      </c>
      <c r="R281" s="148">
        <f t="shared" si="39"/>
        <v>0</v>
      </c>
    </row>
    <row r="282" spans="1:23">
      <c r="O282" s="185">
        <f t="shared" si="37"/>
        <v>0</v>
      </c>
      <c r="R282" s="148">
        <f t="shared" si="39"/>
        <v>0</v>
      </c>
    </row>
    <row r="283" spans="1:23">
      <c r="O283" s="185">
        <f t="shared" si="37"/>
        <v>0</v>
      </c>
      <c r="R283" s="148">
        <f t="shared" si="39"/>
        <v>0</v>
      </c>
    </row>
    <row r="284" spans="1:23">
      <c r="O284" s="185">
        <f t="shared" si="37"/>
        <v>0</v>
      </c>
      <c r="R284" s="148">
        <f t="shared" si="39"/>
        <v>0</v>
      </c>
    </row>
    <row r="285" spans="1:23">
      <c r="O285" s="185">
        <f t="shared" si="37"/>
        <v>0</v>
      </c>
      <c r="R285" s="148">
        <f t="shared" si="39"/>
        <v>0</v>
      </c>
    </row>
    <row r="286" spans="1:23">
      <c r="O286" s="185">
        <f t="shared" si="37"/>
        <v>0</v>
      </c>
      <c r="R286" s="148">
        <f t="shared" si="39"/>
        <v>0</v>
      </c>
    </row>
    <row r="287" spans="1:23">
      <c r="O287" s="185">
        <f t="shared" si="37"/>
        <v>0</v>
      </c>
      <c r="R287" s="148">
        <f t="shared" si="39"/>
        <v>0</v>
      </c>
    </row>
    <row r="288" spans="1:23">
      <c r="O288" s="185">
        <f t="shared" si="37"/>
        <v>0</v>
      </c>
      <c r="R288" s="148">
        <f t="shared" si="39"/>
        <v>0</v>
      </c>
    </row>
    <row r="289" spans="15:18">
      <c r="O289" s="185">
        <f t="shared" si="37"/>
        <v>0</v>
      </c>
      <c r="R289" s="148">
        <f t="shared" si="39"/>
        <v>0</v>
      </c>
    </row>
    <row r="290" spans="15:18">
      <c r="O290" s="185">
        <f t="shared" si="37"/>
        <v>0</v>
      </c>
      <c r="R290" s="148">
        <f t="shared" si="39"/>
        <v>0</v>
      </c>
    </row>
    <row r="291" spans="15:18">
      <c r="O291" s="185">
        <f t="shared" si="37"/>
        <v>0</v>
      </c>
      <c r="R291" s="148">
        <f t="shared" si="39"/>
        <v>0</v>
      </c>
    </row>
    <row r="292" spans="15:18">
      <c r="O292" s="185">
        <f t="shared" si="37"/>
        <v>0</v>
      </c>
      <c r="R292" s="148">
        <f t="shared" si="39"/>
        <v>0</v>
      </c>
    </row>
    <row r="293" spans="15:18">
      <c r="O293" s="185">
        <f t="shared" si="37"/>
        <v>0</v>
      </c>
      <c r="R293" s="148">
        <f t="shared" si="39"/>
        <v>0</v>
      </c>
    </row>
    <row r="294" spans="15:18">
      <c r="O294" s="185">
        <f t="shared" si="37"/>
        <v>0</v>
      </c>
      <c r="R294" s="148">
        <f t="shared" si="39"/>
        <v>0</v>
      </c>
    </row>
    <row r="295" spans="15:18">
      <c r="O295" s="185">
        <f t="shared" si="37"/>
        <v>0</v>
      </c>
      <c r="R295" s="148">
        <f t="shared" si="39"/>
        <v>0</v>
      </c>
    </row>
    <row r="296" spans="15:18">
      <c r="O296" s="185">
        <f t="shared" si="37"/>
        <v>0</v>
      </c>
      <c r="R296" s="148">
        <f t="shared" si="39"/>
        <v>0</v>
      </c>
    </row>
    <row r="297" spans="15:18">
      <c r="O297" s="185">
        <f t="shared" si="37"/>
        <v>0</v>
      </c>
      <c r="R297" s="148">
        <f t="shared" si="39"/>
        <v>0</v>
      </c>
    </row>
    <row r="298" spans="15:18">
      <c r="O298" s="185">
        <f t="shared" si="37"/>
        <v>0</v>
      </c>
      <c r="R298" s="148">
        <f t="shared" si="39"/>
        <v>0</v>
      </c>
    </row>
    <row r="299" spans="15:18">
      <c r="O299" s="185">
        <f t="shared" si="37"/>
        <v>0</v>
      </c>
      <c r="R299" s="148">
        <f t="shared" si="39"/>
        <v>0</v>
      </c>
    </row>
    <row r="300" spans="15:18">
      <c r="O300" s="185">
        <f t="shared" si="37"/>
        <v>0</v>
      </c>
      <c r="R300" s="148">
        <f t="shared" si="39"/>
        <v>0</v>
      </c>
    </row>
    <row r="301" spans="15:18">
      <c r="O301" s="185">
        <f t="shared" si="37"/>
        <v>0</v>
      </c>
      <c r="R301" s="148">
        <f t="shared" si="39"/>
        <v>0</v>
      </c>
    </row>
  </sheetData>
  <autoFilter ref="A3:W272" xr:uid="{00000000-0001-0000-0000-000000000000}"/>
  <mergeCells count="5">
    <mergeCell ref="C1:F1"/>
    <mergeCell ref="G1:J1"/>
    <mergeCell ref="K1:N1"/>
    <mergeCell ref="P1:Q1"/>
    <mergeCell ref="S1:U1"/>
  </mergeCells>
  <conditionalFormatting sqref="A13">
    <cfRule type="duplicateValues" dxfId="33" priority="32"/>
    <cfRule type="duplicateValues" dxfId="32" priority="33"/>
  </conditionalFormatting>
  <conditionalFormatting sqref="A223">
    <cfRule type="duplicateValues" dxfId="31" priority="30"/>
  </conditionalFormatting>
  <conditionalFormatting sqref="A224">
    <cfRule type="duplicateValues" dxfId="30" priority="5"/>
    <cfRule type="duplicateValues" dxfId="29" priority="6"/>
    <cfRule type="duplicateValues" dxfId="28" priority="7"/>
    <cfRule type="duplicateValues" dxfId="27" priority="8"/>
  </conditionalFormatting>
  <conditionalFormatting sqref="A225">
    <cfRule type="duplicateValues" dxfId="26" priority="27"/>
    <cfRule type="duplicateValues" dxfId="25" priority="28"/>
    <cfRule type="duplicateValues" dxfId="24" priority="29"/>
  </conditionalFormatting>
  <conditionalFormatting sqref="A226:A228">
    <cfRule type="duplicateValues" dxfId="23" priority="26"/>
  </conditionalFormatting>
  <conditionalFormatting sqref="A229">
    <cfRule type="duplicateValues" dxfId="22" priority="23"/>
    <cfRule type="duplicateValues" dxfId="21" priority="24"/>
    <cfRule type="duplicateValues" dxfId="20" priority="25"/>
  </conditionalFormatting>
  <conditionalFormatting sqref="A230">
    <cfRule type="duplicateValues" dxfId="19" priority="22"/>
  </conditionalFormatting>
  <conditionalFormatting sqref="A237">
    <cfRule type="duplicateValues" dxfId="18" priority="21"/>
  </conditionalFormatting>
  <conditionalFormatting sqref="A238">
    <cfRule type="duplicateValues" dxfId="17" priority="20"/>
  </conditionalFormatting>
  <conditionalFormatting sqref="A239">
    <cfRule type="duplicateValues" dxfId="16" priority="4"/>
  </conditionalFormatting>
  <conditionalFormatting sqref="A240">
    <cfRule type="duplicateValues" dxfId="15" priority="19"/>
  </conditionalFormatting>
  <conditionalFormatting sqref="A240:A243 A223 A225:A238">
    <cfRule type="duplicateValues" dxfId="14" priority="31"/>
  </conditionalFormatting>
  <conditionalFormatting sqref="A243">
    <cfRule type="duplicateValues" dxfId="13" priority="18"/>
    <cfRule type="duplicateValues" dxfId="12" priority="17"/>
  </conditionalFormatting>
  <conditionalFormatting sqref="A244">
    <cfRule type="duplicateValues" dxfId="11" priority="14"/>
    <cfRule type="duplicateValues" dxfId="10" priority="15"/>
    <cfRule type="duplicateValues" dxfId="9" priority="16"/>
  </conditionalFormatting>
  <conditionalFormatting sqref="A245">
    <cfRule type="duplicateValues" dxfId="8" priority="11"/>
    <cfRule type="duplicateValues" dxfId="7" priority="12"/>
    <cfRule type="duplicateValues" dxfId="6" priority="13"/>
  </conditionalFormatting>
  <conditionalFormatting sqref="A255">
    <cfRule type="duplicateValues" dxfId="5" priority="9"/>
    <cfRule type="duplicateValues" dxfId="4" priority="10"/>
  </conditionalFormatting>
  <conditionalFormatting sqref="A256:A262">
    <cfRule type="duplicateValues" dxfId="3" priority="3"/>
  </conditionalFormatting>
  <conditionalFormatting sqref="A264">
    <cfRule type="duplicateValues" dxfId="2" priority="2"/>
  </conditionalFormatting>
  <conditionalFormatting sqref="A278:A1048576 A1:A12 A148:A222 A15:A146">
    <cfRule type="duplicateValues" dxfId="1" priority="34"/>
  </conditionalFormatting>
  <conditionalFormatting sqref="W1:W1048576">
    <cfRule type="cellIs" dxfId="0" priority="1" operator="lessThan">
      <formula>6</formula>
    </cfRule>
  </conditionalFormatting>
  <hyperlinks>
    <hyperlink ref="A184" r:id="rId1" display="https://sellercentral.amazon.in/skucentral?mSku=TU-PMP-SWF&amp;ref=myi_skuc" xr:uid="{6335665E-FCBC-430A-9601-B911A84CAC22}"/>
  </hyperlinks>
  <pageMargins left="0.7" right="0.7" top="0.75" bottom="0.75" header="0.3" footer="0.3"/>
  <pageSetup orientation="portrait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9a4548-bb3a-420e-8693-2daed139d876">
      <Terms xmlns="http://schemas.microsoft.com/office/infopath/2007/PartnerControls"/>
    </lcf76f155ced4ddcb4097134ff3c332f>
    <TaxCatchAll xmlns="605a4f2b-88cd-4823-a83a-df73f63378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C2BC697E9BB41B957AEB0F1881CD7" ma:contentTypeVersion="12" ma:contentTypeDescription="Create a new document." ma:contentTypeScope="" ma:versionID="c9a880c9c1733374034dd5b32e818ec7">
  <xsd:schema xmlns:xsd="http://www.w3.org/2001/XMLSchema" xmlns:xs="http://www.w3.org/2001/XMLSchema" xmlns:p="http://schemas.microsoft.com/office/2006/metadata/properties" xmlns:ns2="e19a4548-bb3a-420e-8693-2daed139d876" xmlns:ns3="605a4f2b-88cd-4823-a83a-df73f6337886" targetNamespace="http://schemas.microsoft.com/office/2006/metadata/properties" ma:root="true" ma:fieldsID="ea1df140074c87becba3b338b5170d75" ns2:_="" ns3:_="">
    <xsd:import namespace="e19a4548-bb3a-420e-8693-2daed139d876"/>
    <xsd:import namespace="605a4f2b-88cd-4823-a83a-df73f6337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a4548-bb3a-420e-8693-2daed139d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29e7da9-676b-4a26-a0eb-bdb38cae83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5a4f2b-88cd-4823-a83a-df73f6337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18e3ff8-dc24-4496-b4bb-88d3436340fb}" ma:internalName="TaxCatchAll" ma:showField="CatchAllData" ma:web="605a4f2b-88cd-4823-a83a-df73f6337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3DB6CD-1C5B-4A3D-BDFA-068C13B99668}"/>
</file>

<file path=customXml/itemProps2.xml><?xml version="1.0" encoding="utf-8"?>
<ds:datastoreItem xmlns:ds="http://schemas.openxmlformats.org/officeDocument/2006/customXml" ds:itemID="{5D4BC247-BF2D-4F82-B582-D10FDC7C3AE3}"/>
</file>

<file path=customXml/itemProps3.xml><?xml version="1.0" encoding="utf-8"?>
<ds:datastoreItem xmlns:ds="http://schemas.openxmlformats.org/officeDocument/2006/customXml" ds:itemID="{11650AF1-32E6-4CAF-9954-491AD4D0F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Ashwani Kumar</cp:lastModifiedBy>
  <cp:revision/>
  <dcterms:created xsi:type="dcterms:W3CDTF">2006-09-16T00:00:00Z</dcterms:created>
  <dcterms:modified xsi:type="dcterms:W3CDTF">2025-12-16T04:09:45Z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0x010100A79C2BC697E9BB41B957AEB0F1881CD7</vt:lpwstr>
  </property>
  <property fmtid="{D5CDD505-2E9C-101B-9397-08002B2CF9AE}" pid="3" name="MediaServiceImageTags">
    <vt:lpwstr/>
  </property>
</Properties>
</file>